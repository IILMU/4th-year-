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omments1.xml" ContentType="application/vnd.openxmlformats-officedocument.spreadsheetml.comments+xml"/>
  <Override PartName="/xl/tables/table1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minimized="1" xWindow="0" yWindow="0" windowWidth="19200" windowHeight="7190"/>
  </bookViews>
  <sheets>
    <sheet name="Journal" sheetId="4" r:id="rId1"/>
    <sheet name="Conference " sheetId="5" r:id="rId2"/>
    <sheet name="Book" sheetId="6" r:id="rId3"/>
    <sheet name="Book Chapter" sheetId="9" r:id="rId4"/>
    <sheet name="Patent" sheetId="10" r:id="rId5"/>
  </sheets>
  <definedNames>
    <definedName name="_xlnm._FilterDatabase" localSheetId="2" hidden="1">Book!$B$1:$T$28</definedName>
    <definedName name="_xlnm._FilterDatabase" localSheetId="3" hidden="1">'Book Chapter'!$A$1:$Z$37</definedName>
    <definedName name="_xlnm._FilterDatabase" localSheetId="0" hidden="1">Journal!$A$1:$Z$57</definedName>
    <definedName name="_xlnm._FilterDatabase" localSheetId="4" hidden="1">Patent!$A$1:$Q$67</definedName>
    <definedName name="Z_CE2E5299_57A3_4735_9600_CE5465D3CF87_.wvu.FilterData" localSheetId="1" hidden="1">'Conference '!$A$1:$X$158</definedName>
  </definedNames>
  <calcPr calcId="162913"/>
  <customWorkbookViews>
    <customWorkbookView name="Filter 1" guid="{CE2E5299-57A3-4735-9600-CE5465D3CF87}" maximized="1" windowWidth="0" windowHeight="0" activeSheetId="0"/>
  </customWorkbookViews>
  <extLst>
    <ext uri="GoogleSheetsCustomDataVersion2">
      <go:sheetsCustomData xmlns:go="http://customooxmlschemas.google.com/" r:id="rId17" roundtripDataChecksum="B7K4zCov/YkQNnDN6sty1ZLdo6NMvjUQD9nNqf62s54="/>
    </ext>
  </extLst>
</workbook>
</file>

<file path=xl/calcChain.xml><?xml version="1.0" encoding="utf-8"?>
<calcChain xmlns="http://schemas.openxmlformats.org/spreadsheetml/2006/main">
  <c r="T31" i="9" l="1"/>
  <c r="T15" i="9"/>
  <c r="T10" i="9"/>
  <c r="T3" i="9"/>
  <c r="T2" i="9"/>
</calcChain>
</file>

<file path=xl/comments1.xml><?xml version="1.0" encoding="utf-8"?>
<comments xmlns="http://schemas.openxmlformats.org/spreadsheetml/2006/main">
  <authors>
    <author/>
  </authors>
  <commentList>
    <comment ref="A141" authorId="0" shapeId="0">
      <text>
        <r>
          <rPr>
            <sz val="10"/>
            <color rgb="FF000000"/>
            <rFont val="Arial"/>
            <scheme val="minor"/>
          </rPr>
          <t>Dr 
======</t>
        </r>
      </text>
    </comment>
  </commentList>
</comments>
</file>

<file path=xl/sharedStrings.xml><?xml version="1.0" encoding="utf-8"?>
<sst xmlns="http://schemas.openxmlformats.org/spreadsheetml/2006/main" count="5902" uniqueCount="2025">
  <si>
    <t>Data Science and Big Data</t>
  </si>
  <si>
    <t>Dean Office</t>
  </si>
  <si>
    <t>Cyber Security</t>
  </si>
  <si>
    <t>AIML</t>
  </si>
  <si>
    <t>Training</t>
  </si>
  <si>
    <t>Core CSE</t>
  </si>
  <si>
    <t>Cloud Computing, Fullstack &amp; Block Chain</t>
  </si>
  <si>
    <t>Computer Application &amp; G&amp;G</t>
  </si>
  <si>
    <t>Apoorva Jain</t>
  </si>
  <si>
    <t>Jaswinder Singh</t>
  </si>
  <si>
    <t>Kirti Shukla</t>
  </si>
  <si>
    <t>Pinky Yadav</t>
  </si>
  <si>
    <t>Reeta Mishra</t>
  </si>
  <si>
    <t>Vishakha Agarwal</t>
  </si>
  <si>
    <t>Bhavana Shrivastava</t>
  </si>
  <si>
    <t>Sonam Sirohi</t>
  </si>
  <si>
    <t>Surabhi Purwar</t>
  </si>
  <si>
    <t>Rishabh Srivastava</t>
  </si>
  <si>
    <t>Papiya Mukherjee</t>
  </si>
  <si>
    <t>Shantanu Bindewari</t>
  </si>
  <si>
    <t>Lalita Verma</t>
  </si>
  <si>
    <t>Varsha Srivastava</t>
  </si>
  <si>
    <t>Bhumika Pal</t>
  </si>
  <si>
    <t>Vaibhav Sharma</t>
  </si>
  <si>
    <t>Shweta Singh</t>
  </si>
  <si>
    <t>Vikas Kumar Tiwari</t>
  </si>
  <si>
    <t>Vikas Singh</t>
  </si>
  <si>
    <t>Borada Daksha</t>
  </si>
  <si>
    <t>Department</t>
  </si>
  <si>
    <t>Abhinav Raghav</t>
  </si>
  <si>
    <t>Ajay Kumar</t>
  </si>
  <si>
    <t>Akash Punhani</t>
  </si>
  <si>
    <t>Ankita Agarwal</t>
  </si>
  <si>
    <t>Ashish Kumar Rastogi</t>
  </si>
  <si>
    <t>Avadhesh Kumar Gupta</t>
  </si>
  <si>
    <t>Deependra Rastogi</t>
  </si>
  <si>
    <t>Gaurav Kumar</t>
  </si>
  <si>
    <t>Gunjan Mittal Roy</t>
  </si>
  <si>
    <t>Heena Khera</t>
  </si>
  <si>
    <t>Himanshu Sharma</t>
  </si>
  <si>
    <t>Ishu Chaudhary</t>
  </si>
  <si>
    <t>Jasminder Kaur Sandhu</t>
  </si>
  <si>
    <t>Kamal Kant Verma</t>
  </si>
  <si>
    <t>Lalit Kumar</t>
  </si>
  <si>
    <t>Manali Gupta</t>
  </si>
  <si>
    <t>Mudita</t>
  </si>
  <si>
    <t>Narinder Verma</t>
  </si>
  <si>
    <t>Pardeep Kumar</t>
  </si>
  <si>
    <t>Prakhar Consul</t>
  </si>
  <si>
    <t>Pushpa Singh</t>
  </si>
  <si>
    <t>Suman Avdhesh Yadav</t>
  </si>
  <si>
    <t>Sumit Kumar</t>
  </si>
  <si>
    <t>Sumit Singh Dhanda</t>
  </si>
  <si>
    <t>Swati Vashisht</t>
  </si>
  <si>
    <t>Anand Singh</t>
  </si>
  <si>
    <t>Richa Vijay</t>
  </si>
  <si>
    <t>Vijaya Choudhary</t>
  </si>
  <si>
    <t>Sandeep Saxena</t>
  </si>
  <si>
    <t>Saurabh Shanu</t>
  </si>
  <si>
    <t>Gajraj Singh</t>
  </si>
  <si>
    <t>Salutation</t>
  </si>
  <si>
    <t>Name of the Faculty</t>
  </si>
  <si>
    <t>IILMU Faculty ID</t>
  </si>
  <si>
    <t>Designation</t>
  </si>
  <si>
    <t>Name of the Department</t>
  </si>
  <si>
    <t>Mr.</t>
  </si>
  <si>
    <t>IILMGN001842023</t>
  </si>
  <si>
    <t>Assistant Professor</t>
  </si>
  <si>
    <t>Dr.</t>
  </si>
  <si>
    <t>IILMGN007102025</t>
  </si>
  <si>
    <t>Associate Professor</t>
  </si>
  <si>
    <t xml:space="preserve">Dr. </t>
  </si>
  <si>
    <t>IILMGN001822023</t>
  </si>
  <si>
    <t>Ms.</t>
  </si>
  <si>
    <t xml:space="preserve">Ankita Agarwal </t>
  </si>
  <si>
    <t>IILMGN004122024</t>
  </si>
  <si>
    <t xml:space="preserve">Assistant Professor </t>
  </si>
  <si>
    <t>IILMGN004962025</t>
  </si>
  <si>
    <t>Dr</t>
  </si>
  <si>
    <t>IILMGN005622025</t>
  </si>
  <si>
    <t>Professor</t>
  </si>
  <si>
    <t>IILMGN004392024</t>
  </si>
  <si>
    <t>IILMGN004302024</t>
  </si>
  <si>
    <t>IILMGN002272023</t>
  </si>
  <si>
    <t xml:space="preserve">Associate Professor </t>
  </si>
  <si>
    <t>IILMGN006222025</t>
  </si>
  <si>
    <t>IILMGN004862024</t>
  </si>
  <si>
    <t>IILMGN001812023</t>
  </si>
  <si>
    <t xml:space="preserve">Ms. </t>
  </si>
  <si>
    <t>IILMGN001972023</t>
  </si>
  <si>
    <t>IILMGN0004812024</t>
  </si>
  <si>
    <t>IILMGN006012025</t>
  </si>
  <si>
    <t>IILMGN000912022</t>
  </si>
  <si>
    <t>IILMGN004612024</t>
  </si>
  <si>
    <t>https://drive.google.com/drive/u/0/folders/1ikxa6IDfSIZSHhpIdkK5B-pdY_BARmQj</t>
  </si>
  <si>
    <t xml:space="preserve">Dr </t>
  </si>
  <si>
    <t>IILMGN002502023</t>
  </si>
  <si>
    <t>IILMGN006992025</t>
  </si>
  <si>
    <t>https://drive.google.com/drive/folders/16a2lmD6osqP58dEXQh8Fv6LKnLxdACVJ?usp=sharing</t>
  </si>
  <si>
    <t>IILMGN005652025</t>
  </si>
  <si>
    <t>IILMGN004202024</t>
  </si>
  <si>
    <t>IILMGN006102025</t>
  </si>
  <si>
    <t>IILMGN004762024</t>
  </si>
  <si>
    <t>Poonam Yadav</t>
  </si>
  <si>
    <t>IILMGN004312024</t>
  </si>
  <si>
    <t>IILMGN004792024</t>
  </si>
  <si>
    <t>IILMGN004272024</t>
  </si>
  <si>
    <t xml:space="preserve">Richa Vijay </t>
  </si>
  <si>
    <t>IILMGN005002025</t>
  </si>
  <si>
    <t>IILMGN007002027</t>
  </si>
  <si>
    <t>IILMGN001852023</t>
  </si>
  <si>
    <t>Verified</t>
  </si>
  <si>
    <t>IILMGN004662024</t>
  </si>
  <si>
    <t>IILMGN003942024</t>
  </si>
  <si>
    <t>IILMGN006062025</t>
  </si>
  <si>
    <t>IILMGN005802025</t>
  </si>
  <si>
    <t xml:space="preserve">URVASHI JOSHI </t>
  </si>
  <si>
    <t>IILMGN004802026</t>
  </si>
  <si>
    <t xml:space="preserve">Mr. </t>
  </si>
  <si>
    <t>IILMGN001162022</t>
  </si>
  <si>
    <t>IILMGN004912025</t>
  </si>
  <si>
    <t>Assistant Prof.</t>
  </si>
  <si>
    <t>IILMGN003052024</t>
  </si>
  <si>
    <t xml:space="preserve">Vikas Kumar Tiwari </t>
  </si>
  <si>
    <t>IILMGN001122022</t>
  </si>
  <si>
    <t>Amit Agrawal</t>
  </si>
  <si>
    <t>IILMGN000792022</t>
  </si>
  <si>
    <t>IILMGN000672022</t>
  </si>
  <si>
    <t>Vikas Kamra</t>
  </si>
  <si>
    <t>IILMGN007422025</t>
  </si>
  <si>
    <t>IILMGN002292023</t>
  </si>
  <si>
    <t>Munish Sabharwal</t>
  </si>
  <si>
    <t>Professor &amp; Director</t>
  </si>
  <si>
    <t>Nayan Kumar Sarkar</t>
  </si>
  <si>
    <t>IILMGN007352025</t>
  </si>
  <si>
    <t>IILMU Faculty Name</t>
  </si>
  <si>
    <t>Name of the Author(s)</t>
  </si>
  <si>
    <t>Title of the Research Article</t>
  </si>
  <si>
    <t>Name of the Journal</t>
  </si>
  <si>
    <t>Volume Number</t>
  </si>
  <si>
    <t>Issue Number</t>
  </si>
  <si>
    <t>Page Number</t>
  </si>
  <si>
    <t>Month of Publication</t>
  </si>
  <si>
    <t>Year of Publication</t>
  </si>
  <si>
    <t>Journal Indexing [Web of Science/Scopus]</t>
  </si>
  <si>
    <t>Publisher</t>
  </si>
  <si>
    <t>ISSN No.</t>
  </si>
  <si>
    <t>DOI</t>
  </si>
  <si>
    <t>Online  Journal Website  Link</t>
  </si>
  <si>
    <t>Impact Factor of the Journal</t>
  </si>
  <si>
    <t>Are you the Corresponding Author of the Paper</t>
  </si>
  <si>
    <t>Journal Quartile</t>
  </si>
  <si>
    <t>Upload the full published paper</t>
  </si>
  <si>
    <t>IILMGN005022025</t>
  </si>
  <si>
    <t>Ajay Kumar, S.K. Gupta, S. Kim</t>
  </si>
  <si>
    <t>AI‑driven drug discovery using a context‑aware hybrid model to optimize drug‑target interactions</t>
  </si>
  <si>
    <t>Scientific Report</t>
  </si>
  <si>
    <t>SCI</t>
  </si>
  <si>
    <t>Springer Nature</t>
  </si>
  <si>
    <t>ISSN 2045-2322</t>
  </si>
  <si>
    <t>https://doi.org/10.1038/s41598‑025‑19593‑4</t>
  </si>
  <si>
    <t>https://www.nature.com/articles/s41598-025-19593-4</t>
  </si>
  <si>
    <t>No</t>
  </si>
  <si>
    <t>Q1</t>
  </si>
  <si>
    <t>Ajay Kumar, Pallavi S. Bangare, E. Jayanthi, Manisha P. Mali, Venkatesan Hariram, Mohan Awasthy, F. Sammy, Abhishek R.</t>
  </si>
  <si>
    <t>Deep Learning and IoT based Air Quality Monitoring and Prediction System</t>
  </si>
  <si>
    <t>Journal of Mines, Metals and Fuels</t>
  </si>
  <si>
    <t>3073-3083</t>
  </si>
  <si>
    <t>October</t>
  </si>
  <si>
    <t>SCOPUS</t>
  </si>
  <si>
    <t>Informatics</t>
  </si>
  <si>
    <t>0022-2755</t>
  </si>
  <si>
    <t>DOI:10.18311/jmmf/2025/49500</t>
  </si>
  <si>
    <t>https://informaticsjournals.co.in/index.php/jmmf/article/view/49500</t>
  </si>
  <si>
    <t>Q4</t>
  </si>
  <si>
    <t>Gaurav Raj, Gaurav Dubey, Anil Kumar Dubey, Kamal Jit, Akash Punhani, Nripendra Narayan Das</t>
  </si>
  <si>
    <t>A Privacy-Preserving and Interpretable Federated Learning Framework With Clinician Feedback for Multi-Hospital Clinical Decision Support</t>
  </si>
  <si>
    <t>Concurrency and Computation: Practice and Experience</t>
  </si>
  <si>
    <t>27-28</t>
  </si>
  <si>
    <t>e70365</t>
  </si>
  <si>
    <t>SCIE</t>
  </si>
  <si>
    <t>Wiley</t>
  </si>
  <si>
    <t>1532-0626</t>
  </si>
  <si>
    <r>
      <rPr>
        <u/>
        <sz val="10"/>
        <color rgb="FF000000"/>
        <rFont val="Arial"/>
      </rPr>
      <t>https://doi.org/10.1002/cpe.70365</t>
    </r>
  </si>
  <si>
    <t>https://onlinelibrary.wiley.com/doi/epdf/10.1002/cpe.70365</t>
  </si>
  <si>
    <t>Q2</t>
  </si>
  <si>
    <t>https://drive.google.com/file/d/1YtJoobelpMYn3CQIfiF6mWoLyCyFLMcL/view?usp=drive_link</t>
  </si>
  <si>
    <t>Sumit Singh Dhanda, Deepak Panwar, Chia-Chen Lin, Tarun Kumar Sharma, Deependra Rastogi, Shantanu Bindewari, Anand Singh, Yung-Hui Li, Neha Agarwal, Saurabh Agarwal</t>
  </si>
  <si>
    <t>Advancement in Public Health through Machine Learning: A Narrative Review of Opportunities and Ethical Considerations</t>
  </si>
  <si>
    <t>Journal on Big Data</t>
  </si>
  <si>
    <t>Springer</t>
  </si>
  <si>
    <t>2196-1115</t>
  </si>
  <si>
    <t>https://doi.org/10.1186/s40537-025-01201-x</t>
  </si>
  <si>
    <t>https://journalofbigdata.springeropen.com/articles/10.1186/s40537-025-01201-x</t>
  </si>
  <si>
    <t>https://drive.google.com/drive/folders/1jkmL06Qd1tdvkn6UqcIWk3LIWRSdP17n?usp=drive_link</t>
  </si>
  <si>
    <t>Viswanadha Pratap Kondoju, Anand Singh</t>
  </si>
  <si>
    <t>Integrating Blockchain with Machine Learning for Fintech Transparency</t>
  </si>
  <si>
    <t>Journal of Quantum Science and Technology (JQST)</t>
  </si>
  <si>
    <t>1 (2025)</t>
  </si>
  <si>
    <t>111-130</t>
  </si>
  <si>
    <t xml:space="preserve"> Peer Reviwed</t>
  </si>
  <si>
    <t>3048-6351</t>
  </si>
  <si>
    <r>
      <rPr>
        <u/>
        <sz val="10"/>
        <color rgb="FF000000"/>
        <rFont val="Arial"/>
      </rPr>
      <t>https://doi.org/10.63345/jqst.v2i1.154</t>
    </r>
  </si>
  <si>
    <t>https://jqst.org/index.php/j/article/view/154/161</t>
  </si>
  <si>
    <t>https://drive.google.com/file/d/1bmQxL7z6RYuUqSdIeVtaJ4HAWaj4Bwl5/view</t>
  </si>
  <si>
    <t>Karan Shah, Anand Singh</t>
  </si>
  <si>
    <t>Architecting Real-Time Financial Insights with SAP Analytics Cloud</t>
  </si>
  <si>
    <t>2 (2025)</t>
  </si>
  <si>
    <t>29-51</t>
  </si>
  <si>
    <r>
      <rPr>
        <u/>
        <sz val="10"/>
        <color rgb="FF000000"/>
        <rFont val="Arial"/>
      </rPr>
      <t>https://doi.org/10.63345/jqst.v2i2.294</t>
    </r>
  </si>
  <si>
    <t>https://jqst.org/index.php/j/article/view/294</t>
  </si>
  <si>
    <t>https://drive.google.com/file/d/1IXZjFBBcZTeIGY884LAT0BjZroyYyoL3/view</t>
  </si>
  <si>
    <r>
      <rPr>
        <u/>
        <sz val="10"/>
        <color rgb="FF000000"/>
        <rFont val="Arial"/>
      </rPr>
      <t>Explainable multi-view transformer framework with mutual learning for precision breast cancer pathology image classification</t>
    </r>
  </si>
  <si>
    <t>Frontiers in Oncology</t>
  </si>
  <si>
    <t>Frontiers</t>
  </si>
  <si>
    <t>https://doi.org/10.3389/fonc.2025.1626785</t>
  </si>
  <si>
    <t>https://pmc.ncbi.nlm.nih.gov/articles/PMC12302034/</t>
  </si>
  <si>
    <t>https://drive.google.com/file/d/1iT1hpJV_32uc5IwTGnMtFiV5Uj_RLItb/view?usp=sharing</t>
  </si>
  <si>
    <t>Real-Time Fault Detection in Power Systems using Power BI Dashboards</t>
  </si>
  <si>
    <t>3 (2025)</t>
  </si>
  <si>
    <t>90-98</t>
  </si>
  <si>
    <r>
      <rPr>
        <u/>
        <sz val="10"/>
        <color rgb="FF000000"/>
        <rFont val="Arial"/>
      </rPr>
      <t>https://doi.org/10.63345/jqst.v2i3.326</t>
    </r>
  </si>
  <si>
    <t>https://jqst.org/index.php/j/article/view/326</t>
  </si>
  <si>
    <t>Yes</t>
  </si>
  <si>
    <t>https://drive.google.com/file/d/1__3vcJP2iLdhsi-L-jLgD_3puzoGuFuw/view</t>
  </si>
  <si>
    <t>Amit Jain, Rahul Ravindra Darunde, Gollapalli Veera Satya Srinivas, Ankita Agarwal, Gurwinder Singh, Swetha Monica Indukuri</t>
  </si>
  <si>
    <t>A Mathematical Modelling for Three‑Factor Quantum Biometric Authentication Using Machine Learning, Double‑Layer Encryption, Cryptographic Algorithms</t>
  </si>
  <si>
    <t>Communications on Applied Nonlinear Analysis (CANA)</t>
  </si>
  <si>
    <t>Scopus</t>
  </si>
  <si>
    <t>International Publications(United States)</t>
  </si>
  <si>
    <t>1074-133X</t>
  </si>
  <si>
    <t>https://doi.org/10.52783/cana.v32.1617</t>
  </si>
  <si>
    <t>https://internationalpubls.com/index.php/cana/article/view/1617</t>
  </si>
  <si>
    <t>https://drive.google.com/file/d/1qq29MwwZz7GErtWHD3YepigC8OfYC1LH/view?usp=drivesdk</t>
  </si>
  <si>
    <t>Apoorva Jain, Renu Bagoria, Praveen Arora</t>
  </si>
  <si>
    <t>An intelligent zero-day attack detection system using unsupervised machine learning for enhancing cyber security</t>
  </si>
  <si>
    <r>
      <rPr>
        <u/>
        <sz val="10"/>
        <color rgb="FF000000"/>
        <rFont val="Arial"/>
      </rPr>
      <t>Knowledge-Based Systems</t>
    </r>
  </si>
  <si>
    <t>Available online 31 May 2025, Version of Record 16 June 2025.</t>
  </si>
  <si>
    <t>Elsevier</t>
  </si>
  <si>
    <t>0950-7051</t>
  </si>
  <si>
    <t>https://doi.org/10.1016/j.knosys.2025.113833</t>
  </si>
  <si>
    <t>https://www.sciencedirect.com/science/article/abs/pii/S0950705125008792</t>
  </si>
  <si>
    <t>yes</t>
  </si>
  <si>
    <t>https://drive.google.com/file/d/1Bdss_1pMZk2eVG9C-m3MqUfX4t_DRBzd/view?usp=sharing</t>
  </si>
  <si>
    <t>Ashish Dixit, Avadhesh Kumar Gupta, Veena Bharti, Divya Midhunchakkaravarthy, Deepak Gupta</t>
  </si>
  <si>
    <t>Secure Audio Watermarking Using Randomized Timestamps and Encrypted Metadata</t>
  </si>
  <si>
    <t>International Journal of Basic and Applied Sciences</t>
  </si>
  <si>
    <t>30-36</t>
  </si>
  <si>
    <t>SPC (Sciencepubco)</t>
  </si>
  <si>
    <t>2227-5053</t>
  </si>
  <si>
    <r>
      <rPr>
        <u/>
        <sz val="10"/>
        <color rgb="FF000000"/>
        <rFont val="Arial"/>
      </rPr>
      <t>https://doi.org/10.14419/0h4c8497</t>
    </r>
  </si>
  <si>
    <r>
      <rPr>
        <u/>
        <sz val="10"/>
        <color rgb="FF000000"/>
        <rFont val="Arial"/>
      </rPr>
      <t>https://www.sciencepubco.com/index.php/IJBAS/article/view/34793</t>
    </r>
  </si>
  <si>
    <t>https://drive.google.com/drive/u/0/folders/1ee0SD77K6aJj51MHS-RS7J74J-2m2fcs</t>
  </si>
  <si>
    <t>Journal of Big Data</t>
  </si>
  <si>
    <t xml:space="preserve">Mohammad Ahmar Khan, Deependra Rastogi, Prashant Johri, Ahmad Al-Taani, Vishwadeepak Singh Baghela &amp; Kumud </t>
  </si>
  <si>
    <t>Hybrid deep CNN model for multi-class classification of skin lesion</t>
  </si>
  <si>
    <t xml:space="preserve">Neural Computing and Applications </t>
  </si>
  <si>
    <t>19479–19499</t>
  </si>
  <si>
    <t>1433-3058</t>
  </si>
  <si>
    <t>https://doi.org/10.1007/s00521-025-11409-w</t>
  </si>
  <si>
    <t>https://link.springer.com/article/10.1007/s00521-025-11409-w</t>
  </si>
  <si>
    <t>Professor &amp; Associate Dean (Research)</t>
  </si>
  <si>
    <t xml:space="preserve"> P. Bavithra Matharasi, Prabu Selvam, Himanshu Sharma, D. Sugumar, S. Rosaline, Addanki Mounika, Tati‎raju V. Rajani Kanth</t>
  </si>
  <si>
    <t>Development of A Comprehensive IoT-Based Monitoring Application for High-Risk Pregnancies Enhancing Maternal and Fetal Health Outcomes</t>
  </si>
  <si>
    <t>520-534</t>
  </si>
  <si>
    <t>June 30 , 2025</t>
  </si>
  <si>
    <r>
      <rPr>
        <u/>
        <sz val="10"/>
        <color rgb="FF000000"/>
        <rFont val="Arial"/>
      </rPr>
      <t>https://doi.org/10.14419/wf3p9b62</t>
    </r>
  </si>
  <si>
    <t>Development of A Comprehensive IoT-Based Monitoring Application for High-Risk Pregnancies Enhancing Maternal and Fetal Health Outcomes | International Journal of Basic and Applied Sciences</t>
  </si>
  <si>
    <t>https://drive.google.com/file/d/16hll4vsSDomX5MyG8vO27d-qK9htmlwp/view?usp=drive_link</t>
  </si>
  <si>
    <t xml:space="preserve">Dr. Tarun Kumar, Arun Kumar, Dr. Rabins Porwal, Himanshu Sharma, Dr. Priyanka Dubey, Prem Kumar Sholapurapu and Vinoth kumar </t>
  </si>
  <si>
    <t>Machine Learning–Driven Human Resource Decision Strategies for Enhancing Employee Retention and Organizational Growth</t>
  </si>
  <si>
    <t>Advances in Consumer Research</t>
  </si>
  <si>
    <t>1236-1243</t>
  </si>
  <si>
    <t>ABDC</t>
  </si>
  <si>
    <t xml:space="preserve">Kuwait Scientific Society
</t>
  </si>
  <si>
    <t>3079-1766</t>
  </si>
  <si>
    <t>https://acr-journal.com/article/machine-learning-driven-human-resource-decision-strategies-for-enhancing-employee-retention-and-organizational-growth-1805/</t>
  </si>
  <si>
    <t>B</t>
  </si>
  <si>
    <t>https://drive.google.com/file/d/1UmDrI028mZrR8xEt1e5lsCC-3sn3eEyM/view?usp=drive_link</t>
  </si>
  <si>
    <t xml:space="preserve">Nidhi Poonia, Himanshu Sharma, Bhushan Kumar, Alok Aggarwal , Munish Sabharwal </t>
  </si>
  <si>
    <t>Custom Layer Integration for Mode Collapse Mitigation in DCGANs on Small Imbalanced Datasets</t>
  </si>
  <si>
    <t>International Journal of Information Technology</t>
  </si>
  <si>
    <t>2511-2104</t>
  </si>
  <si>
    <t>https://link.springer.com/journal/41870</t>
  </si>
  <si>
    <t>https://drive.google.com/drive/folders/1CbmC-yU2ION4dpEef0Jf3O4J3dLLKvtj?usp=sharing</t>
  </si>
  <si>
    <t>IILMGN005932025</t>
  </si>
  <si>
    <t>Dr. Jaswinder Singh, Dr. Balaji Venkateswaran, Ajeet Singh, Dr. Jyoti Verma, Ikram Ali, Dr. 
Ashish Jolly</t>
  </si>
  <si>
    <t xml:space="preserve">Hybrid CNN-Transformer Architectures for Efficient Image Segmentation and 
Object Recognition </t>
  </si>
  <si>
    <t>Journal of Carcinogenesis</t>
  </si>
  <si>
    <t xml:space="preserve"> 475-483. </t>
  </si>
  <si>
    <t>Sept 2025</t>
  </si>
  <si>
    <t xml:space="preserve"> 1477-3163 </t>
  </si>
  <si>
    <t>https://doi.org/10.64149/J.Carcinog.24.3s.475-483</t>
  </si>
  <si>
    <t>https://carcinogenesis.com/index.php/JOC/article/view/812</t>
  </si>
  <si>
    <t>https://docs.google.com/document/d/1ABEdia99RgxlWB_fWp5vkxLNw2ypl6qV7WaXFsilqXo/edit?usp=sharing</t>
  </si>
  <si>
    <t>Dr.Jaswinder Singh, Dr. Manish,Dr. Analp,Ms. Latika</t>
  </si>
  <si>
    <t>Enhanced brain tumor classification in MRI using an optimized deep random graph dilated diffusion convolutional attention network</t>
  </si>
  <si>
    <t>The internationl journal of Medical Physics research and Practices</t>
  </si>
  <si>
    <t>253-259</t>
  </si>
  <si>
    <t>Medical Physics</t>
  </si>
  <si>
    <t>200-250</t>
  </si>
  <si>
    <r>
      <rPr>
        <u/>
        <sz val="10"/>
        <color rgb="FF000000"/>
        <rFont val="Arial"/>
      </rPr>
      <t>https://doi.org/10.1002/mp.70028</t>
    </r>
  </si>
  <si>
    <t>https://aapm.onlinelibrary.wiley.com/doi/epdf/10.1002/mp.70028</t>
  </si>
  <si>
    <t>Shivani Chauhan, Second Sonika Kandari, Kamal Kant Verma</t>
  </si>
  <si>
    <t>Image Enhancement, Restoration and Segmentation Methods for Vision Based Sign Language Recognition</t>
  </si>
  <si>
    <t>International Journal of Environmental Sciences</t>
  </si>
  <si>
    <t>868-886</t>
  </si>
  <si>
    <t>August</t>
  </si>
  <si>
    <t>Springer Science + Business Media</t>
  </si>
  <si>
    <t>2229-7359</t>
  </si>
  <si>
    <t>https://doi.org/10.64252/ybmtb548</t>
  </si>
  <si>
    <t>https://theaspd.com/index.php/ijes/article/view/6172</t>
  </si>
  <si>
    <t>Mandeep Kaur, Kamal Kant Verma</t>
  </si>
  <si>
    <t>Hybridising Machine Learning Algorithms for Enhanced Detection of DDoS Attacks</t>
  </si>
  <si>
    <t>Journal of Information Technology and Scientific Innovation</t>
  </si>
  <si>
    <t>PDP</t>
  </si>
  <si>
    <t>https://pdpublishers.com/hybridising-machine-learning-algorithms-for-enhanced-detection-of-ddos-attacks/#21</t>
  </si>
  <si>
    <t>Nil</t>
  </si>
  <si>
    <t>Kapil Kumar, Rakhi Bhardwaj, Kamal Kant Verma</t>
  </si>
  <si>
    <t>REAL-TIME OBJECT DETECTION IN AUTONOMOUS VEHICLES USING DEEP LEARNING</t>
  </si>
  <si>
    <t>Journal of Recent Innovations in Computer Science and Technology</t>
  </si>
  <si>
    <t>April</t>
  </si>
  <si>
    <t>NO</t>
  </si>
  <si>
    <t>Academics Achievers Education And Research Foundation (AAERF), India</t>
  </si>
  <si>
    <t>ISSN-(Online)3050-7030</t>
  </si>
  <si>
    <r>
      <rPr>
        <u/>
        <sz val="10"/>
        <color rgb="FF000000"/>
        <rFont val="Arial"/>
      </rPr>
      <t>https://doi.org/10.70454/JRICST.2025.20211</t>
    </r>
  </si>
  <si>
    <t>https://jricst.com/index.php/JRICST</t>
  </si>
  <si>
    <t>https://drive.google.com/file/d/1lAHO7zo9pRvkGBy6a7qVpfyaIqFihry8/view?usp=drive_link</t>
  </si>
  <si>
    <t>Designing AI-Driven Pollution Source Attribution Models: A Case Study in Industrial Clusters Using Satellite Imagery and Deep Learning</t>
  </si>
  <si>
    <t>89-95</t>
  </si>
  <si>
    <t>https://doi.org/10.64252/xs74wn02</t>
  </si>
  <si>
    <t>https://theaspd.com/index.php/ijes/article/view/8190</t>
  </si>
  <si>
    <t>Q3</t>
  </si>
  <si>
    <t>https://drive.google.com/file/d/18F_D45uBYiAi8bxR22pNzhqXPzrz-D8L/view?usp=drive_link</t>
  </si>
  <si>
    <t>IILMGN003842024</t>
  </si>
  <si>
    <t>Deependra Rastogi, Prashant Johri, Massimo Donelli, Lalit Kumar, Shantanu Bindewari, Abhinav Raghav, Sunil Kumar Khatri</t>
  </si>
  <si>
    <t>Brain tumor detection and prediction in MRI images utilizing a Fine-Tuned transfer learning model integrated within deep learning frameworks</t>
  </si>
  <si>
    <t>Life-MDPI</t>
  </si>
  <si>
    <t>327-363</t>
  </si>
  <si>
    <t>MDPI</t>
  </si>
  <si>
    <t>2075-1729</t>
  </si>
  <si>
    <r>
      <rPr>
        <u/>
        <sz val="10"/>
        <color rgb="FF000000"/>
        <rFont val="Arial"/>
      </rPr>
      <t>https://doi.org/10.3390/life15030327</t>
    </r>
  </si>
  <si>
    <t>https://www.mdpi.com/2075-1729/15/3/327</t>
  </si>
  <si>
    <t>https://drive.google.com/file/d/19iVCyBTp2hM_hVC4mCogCN5_nzw79H_t/view?usp=drive_link</t>
  </si>
  <si>
    <t>Omkar Singh, Ajay Shriram Kushwaha,Col. Rahul Sharma,Lalit Kumar</t>
  </si>
  <si>
    <t>Improving energy efficiency in scalable WSNs through IoT-driven
approach</t>
  </si>
  <si>
    <t xml:space="preserve"> International Journal of Information Technology </t>
  </si>
  <si>
    <t>Feburary 2025</t>
  </si>
  <si>
    <t>https://doi.org/10.1007/s41870-025-02471-7</t>
  </si>
  <si>
    <t>https://link.springer.com/article/10.1007/s41870-025-02471-7#citeas</t>
  </si>
  <si>
    <t>https://drive.google.com/file/d/1iz7p8IZRf7uQ6twu5ERFVkNHEpmQiHiK/view?usp=drive_link</t>
  </si>
  <si>
    <t>Justin Rajakumar Maria Thason, Lalit Kumar</t>
  </si>
  <si>
    <t>Containerization in Modern Software Architectures: Optimizing Scalability, Portability, and Resource Efficiency</t>
  </si>
  <si>
    <t>International Journal for Research Publication and Seminar</t>
  </si>
  <si>
    <t xml:space="preserve">may </t>
  </si>
  <si>
    <t>Shodh Sagar International Publications</t>
  </si>
  <si>
    <t>2278-6848</t>
  </si>
  <si>
    <r>
      <rPr>
        <u/>
        <sz val="10"/>
        <color rgb="FF000000"/>
        <rFont val="Arial"/>
      </rPr>
      <t>https://doi.org/10.36676/jrps.v16.i2.262</t>
    </r>
  </si>
  <si>
    <t>http://jrpsjournal.in/index.php/j/article/view/262</t>
  </si>
  <si>
    <t>NA</t>
  </si>
  <si>
    <t>https://drive.google.com/file/d/1p7jQUmBzeUTCsXFRWlJ4kgHCk8XWWt6S/view?usp=drive_link</t>
  </si>
  <si>
    <t>Imran Khan,Phanindra Kumar Kankanampati,Abhishek Tangudu,Om Goel,Dr. Lalit Kumar, Prof.(Dr.) Arpit Jain</t>
  </si>
  <si>
    <t>RF Optimization Strategies for 4G/5G Networks in Multi-Cloud Environments</t>
  </si>
  <si>
    <t>613-627</t>
  </si>
  <si>
    <t>Dec</t>
  </si>
  <si>
    <t>ResaGate GlobalTM</t>
  </si>
  <si>
    <r>
      <rPr>
        <u/>
        <sz val="10"/>
        <color rgb="FF000000"/>
        <rFont val="Arial"/>
      </rPr>
      <t>10.63345/jqst.v2i1.179</t>
    </r>
  </si>
  <si>
    <t>https://jqst.org/index.php/j/article/view/179</t>
  </si>
  <si>
    <t>https://jqst.org/index.php/j/article/view/179/183</t>
  </si>
  <si>
    <t>IILMGN006982025</t>
  </si>
  <si>
    <t xml:space="preserve">Mamta Chauhan,Rani Astya, Sonia Arora,Manali Gupta
</t>
  </si>
  <si>
    <t>Real-time traffic management system based on ultrasonic sensors using LTE communication</t>
  </si>
  <si>
    <t>Journal of Integrated Science &amp; Technology</t>
  </si>
  <si>
    <t>The ScienceIn Publishing</t>
  </si>
  <si>
    <t>2321-4635</t>
  </si>
  <si>
    <r>
      <rPr>
        <u/>
        <sz val="10"/>
        <color rgb="FF000000"/>
        <rFont val="Arial"/>
      </rPr>
      <t>https://doi.org/10.62110/sciencein.jist.2025.v13.1181</t>
    </r>
  </si>
  <si>
    <t>https://pubs.thesciencein.org/journal/index.php/jist/article/view/a1181</t>
  </si>
  <si>
    <t>YES</t>
  </si>
  <si>
    <r>
      <rPr>
        <u/>
        <sz val="10"/>
        <color rgb="FF000000"/>
        <rFont val="Arial"/>
      </rPr>
      <t>RESEARCH - Google Drive</t>
    </r>
  </si>
  <si>
    <t>Rajeev Kumar Dang, Sukhvinder Singh Bamber, Naveen Dogra, Neeru Mago, Mudita Uppal, Deepali Gupta</t>
  </si>
  <si>
    <t>Enhancing Wireless Sensor Network Security with Improved Cryptographic Techniques using Steganographic Integration</t>
  </si>
  <si>
    <t>Journal of Technology</t>
  </si>
  <si>
    <t>321-342</t>
  </si>
  <si>
    <t>National Taiwan University of Science and Technology</t>
  </si>
  <si>
    <r>
      <rPr>
        <u/>
        <sz val="10"/>
        <color rgb="FF000000"/>
        <rFont val="Arial"/>
      </rPr>
      <t>18.15001/JOT.2025/V13I10.25.17717</t>
    </r>
  </si>
  <si>
    <t>https://journaloftechnology.org/volume-13-issue-10-2025/</t>
  </si>
  <si>
    <t>Ambuj Kathuria, Deepali Gupta, Mudita Uppal</t>
  </si>
  <si>
    <t>Sustainable approaches in medical imaging: Enhanced MRI-based brain tumor classification using transfer learning for urban health applications</t>
  </si>
  <si>
    <t>INTERNATIONAL JOURNAL OF SUSTAINABLE Building Technology and Urban Development</t>
  </si>
  <si>
    <t>355-372</t>
  </si>
  <si>
    <t>September</t>
  </si>
  <si>
    <r>
      <rPr>
        <u/>
        <sz val="10"/>
        <color rgb="FF000000"/>
        <rFont val="Arial"/>
      </rPr>
      <t>Sustainable Building Research Center</t>
    </r>
  </si>
  <si>
    <r>
      <rPr>
        <u/>
        <sz val="10"/>
        <color rgb="FF000000"/>
        <rFont val="Arial"/>
      </rPr>
      <t>https://doi.org/10.22712/susb.20250023</t>
    </r>
  </si>
  <si>
    <t>https://www.sbt-durabi.org/articles/article/Azn0/#Information</t>
  </si>
  <si>
    <t>Geeta Sharma, Narinder Verma, Sanjeev Jain, Radhe Shyam Sharma</t>
  </si>
  <si>
    <t>A hybrid framework for secure IoT communication using lightweight cryptography and machine learning-based authentication</t>
  </si>
  <si>
    <t>Peer-to-Peer Networking and Applications</t>
  </si>
  <si>
    <t>307(1-18)</t>
  </si>
  <si>
    <t>1936-6450</t>
  </si>
  <si>
    <t>https://doi.org/10.1007/s12083-025-02123-4</t>
  </si>
  <si>
    <t>https://link.springer.com/article/10.1007/s12083-025-02123-4</t>
  </si>
  <si>
    <t>https://drive.google.com/file/d/1UsT3jiP9_5_6ZKcNALpAmfd0i_lb34D4/view?usp=drive_link</t>
  </si>
  <si>
    <t>A novel univariate feature selection with ANOVA F-test-based machine learning model for Intrusion Detection Framework of Robotics system</t>
  </si>
  <si>
    <t>Applied Artificial Intelligence</t>
  </si>
  <si>
    <t>Taylor &amp; Francis</t>
  </si>
  <si>
    <t>1087-6545</t>
  </si>
  <si>
    <t>https://doi.org/10.1080/08839514.2025.2539395</t>
  </si>
  <si>
    <t>https://www.tandfonline.com/doi/full/10.1080/08839514.2025.2539395</t>
  </si>
  <si>
    <t>https://drive.google.com/file/d/1Unocrv1mTmuzGDXyAfc5ouYI2ZvwSvLB/view?usp=drive_link</t>
  </si>
  <si>
    <t>A hybrid ensemble framework with particle swarm optimization for network anomaly detection</t>
  </si>
  <si>
    <t>Discover Applied Sciences</t>
  </si>
  <si>
    <t>921(1-21)</t>
  </si>
  <si>
    <t>ESCI</t>
  </si>
  <si>
    <t>3004-9261</t>
  </si>
  <si>
    <t>https://doi.org/10.1007/s42452-025-07419-x</t>
  </si>
  <si>
    <t>https://link.springer.com/article/10.1007/s42452-025-07419-x</t>
  </si>
  <si>
    <t>https://drive.google.com/file/d/1kV_ZY-05Mo91B6CAD-zWVUdTm54Meu1X/view?usp=drive_link</t>
  </si>
  <si>
    <t>LSFRS: a lightweight framework for efficient and secure communication in IoT-based robotic surveillance</t>
  </si>
  <si>
    <t>Cluster Computing</t>
  </si>
  <si>
    <t>732(1-17)</t>
  </si>
  <si>
    <t>1573-7543</t>
  </si>
  <si>
    <t>https://doi.org/10.1007/s10586-025-05385-y</t>
  </si>
  <si>
    <t>https://link.springer.com/article/10.1007/s10586-025-05385-y</t>
  </si>
  <si>
    <t>https://drive.google.com/file/d/1mTQpGCmsOgHYu6kDoqoXSNRof9ndzeIW/view?usp=drive_link</t>
  </si>
  <si>
    <t>A real-time intelligent intrusion detection framework for robotic system cybersecurity</t>
  </si>
  <si>
    <t>https://link.springer.com/article/10.1007/s12083-025-02175-6</t>
  </si>
  <si>
    <t>a real time journal 18-12-25.pdf</t>
  </si>
  <si>
    <t xml:space="preserve">Pankaj Sharma </t>
  </si>
  <si>
    <t>IILMGN007322025</t>
  </si>
  <si>
    <t xml:space="preserve">Assistant professor </t>
  </si>
  <si>
    <t>Pankaj Sharma, Dr. R.K. Yadav</t>
  </si>
  <si>
    <t>Empirical Study on Online Media Participation Through Paid Posts: Analysing Influencer Marketing on Facebook</t>
  </si>
  <si>
    <t>Review of Professional Management by SAGE</t>
  </si>
  <si>
    <t>UGC Care Journal</t>
  </si>
  <si>
    <t>SAGE</t>
  </si>
  <si>
    <t>e-issn 2455-0647</t>
  </si>
  <si>
    <t>https://doi.org/10.1177/09728686251384381</t>
  </si>
  <si>
    <t>https://rpm.ndimdelhi.org/pages/table-of-contents/fulltext/?id=596&amp;title=Empirical+Study+on+Online+Media+Participation+Through+Paid+Posts:+Analysing+Influencer+Marketing+on+Facebook</t>
  </si>
  <si>
    <t>https://drive.google.com/file/d/15NtRxefPqL-zcAOOO7HeCpdHrZF3zJYy/view?usp=drivesdk</t>
  </si>
  <si>
    <t>Dr. Govind, Mr. shivam, Ms. Neha, Dr. Pinky , Dr. Niyaz</t>
  </si>
  <si>
    <t>A transfer learning-driven fine-tuning of
YOLOv10 for improved brain tumor detection in
MRI images</t>
  </si>
  <si>
    <t>https://doi.org/10.1038/s41598-025-28813-w</t>
  </si>
  <si>
    <t>https://www.nature.com/articles/s41598-025-28813-w?_gl=1*1w4ni3j*_up*MQ..*_gs*MQ..&amp;gclid=Cj0KCQiAubrJBhCbARIsAHIdxD9euNNTnIvwhJ13q9yKX4SSYSGJl6_NbaDSe2W0LKe708-oSm64u00aAqPOEALw_wcB&amp;gbraid=0AAAAApIOr-WpOFQBTPORWAAqFelh4XE65</t>
  </si>
  <si>
    <t>https://drive.google.com/file/d/107J0k-YHy0LWOxtNYCmyBKPM77VhPfMx/view?usp=sharing</t>
  </si>
  <si>
    <t>Haneef Khan, Prakhar Consul, Abdoh Jabbari, Salahaldeen Duraibi, Hussein Zangoti, Ishan Budhiraja</t>
  </si>
  <si>
    <t>Asynchronous Federated Learning Based Energy Scheduling for Microgrid-Enabled MEC Network</t>
  </si>
  <si>
    <t>IEEE Transactions on Consumer Electronics</t>
  </si>
  <si>
    <t>9133-9144</t>
  </si>
  <si>
    <t>IEEE</t>
  </si>
  <si>
    <t>1558-4127</t>
  </si>
  <si>
    <t>https://doi.org/10.1109/TCE.2025.3560427</t>
  </si>
  <si>
    <t>https://ieeexplore.ieee.org/abstract/document/10964238</t>
  </si>
  <si>
    <t>https://drive.google.com/file/d/1AIxBeoBMDBY9rajiL5HkLOtSpjqw7hzT/view?usp=drive_link</t>
  </si>
  <si>
    <t>Prakhar Consul, Rajeev Tiwari, Surbhi B Khan, Eid Albalawi, Fatima Asiri, Ahlam Almusharraf</t>
  </si>
  <si>
    <t>A Web 3.0 Approach for Forensic-Driven Secure Resource Allocation and Trajectory Optimization in UAV-Assisted MEC Network</t>
  </si>
  <si>
    <t>8226-8233</t>
  </si>
  <si>
    <t>July-Aug</t>
  </si>
  <si>
    <t>https://doi.org/10.1109/TCE.2025.3583636</t>
  </si>
  <si>
    <t>https://ieeexplore.ieee.org/abstract/document/11052738</t>
  </si>
  <si>
    <t>https://drive.google.com/file/d/1GIeVGXeLNJiZvCiwh37YcwV9KzUQZxk8/view?usp=drive_link</t>
  </si>
  <si>
    <t>Prakhar Consul, Ishan Budhiraja, Deepak Garg ,Neeraj Kumar, Joel J. P. C. Rodrigues, and Abdullah Almuhaideb</t>
  </si>
  <si>
    <t>Energy-Efficient Distributed Learning for NOMA-Based Unmanned Aerial Agent-Assisted MEC Networks</t>
  </si>
  <si>
    <t>IEEE INTERNET OF THINGS JOURNAL</t>
  </si>
  <si>
    <t>43991-44001</t>
  </si>
  <si>
    <t>Oct-Nov</t>
  </si>
  <si>
    <t>2327-4662</t>
  </si>
  <si>
    <r>
      <rPr>
        <u/>
        <sz val="10"/>
        <color rgb="FF000000"/>
        <rFont val="Arial"/>
      </rPr>
      <t>10.1109/JIOT.2025.3535236</t>
    </r>
  </si>
  <si>
    <t>https://ieee-amity.refread.com/document/10855418</t>
  </si>
  <si>
    <t>https://drive.google.com/file/d/1sY1q_r5eFEZqmHpDjs64BdvodeHI5Wkp/view?usp=drive_link</t>
  </si>
  <si>
    <t>Poonam,Sanjay,Reeta Mishra</t>
  </si>
  <si>
    <t>A Deep Learning approcah for optimizing Edge Computing for real-time IOT Application</t>
  </si>
  <si>
    <t>International Journal of Research and Review in Applied Science, Humanities, and Technology</t>
  </si>
  <si>
    <t>Feb</t>
  </si>
  <si>
    <t>UGC</t>
  </si>
  <si>
    <t>International Journal of Research and Review in Applied Science, Humanities, and Technology (IJRASHT)</t>
  </si>
  <si>
    <t>43-51</t>
  </si>
  <si>
    <r>
      <rPr>
        <u/>
        <sz val="10"/>
        <color rgb="FF000000"/>
        <rFont val="Arial"/>
      </rPr>
      <t>(PDF) A Deep Learning Approach for Optimizing Edge Computing for Real-Time IoT Applications</t>
    </r>
  </si>
  <si>
    <t>https://drive.google.com/file/d/131kwwPI178ziykmZCr1mEmdkeLs3a-Qc/view?usp=sharing</t>
  </si>
  <si>
    <t>Mohmad Kashif Qureshi,Shweta Sharma,Reeta Mishra</t>
  </si>
  <si>
    <t>Blending AI and Deep Learning for Visual Arts Development to Explore a New Aesthetic Dimension</t>
  </si>
  <si>
    <t>3048-975X</t>
  </si>
  <si>
    <r>
      <rPr>
        <u/>
        <sz val="10"/>
        <color rgb="FF000000"/>
        <rFont val="Arial"/>
      </rPr>
      <t>https://doi.org/10.71143/14jnz737</t>
    </r>
  </si>
  <si>
    <r>
      <rPr>
        <u/>
        <sz val="10"/>
        <color rgb="FF000000"/>
        <rFont val="Arial"/>
      </rPr>
      <t>(PDF) Blending AI and Deep Learning for Visual Arts Development to Explore a New Aesthetic Dimension</t>
    </r>
  </si>
  <si>
    <t>https://drive.google.com/file/d/1e4bbDIO64xS9xO2FOiF2oFGowa9cTtLu/view?usp=sharing</t>
  </si>
  <si>
    <t>Sanghamithra Duggirala, Reeta Mishra</t>
  </si>
  <si>
    <t>Microservices Architecture: A Comparative Analysis of Domain-Driven Design and Service-Oriented Architecture</t>
  </si>
  <si>
    <t>JRPS</t>
  </si>
  <si>
    <t>https://drive.google.com/file/d/1Y_bcJmcl_LnkMQPPCwZ0L0d3rZinFdhY/view?usp=sharing</t>
  </si>
  <si>
    <t>no</t>
  </si>
  <si>
    <t>Vybhav Reddy Kammireddy Changalreddy  ,Reeta Mishra</t>
  </si>
  <si>
    <t>Improving Population Health Analytics with Form Analyzer Using NLP and Computer Vision</t>
  </si>
  <si>
    <t>nternational Journal of Research in all Subjects in Multi Languages</t>
  </si>
  <si>
    <t>201-227</t>
  </si>
  <si>
    <t>ijrsml</t>
  </si>
  <si>
    <t>2321 - 2853</t>
  </si>
  <si>
    <r>
      <rPr>
        <u/>
        <sz val="10"/>
        <color rgb="FF000000"/>
        <rFont val="Arial"/>
      </rPr>
      <t>(PDF) Improving Population Health Analytics with Form Analyzer Using NLP and Computer Vision</t>
    </r>
  </si>
  <si>
    <t>https://drive.google.com/file/d/1q_Phjt8zDi3BVrdRshA21eBLx71BcA5z/view?usp=sharing</t>
  </si>
  <si>
    <r>
      <rPr>
        <u/>
        <sz val="10"/>
        <color rgb="FF000000"/>
        <rFont val="Arial"/>
      </rPr>
      <t>Encoder-Decoder Architectures for Crack Detection on Surfaces: A Deep Learning Approach</t>
    </r>
  </si>
  <si>
    <t>Ingenierie des Systemes d'Information</t>
  </si>
  <si>
    <t>International Information and Engineering Technology Association (IIETA)</t>
  </si>
  <si>
    <t>1633-1311</t>
  </si>
  <si>
    <t>https://doi.org/10.18280/isi.300221</t>
  </si>
  <si>
    <t>https://openurl.ebsco.com/EPDB%3Agcd%3A12%3A2434956/detailv2?sid=ebsco%3Aplink%3Ascholar&amp;id=ebsco%3Agcd%3A183420573&amp;crl=c&amp;link_origin=scholar.google.com</t>
  </si>
  <si>
    <t>https://drive.google.com/file/d/1GhpFn7mroaqc-Rv-qkZ-ZvMnjHTLOPDK/view?usp=drive_link</t>
  </si>
  <si>
    <t>Development of Hybrid Explainable Artificial Intelligence With Swin Vision Transformer Intrusion Detection for Securing VANETs From Attacks</t>
  </si>
  <si>
    <t xml:space="preserve">Transactions on Emerging Communication Technologies </t>
  </si>
  <si>
    <t>e70280</t>
  </si>
  <si>
    <t>WILEY</t>
  </si>
  <si>
    <r>
      <t xml:space="preserve">DOI: </t>
    </r>
    <r>
      <rPr>
        <u/>
        <sz val="10"/>
        <color rgb="FF000000"/>
        <rFont val="Arial"/>
      </rPr>
      <t>10.1002/ett.70280</t>
    </r>
  </si>
  <si>
    <t>https://onlinelibrary.wiley.com/doi/epdf/10.1002/ett.70280</t>
  </si>
  <si>
    <t>https://drive.google.com/file/d/1HYXktlb-QT02WjxippT0FVjoMWrXuqU-/view?usp=sharing</t>
  </si>
  <si>
    <t>IILMGN007002025</t>
  </si>
  <si>
    <t>Pranshu Saxena, Sanjay Kumar Singh, Sandeep Saxena, Sahil Kumar Aggarwal, Arun Kumar Singh, Ashish Kumar, V. Asha</t>
  </si>
  <si>
    <t>GR-HDUNET: GAN-refined hybrid dense U-net with ensemble for colorectal cancer classification</t>
  </si>
  <si>
    <t>Array, ScienceDirect</t>
  </si>
  <si>
    <t>1074-5351</t>
  </si>
  <si>
    <t>Elsevior</t>
  </si>
  <si>
    <t>2590-0056</t>
  </si>
  <si>
    <t>https://doi.org/10.1016/j.array.2025.100531.</t>
  </si>
  <si>
    <t>https://www.sciencedirect.com/science/article/pii/S2590005625001584</t>
  </si>
  <si>
    <t>https://drive.google.com/file/d/1ZRSTv_d_c4Wi0MBe1aaIoVV26ZjzD29H/view?usp=sharing</t>
  </si>
  <si>
    <t>IILMGN007002026</t>
  </si>
  <si>
    <t>Aatif Jamshed, Pranshu Saxena, Sandeep Saxena, Sahil Kumar Aggarwal</t>
  </si>
  <si>
    <t>Metafusion: hybrid ML-based object recognition and GPU rendering for real-time 3D metaverse visualization</t>
  </si>
  <si>
    <t>Metaverse 2025</t>
  </si>
  <si>
    <t>2810-9791</t>
  </si>
  <si>
    <t>https://doi.org/10.54517/m3728</t>
  </si>
  <si>
    <t>https://aber.apacsci.com/index.php/met/article/view/3728</t>
  </si>
  <si>
    <t>https://drive.google.com/file/d/1TxaykHyLTXrkcbVNvPekM_pB4DUQtlHS/view?usp=sharing</t>
  </si>
  <si>
    <t>Pranshu Saxena, Aatif Jamshed, Sanjay Kumar Singh, Sandeep Saxena, Sahil Kumar Aggarwal</t>
  </si>
  <si>
    <t>Bridging deep segmentation and metaverse visualization: Cellpose-based 3D brain tumor reconstruction from MRI</t>
  </si>
  <si>
    <t xml:space="preserve"> https://doi.org/10.54517/m3727</t>
  </si>
  <si>
    <t>https://aber.apacsci.com/index.php/met/article/view/3727</t>
  </si>
  <si>
    <t>https://drive.google.com/file/d/1wPEfM4iTaV6nRICHU9fe1lBnQAIpVtUk/view?usp=sharing</t>
  </si>
  <si>
    <t>IILMGN007002028</t>
  </si>
  <si>
    <t>Sandeep Saxena, Abhilash Eddu, Arun Kumar Singh</t>
  </si>
  <si>
    <t>NFTS: The evaluation of standards and price volatility</t>
  </si>
  <si>
    <t>Metaverse 2026</t>
  </si>
  <si>
    <r>
      <rPr>
        <u/>
        <sz val="10"/>
        <color rgb="FF000000"/>
        <rFont val="Arial"/>
      </rPr>
      <t xml:space="preserve">.
</t>
    </r>
    <r>
      <rPr>
        <u/>
        <sz val="10"/>
        <color rgb="FF1155CC"/>
        <rFont val="Arial"/>
      </rPr>
      <t>https://doi.org/10.54517/3711m</t>
    </r>
  </si>
  <si>
    <t>https://aber.apacsci.com/index.php/met/article/viewFile/3711/4187</t>
  </si>
  <si>
    <t>https://drive.google.com/drive/u/2/my-drive</t>
  </si>
  <si>
    <t>1-58</t>
  </si>
  <si>
    <t>https://journalofbigdata.springeropen.com/counter/pdf/10.1186/s40537-025-01201-x.pdf</t>
  </si>
  <si>
    <t>https://drive.google.com/file/d/1NJbCYWBZE520si2eIMDMLySkpzXXGuyn/view?usp=sharing</t>
  </si>
  <si>
    <t xml:space="preserve">Lightweight Cryptographic Protocols for Wearable Health Devices
</t>
  </si>
  <si>
    <t>INTERNATIONAL JOURNAL OF RESEARCH IN HUMANITIES AND SOCIAL SCIENCES (IJRHS)</t>
  </si>
  <si>
    <r>
      <rPr>
        <u/>
        <sz val="10"/>
        <color rgb="FF000000"/>
        <rFont val="Arial"/>
      </rPr>
      <t>https://doi.org/10.63345/v1.i3.67</t>
    </r>
  </si>
  <si>
    <r>
      <rPr>
        <u/>
        <sz val="10"/>
        <color rgb="FF000000"/>
        <rFont val="Arial"/>
      </rPr>
      <t>Lightweight Cryptographic Protocols for Wearable Health Devices | International Journal of Advanced Research in Computer Science and Engineering (IJARCSE)</t>
    </r>
  </si>
  <si>
    <t>na</t>
  </si>
  <si>
    <r>
      <rPr>
        <u/>
        <sz val="10"/>
        <color rgb="FF000000"/>
        <rFont val="Arial"/>
      </rPr>
      <t>Lightweight Cryptographic Protocols for Wearable Health Devices | International Journal of Advanced Research in Computer Science and Engineering (IJARCSE)</t>
    </r>
  </si>
  <si>
    <t>Decentralized AI-Based Intrusion Detection for Zero-Day Attacks in Cloud Networks</t>
  </si>
  <si>
    <t>International Journal of Advanced Research in Computer Science and Engineering (IJARCSE)</t>
  </si>
  <si>
    <t>84-97</t>
  </si>
  <si>
    <t>May</t>
  </si>
  <si>
    <t>https://doi.org/10.63345/ijarcse.v1.i2.205</t>
  </si>
  <si>
    <r>
      <rPr>
        <u/>
        <sz val="10"/>
        <color rgb="FF000000"/>
        <rFont val="Arial"/>
      </rPr>
      <t>Decentralized AI-Based Intrusion Detection for Zero-Day Attacks in Cloud Networks</t>
    </r>
  </si>
  <si>
    <r>
      <rPr>
        <u/>
        <sz val="10"/>
        <color rgb="FF000000"/>
        <rFont val="Arial"/>
      </rPr>
      <t>Decentralized AI-Based Intrusion Detection for Zero-Day Attacks in Cloud Networks</t>
    </r>
  </si>
  <si>
    <t xml:space="preserve">From Automation to Autonomy: Leveraging Oracle HCM Cloud's AI 
Capabilities to Create Autonomous HR Processes and Decision-Making </t>
  </si>
  <si>
    <t>International Journal of Research in Humanities &amp; Soc. Sciences</t>
  </si>
  <si>
    <t>March</t>
  </si>
  <si>
    <t>https://doi.org/10.63345/ijrhs.net.v13.i3.15</t>
  </si>
  <si>
    <t>GC250252-AP07-From-Automation-to-Autonomy-Leveraging-Oracle-HCM-Clouds-AI-Capabilities-to-Create-Autonomous-HR-Processes-and-Decision-Making-271-288.pdf</t>
  </si>
  <si>
    <t>Na</t>
  </si>
  <si>
    <r>
      <rPr>
        <u/>
        <sz val="10"/>
        <color rgb="FF000000"/>
        <rFont val="Arial"/>
      </rPr>
      <t>GC250252-AP07-From-Automation-to-Autonomy-Leveraging-Oracle-HCM-Clouds-AI-Capabilities-to-Create-Autonomous-HR-Processes-and-Decision-Making-271-288.pdf</t>
    </r>
  </si>
  <si>
    <r>
      <rPr>
        <u/>
        <sz val="10"/>
        <rFont val="Arial"/>
      </rPr>
      <t>https://doi.org/10.3390/life15030327</t>
    </r>
  </si>
  <si>
    <t xml:space="preserve">SHANTANU BINDEWARI, VENKATA VIJAY KRISHNA PARUCHURU, ANEESHKUMAR PERUKILAKATTUNIRAPPEL SUNDARESWARAN, </t>
  </si>
  <si>
    <t>THE ROLE OF AI AND MACHINE LEARNING IN AUTOMATING TASKS AND DECISION-MAKING</t>
  </si>
  <si>
    <t xml:space="preserve">195-214 </t>
  </si>
  <si>
    <t>Jan</t>
  </si>
  <si>
    <t>https://doi.org/10.36676/jrps.v16.i1.42</t>
  </si>
  <si>
    <t>https://jrpsjournal.in/index.php/j/article/view/42</t>
  </si>
  <si>
    <t>IILMGN003492024</t>
  </si>
  <si>
    <t>Sumit Singh Dhanda, Savita Kumari, Vinod Kumar, Sachin Kumar Gupta</t>
  </si>
  <si>
    <t>A low-latency 163-bit ECC processor for IoT applications</t>
  </si>
  <si>
    <t>Journal of Electrical Engineering</t>
  </si>
  <si>
    <t>3(2025)</t>
  </si>
  <si>
    <t>241-255</t>
  </si>
  <si>
    <t>Slovak University of Technology in Bratislava + Paradigm Publishing Services</t>
  </si>
  <si>
    <t>1335-3632</t>
  </si>
  <si>
    <r>
      <rPr>
        <u/>
        <sz val="10"/>
        <color rgb="FF000000"/>
        <rFont val="Arial"/>
      </rPr>
      <t>https://doi.org/10.2478/jee-2025-0025</t>
    </r>
  </si>
  <si>
    <t>https://reference-global.com/article/10.2478/jee-2025-0025</t>
  </si>
  <si>
    <t>https://drive.google.com/file/d/1l1IJJvLIYt3raUxNcdqDvV2BJt3zsrlq/view?usp=sharing</t>
  </si>
  <si>
    <t>Vijaya Choudhary, Paramita Guha, Giovanni Pau</t>
  </si>
  <si>
    <t>Legume Cowpea Leaves Classification for Crop Phenotyping Using Deep Learning and Big Data</t>
  </si>
  <si>
    <t>Google Scholar</t>
  </si>
  <si>
    <t>Tech Science Press.</t>
  </si>
  <si>
    <t>2579-0056</t>
  </si>
  <si>
    <r>
      <rPr>
        <u/>
        <sz val="10"/>
        <color rgb="FF000000"/>
        <rFont val="Arial"/>
      </rPr>
      <t>https://doi.org/10.32604/jbd.2025.065122</t>
    </r>
  </si>
  <si>
    <t>https://www.techscience.com/jbd/v7n1/63371</t>
  </si>
  <si>
    <t>https://drive.google.com/drive/folders/1wMJ5bo8dZD4gtpfLdL7IOuGp2iz7PDmt?usp=drive_link</t>
  </si>
  <si>
    <r>
      <rPr>
        <sz val="10"/>
        <color rgb="FF000000"/>
        <rFont val="Arial"/>
      </rPr>
      <t xml:space="preserve">Vijaya Choudhary, Paramita Guha, </t>
    </r>
    <r>
      <rPr>
        <u/>
        <sz val="10"/>
        <color rgb="FF000000"/>
        <rFont val="Arial"/>
      </rPr>
      <t>Giovanni Pau</t>
    </r>
    <r>
      <rPr>
        <sz val="10"/>
        <color rgb="FF000000"/>
        <rFont val="Arial"/>
      </rPr>
      <t xml:space="preserve">, </t>
    </r>
    <r>
      <rPr>
        <u/>
        <sz val="10"/>
        <color rgb="FF000000"/>
        <rFont val="Arial"/>
      </rPr>
      <t xml:space="preserve">Sunita Mishra </t>
    </r>
  </si>
  <si>
    <t>An overview of smart agriculture using internet of things (IoT) and web services</t>
  </si>
  <si>
    <t>Environmental and Sustainability Indicators</t>
  </si>
  <si>
    <t>2665-9727</t>
  </si>
  <si>
    <t>https://doi.org/10.1016/j.indic.2025.100607</t>
  </si>
  <si>
    <t>https://www.sciencedirect.com/science/article/pii/S2665972725000285</t>
  </si>
  <si>
    <t>Vishakha Agarwal, R.K. Gupta, Akhilesh Tiwari</t>
  </si>
  <si>
    <t>Multi-Phase Recommender Framework for Pattern Warehousing using Evolutionary Optimization</t>
  </si>
  <si>
    <t>IEEE Access</t>
  </si>
  <si>
    <t>2169-3536</t>
  </si>
  <si>
    <r>
      <rPr>
        <u/>
        <sz val="10"/>
        <color rgb="FF000000"/>
        <rFont val="Arial"/>
      </rPr>
      <t>10.1109/ACCESS.2025.3622481</t>
    </r>
  </si>
  <si>
    <r>
      <rPr>
        <u/>
        <sz val="10"/>
        <color rgb="FF000000"/>
        <rFont val="Arial"/>
      </rPr>
      <t>Multi-Phase Recommender Framework for Pattern Warehousing using Evolutionary Optimization | IEEE Journals &amp; Magazine | IEEE Xplore</t>
    </r>
  </si>
  <si>
    <t>https://drive.google.com/file/d/1h_deMVEwSdElpSieTexIv32t7jkeH2hQ/view?usp=sharing</t>
  </si>
  <si>
    <t>GOVERNING FACTORS FOR SELECTION OF INSTRUMENTATION IN PROCESS INDUSTRIES</t>
  </si>
  <si>
    <t>INTERNATIONAL JOURNAL OF RESEARCH IN HUMANITIES AND SOCIAL SCIENCES</t>
  </si>
  <si>
    <t>48-67</t>
  </si>
  <si>
    <t>2347-5404</t>
  </si>
  <si>
    <t xml:space="preserve">https://doi.org/10.63345/ijrhs.net.v13.i3.4
</t>
  </si>
  <si>
    <t>https://elibrary.ru/item.asp?id=81934354</t>
  </si>
  <si>
    <t xml:space="preserve">Akash Punhani </t>
  </si>
  <si>
    <t>Minakshi Memoria, Kamaljit Kuar, Archana Sharma, Akash Punhani, Sapna Yadav, Gaurav Dubey</t>
  </si>
  <si>
    <t>DiEff-MSwinNet: Dilated efficientnet based multi-scale swin transformers for spectrogram-powered epileptic seizure detection in real time</t>
  </si>
  <si>
    <t>Knowledge-Based Systems</t>
  </si>
  <si>
    <t>November</t>
  </si>
  <si>
    <t>1872-7409</t>
  </si>
  <si>
    <t>https://doi.org/10.1016/j.knosys.2025.114927</t>
  </si>
  <si>
    <t>https://www.sciencedirect.com/science/article/abs/pii/S0950705125019653?via%3Dihub</t>
  </si>
  <si>
    <t>https://drive.google.com/file/d/1UAtHTJLLOQOB7fxj6kW99qCqDjxQi4O0/view?usp=drive_link</t>
  </si>
  <si>
    <t>Dr. Akash Punhani</t>
  </si>
  <si>
    <t>Shivam Awasthi</t>
  </si>
  <si>
    <t>IILMGN003552024</t>
  </si>
  <si>
    <t>https://drive.google.com/file/d/18OJNMrsLr80kBRA-jdu2o2bnKHJthdKz/view?usp=drive_link</t>
  </si>
  <si>
    <t>IILMGN006722025</t>
  </si>
  <si>
    <t>Anam Ahsan, Saurabh Shanu, Arijit Roy</t>
  </si>
  <si>
    <t xml:space="preserve"> MODELING TIGER DISPERSAL IN THE CENTRAL INDIAN LANDSCAPE USING A PREY-PREDATOR GAME THEORY APPROACH COUPLED WITH NETWORK ANALYSIS AND REMOTE SENSING-GIS</t>
  </si>
  <si>
    <t>Journal for Nature Conservation</t>
  </si>
  <si>
    <t>January</t>
  </si>
  <si>
    <t>SCIE, Scopus</t>
  </si>
  <si>
    <t>ISSN 1617-1381</t>
  </si>
  <si>
    <t>https://doi.org/10.1016/j.jnc.2026.127224</t>
  </si>
  <si>
    <t>https://www.sciencedirect.com/journal/journal-for-nature-conservation</t>
  </si>
  <si>
    <t>Dr. Deependra Rastogi</t>
  </si>
  <si>
    <t xml:space="preserve">Deependra Rastogi, Prashant Johri, Seifedine Kadry, SeongKi Kim, Lalit Kumar, Vishwadeepak Singh Baghela &amp; Arfat Ahmad Khan </t>
  </si>
  <si>
    <t>XcepFusion for brain tumor detection using a hybrid transfer learning framework with layer pruning and freezing</t>
  </si>
  <si>
    <t>December</t>
  </si>
  <si>
    <t>Nature</t>
  </si>
  <si>
    <t>2045-2322</t>
  </si>
  <si>
    <t>https://doi.org/10.1038/s41598-025-33970-z</t>
  </si>
  <si>
    <t>https://www.nature.com/articles/s41598-025-33970-z#citeas</t>
  </si>
  <si>
    <t>https://drive.google.com/file/d/1w10ByM-8AijKcHi6MxNPsw7lTOFfs4f1/view?usp=drive_link</t>
  </si>
  <si>
    <t>Deependra Rastogi, Prashant Johri, Massimo Donelli, Tarun Agarwal, Shrikant Tiwari, Pushpa Singh</t>
  </si>
  <si>
    <t>XAI-BT-EdgeNet: explainable edge-aware deep learning with squeeze-and-excitation for brain tumor detection and prediction</t>
  </si>
  <si>
    <t>Frontiers in Artificial Intelligence</t>
  </si>
  <si>
    <t>2624-8212</t>
  </si>
  <si>
    <r>
      <rPr>
        <u/>
        <sz val="9"/>
        <color rgb="FF1155CC"/>
        <rFont val="Arial"/>
        <scheme val="minor"/>
      </rPr>
      <t>https://doi.org/10.3389/frai.2025.1676524</t>
    </r>
  </si>
  <si>
    <t>https://www.frontiersin.org/journals/artificial-intelligence/articles/10.3389/frai.2025.1676524/full</t>
  </si>
  <si>
    <t>https://drive.google.com/file/d/1FQ0ufTycGM4gA8Bn7HgY5qstygyX9hrm/view?usp=drive_link</t>
  </si>
  <si>
    <t>Dr. Sahil Kansal</t>
  </si>
  <si>
    <t>IILMGN006962025</t>
  </si>
  <si>
    <t>Basu Dev Shivahare, Hariharan Rajadurai, Deeba K, Sahil Kansal, Sandeep 
Kumar Mathivanan, S.K.B. Sangeetha</t>
  </si>
  <si>
    <t>An Attention-Augmented Multimodal Classification of Alzheimer’s Disease and Parkinson’s Disease vs Healthy Controls using MRI, EEG, and SNP Data</t>
  </si>
  <si>
    <t>https://doi.org/10.1038/s41598-025-32274-6</t>
  </si>
  <si>
    <t>https://www.nature.com/articles/s41598-025-32274-6</t>
  </si>
  <si>
    <t>https://drive.google.com/file/d/13ADqVsJmdn0TQZqF7cnNDRtUFMTr0U0_/view?usp=sharing</t>
  </si>
  <si>
    <t>Dr. Monika Kumari</t>
  </si>
  <si>
    <t>IILMGN003042024</t>
  </si>
  <si>
    <t>AI ML</t>
  </si>
  <si>
    <t>Arun Singh Bhadwal, Monika Kumari &amp; Anil Kumar</t>
  </si>
  <si>
    <t>PCF-VAE: posterior collapse free
variational autoencoder for de
novo drug design</t>
  </si>
  <si>
    <t>Octoober</t>
  </si>
  <si>
    <t>https://doi.org/10.1038/s41598-025-14285-5</t>
  </si>
  <si>
    <t>https://www.nature.com/srep/</t>
  </si>
  <si>
    <t>https://drive.google.com/file/d/19ap2CqbTGekL7Lz6i0KGhQLj-89Fh_VZ/view?usp=drive_link</t>
  </si>
  <si>
    <t>Dr. Lalit Kumar</t>
  </si>
  <si>
    <t>Dr. Kamal Kant Verma</t>
  </si>
  <si>
    <t>Vijay Singh Rana, Ankush Joshi, Kamal Kant Verma</t>
  </si>
  <si>
    <t>Lightweight 3DCNN-BiLSTM Model for Human Activity Recognition using Fusion of RGBD Video Sequences</t>
  </si>
  <si>
    <t>I.J. Information Technology and Computer Science</t>
  </si>
  <si>
    <t>176-193</t>
  </si>
  <si>
    <t>MECS Press</t>
  </si>
  <si>
    <t>2074-9007</t>
  </si>
  <si>
    <t>https://doi.org/10.5815/ijitcs.2025.06.10</t>
  </si>
  <si>
    <t>https://www.mecs-press.org/ijitcs/v17n6.html</t>
  </si>
  <si>
    <t>https://drive.google.com/file/d/11eO27Nu8pjivTL4Nk6Llkx4nGQyXnEhD/view?usp=drive_link</t>
  </si>
  <si>
    <r>
      <rPr>
        <u/>
        <sz val="10"/>
        <color rgb="FF000000"/>
        <rFont val="Arial"/>
      </rPr>
      <t xml:space="preserve">.
</t>
    </r>
    <r>
      <rPr>
        <u/>
        <sz val="10"/>
        <color rgb="FF1155CC"/>
        <rFont val="Arial"/>
      </rPr>
      <t>https://doi.org/10.54517/3711m</t>
    </r>
  </si>
  <si>
    <t>Dr. Mudita</t>
  </si>
  <si>
    <t>Dimple Kapoor, Deepali Gupta, Mudita Uppal, Deepam Goyal and Zheng Liu</t>
  </si>
  <si>
    <t>Transformer-based dual-input deep learning framework for remaining useful life prediction using sensor fusion and attention mechanism</t>
  </si>
  <si>
    <t>STRUCTURAL HEALTH MONITORING-AN INTERNATIONAL JOURNAL</t>
  </si>
  <si>
    <r>
      <rPr>
        <u/>
        <sz val="10"/>
        <color rgb="FF1155CC"/>
        <rFont val="Arial"/>
      </rPr>
      <t>SAGE Publications</t>
    </r>
  </si>
  <si>
    <r>
      <rPr>
        <u/>
        <sz val="10"/>
        <color rgb="FF1155CC"/>
        <rFont val="Arial"/>
      </rPr>
      <t>10.1177/14759217251410489</t>
    </r>
  </si>
  <si>
    <t>https://journals.sagepub.com/doi/10.1177/14759217251410489</t>
  </si>
  <si>
    <t>https://drive.google.com/drive/u/1/folders/16a2lmD6osqP58dEXQh8Fv6LKnLxdACVJ</t>
  </si>
  <si>
    <t>Ankit Tomar, Promod Kumar, Vinay Rishiwal, Mano Yadav, Mohammad Shiblee and Kamal Kant Verma</t>
  </si>
  <si>
    <t>An Artificial Intelligence Framework for Crowd Surveillance and Risk Mitigation</t>
  </si>
  <si>
    <t>Transactions on Emerging Telecommunications Technologies, Wiley</t>
  </si>
  <si>
    <t>Wiley Publication</t>
  </si>
  <si>
    <t>2161-3915</t>
  </si>
  <si>
    <r>
      <rPr>
        <u/>
        <sz val="11"/>
        <color rgb="FF1155CC"/>
        <rFont val="Arial"/>
        <scheme val="minor"/>
      </rPr>
      <t>https://doi.org/10.1002/ett.70376</t>
    </r>
  </si>
  <si>
    <t>https://onlinelibrary.wiley.com/doi/abs/10.1002/ett.70376</t>
  </si>
  <si>
    <t>https://drive.google.com/file/d/1ClSCOrvgMlj8SqcrHH_e3Yx7UNBWafKA/view?usp=drive_link</t>
  </si>
  <si>
    <t>Name of the Conference</t>
  </si>
  <si>
    <t>Type of the Conference</t>
  </si>
  <si>
    <t>Indexing of Conference Publication [Scopus/WoS]</t>
  </si>
  <si>
    <t>Publisher of the Conference Proceedings</t>
  </si>
  <si>
    <t>Conference Organizer</t>
  </si>
  <si>
    <t>Role of yourself in conference</t>
  </si>
  <si>
    <t>Name of the Authors</t>
  </si>
  <si>
    <t>Title of the Paper</t>
  </si>
  <si>
    <t>Month  of Publication</t>
  </si>
  <si>
    <t>Are you the Corresponding Author</t>
  </si>
  <si>
    <t>Published Paper Online Link</t>
  </si>
  <si>
    <t>Upload Conference Certificate</t>
  </si>
  <si>
    <t>Upload the full paper published in the conference</t>
  </si>
  <si>
    <t>Upload Certificate of Attendee / Panelist / Session Chair / Keynote Speaker</t>
  </si>
  <si>
    <t>IILMGN001842024</t>
  </si>
  <si>
    <t>2025 First International Conference on Advances in Computer Science, Electrical, Electronics, and Communication Technologies (CE2CT)</t>
  </si>
  <si>
    <t>International</t>
  </si>
  <si>
    <t>Second author</t>
  </si>
  <si>
    <t>A Comprehensive Study of Deep Learning and Machine Learning Methods for Land Application and Cover Segmentation</t>
  </si>
  <si>
    <t>1094-1099</t>
  </si>
  <si>
    <r>
      <rPr>
        <u/>
        <sz val="10"/>
        <color rgb="FF000000"/>
        <rFont val="Arial"/>
      </rPr>
      <t>10.1109/CE2CT64011.2025.10941693</t>
    </r>
  </si>
  <si>
    <r>
      <rPr>
        <u/>
        <sz val="10"/>
        <color rgb="FF000000"/>
        <rFont val="Arial"/>
      </rPr>
      <t>A Comprehensive Study of Deep Learning and Machine Learning Methods for Land Application and Cover Segmentation | IEEE Conference Publication | IEEE Xplore</t>
    </r>
  </si>
  <si>
    <t>ICCSAI-2025, organized by Galgotias</t>
  </si>
  <si>
    <t xml:space="preserve">International </t>
  </si>
  <si>
    <t>Galgotias University</t>
  </si>
  <si>
    <t>Reviewer</t>
  </si>
  <si>
    <t>https://drive.google.com/file/d/1RgfY344nX940D9BDDby7Z34d_SAl4Gw7/view?usp=drive_link</t>
  </si>
  <si>
    <t>IEEE 7th International Conference on Computing,</t>
  </si>
  <si>
    <t>https://drive.google.com/file/d/16vsr3H8PmAkxAVFLONM39Bi2aaqpRrxC/view?usp=drive_link</t>
  </si>
  <si>
    <t>3rd International Conference on MAchine inTelligence for Research &amp; Innovations (MAITRI2025)</t>
  </si>
  <si>
    <t>School of Electronics Engineering, KIIT Deemed to be University</t>
  </si>
  <si>
    <t>Session Chaired</t>
  </si>
  <si>
    <t>Dr Anand Singh</t>
  </si>
  <si>
    <t>https://drive.google.com/file/d/1bpyn35OUVmvLIRr-1P8IuGt39ZMCPtHz/view</t>
  </si>
  <si>
    <t>International Conference on Emerging Treands in Engineering Science and Management (ETESM 2025)</t>
  </si>
  <si>
    <t>Echelon Institute of Technology, Faridabad, Haryana,</t>
  </si>
  <si>
    <t>https://drive.google.com/file/d/1BWyZMgYhFser6t8rtqH-b-t9yqbu_7cQ/view</t>
  </si>
  <si>
    <t>1st IEEE UP Section Women in Engineering International Conference in Electrical, Electronics and Computer Engineering (UPWIECON 2025)</t>
  </si>
  <si>
    <t>NIELIT Dehradun</t>
  </si>
  <si>
    <t>Session Chair</t>
  </si>
  <si>
    <t>https://drive.google.com/file/d/1OuixxVILy3xeIbxXHXL6Y0b6yD6yF5FE/view</t>
  </si>
  <si>
    <t>International Conference on Sustainable Computing and Artificial Intelligence</t>
  </si>
  <si>
    <t>Jaipur</t>
  </si>
  <si>
    <t>https://drive.google.com/file/d/1dcZSLG4bNuGiiZxKw7uFbgTj6voKg3l-/view?usp=drive_link</t>
  </si>
  <si>
    <t>3rd International Conference on Intelligent and Secure Engineering Solutions (CISES-2025)</t>
  </si>
  <si>
    <t>IEEE Explore</t>
  </si>
  <si>
    <t xml:space="preserve">G.L Bajaj Institute of Technology &amp; Management,  Greater Noida </t>
  </si>
  <si>
    <t>Technical Committee Member( Reviewer)</t>
  </si>
  <si>
    <t>https://drive.google.com/file/d/1RwPOst8NBDyXLICf-3C0-fOg2AMZQbw4/view?usp=drivesdk</t>
  </si>
  <si>
    <t>4th International Conference on Advancement</t>
  </si>
  <si>
    <t>Raj Kumar Goel Institute of Technology (RKGIT), Ghaziabad, Uttar Pradesh, India.</t>
  </si>
  <si>
    <t>Author</t>
  </si>
  <si>
    <t>Prakhar Mittal
; Jasleen Singh Saini; Ankita Agarwal; Rajeev Kumar Maheshwari; Sandeep Kumar; Arjun Singh</t>
  </si>
  <si>
    <t>Fake News Detection Using Machine Learning Techniques</t>
  </si>
  <si>
    <t>1374–1377</t>
  </si>
  <si>
    <t>https://doi.org/10.1109/AECE62803.2024.10911448</t>
  </si>
  <si>
    <r>
      <rPr>
        <u/>
        <sz val="10"/>
        <color rgb="FF000000"/>
        <rFont val="Arial"/>
      </rPr>
      <t>Fake News Detection Using Machine Learning Techniques | IEEE Conference Publication | IEEE Xplore</t>
    </r>
  </si>
  <si>
    <r>
      <rPr>
        <u/>
        <sz val="10"/>
        <color rgb="FF000000"/>
        <rFont val="Arial"/>
      </rPr>
      <t>Conference | Fake news - Google Drive</t>
    </r>
  </si>
  <si>
    <r>
      <rPr>
        <u/>
        <sz val="10"/>
        <color rgb="FF000000"/>
        <rFont val="Arial"/>
      </rPr>
      <t>Conference | Fake news - Google Drive</t>
    </r>
  </si>
  <si>
    <r>
      <rPr>
        <u/>
        <sz val="10"/>
        <color rgb="FF000000"/>
        <rFont val="Arial"/>
      </rPr>
      <t>Conference | Fake news - Google Drive</t>
    </r>
  </si>
  <si>
    <t>Mr</t>
  </si>
  <si>
    <t>Ashis Kumar Ratha</t>
  </si>
  <si>
    <t>IILMGN002122023</t>
  </si>
  <si>
    <t>ICDSM 2024</t>
  </si>
  <si>
    <t>GIET Baniatangi ODISHA</t>
  </si>
  <si>
    <t>Pabani Mahanta, Sabyasachi Mohanty, Arpita Priyadarshini, Ashis Kumar Ratha, Sushree Sasmita Dash, Debasish Swapnesh Kumar Nayak</t>
  </si>
  <si>
    <t>DeepCCi 1.0: A Deep Learning Model for survical Cancer</t>
  </si>
  <si>
    <t>10.1007/978-981-96-8639-1_13</t>
  </si>
  <si>
    <t>2025 International Conference on Innovations in Intelligent Systems: Advancements in Computing, Communication, and Cybersecurity (ISAC3)</t>
  </si>
  <si>
    <t>SOA University</t>
  </si>
  <si>
    <t>Sanghamitra Panda, Sushree Sasmita Dash, Ashis Kumar Ratha, Swapnajit Sahoo, Annimesh Sasmal, Debasish Swapnesh Kumar Nayak</t>
  </si>
  <si>
    <t>YouTube Sentiment Analyzer for Modi (YSAM): Unlocking YouTube Comment Sentiments with Machine Learning and Visualization</t>
  </si>
  <si>
    <t>10.1109/ISAC364032.2025.11156254</t>
  </si>
  <si>
    <t>https://drive.google.com/file/d/1HjBrLHZxj98nf8csSUOqF-Ut5h6nL4Us/view?usp=drive_link</t>
  </si>
  <si>
    <t>Tejaswini Das, Sabyasachi Mohanty, Debasish Swapnesh Kumar Nayak, Ashis Kumar Ratha, Satyananda Swain, Tripti Swarnkar</t>
  </si>
  <si>
    <t>GenENet 1.0: A Deep Network Pipeline with Generative Adversarial Networks for Tumor Identification</t>
  </si>
  <si>
    <t>10.1109/ISAC364032.2025.11156252</t>
  </si>
  <si>
    <t>https://drive.google.com/file/d/1KaxzF7Wi3vEHwc7cMu9SgD7cWFO8syiB/view?usp=drive_link</t>
  </si>
  <si>
    <t>2025 3rd IEEE International Conference on Industrial Electronics: Developments &amp; Applications (ICIDeA)</t>
  </si>
  <si>
    <t>IEEE Xplore</t>
  </si>
  <si>
    <t>KIIT University</t>
  </si>
  <si>
    <t>Tejaswini Das, Ashis Kumar Ratha, Sushree Sasmita Dash, Rakesh Pandey, Sabyasachi Mohanty, Debasish Swapnesh Kumar Nayak</t>
  </si>
  <si>
    <t>BCViMer 1.0: A Deep Network Pipeline for the Identification of Breast Cancer Using MRI Data</t>
  </si>
  <si>
    <r>
      <rPr>
        <u/>
        <sz val="10"/>
        <color rgb="FF000000"/>
        <rFont val="Arial"/>
      </rPr>
      <t>10.1109/ICIDeA64800.2025.10963085</t>
    </r>
  </si>
  <si>
    <t>https://drive.google.com/file/d/1oA8cUNN6PZgaAFrtOPro7_vPomOd260w/view?usp=drive_link</t>
  </si>
  <si>
    <t>2024 Fourth International Conference on Advances in Electrical, Computing, Communication and Sustainable Technologies (ICAECT)</t>
  </si>
  <si>
    <t>SSTC,Bhilai</t>
  </si>
  <si>
    <t>Chandra Kumar Sahu; Sushree Sasmita Dash; Anupa Sinha; Rahul Baghel; Rajendra Kumar Sahu; Ashis Kumar Ratha</t>
  </si>
  <si>
    <t>User-Centric Approach to Fortify Cloud Data Security with Hybrid Cryptosystem Methods</t>
  </si>
  <si>
    <t>10.1109/ICAECT60202.2024.10468782</t>
  </si>
  <si>
    <t>https://drive.google.com/file/d/1KAWlIcdV3IV0d4hgCWzIBo8Fts-kZdbI/view?usp=sharing</t>
  </si>
  <si>
    <t>2024 15th International Conference on Computing Communication and Networking Technologies (ICCCNT)</t>
  </si>
  <si>
    <t>IIT, Mandi</t>
  </si>
  <si>
    <t>G. Rajeswarappa; R. Vignesh; Ashis Kumar Ratha; S. Devi; R.A.M. Jainaf Nachiya; M. Selvakumar</t>
  </si>
  <si>
    <t>An Efficient Feature Selection in Diabetes Prediction Using Clustering Greedy Stepwise Search Algorithm</t>
  </si>
  <si>
    <t>10.1109/ICCCNT61001.2024.10725392</t>
  </si>
  <si>
    <t>https://drive.google.com/file/d/1ZSXrcWVgjgeMDRwx_SDYnMUwwYH_4RuX/view?usp=sharing</t>
  </si>
  <si>
    <t>12th International Conference on Computing for Sustainable Global Development (INDIACom)</t>
  </si>
  <si>
    <t>Bharati Vidyapeeth's Institute of Computer Applications &amp; Management (BVICAM), New Delhi, India</t>
  </si>
  <si>
    <t>Ashish Kumar Rastogi; Arun Kumar Singh; Rishabh Srivastava</t>
  </si>
  <si>
    <t>Advanced Multimodal Acoustic Data Pre-Processing and Deep Learning Techniques for Enhanced Parkinson's Disease Detection and Management</t>
  </si>
  <si>
    <t>10.23919/INDIACom66777.2025.11115558</t>
  </si>
  <si>
    <r>
      <rPr>
        <u/>
        <sz val="10"/>
        <color rgb="FF000000"/>
        <rFont val="Arial"/>
      </rPr>
      <t>https://ieeexplore.ieee.org/document/11115558</t>
    </r>
  </si>
  <si>
    <t>https://drive.google.com/file/d/1gSTccwT-b8aP0n3fzVVkssun1PbSI1Cu/view?usp=drive_link</t>
  </si>
  <si>
    <r>
      <rPr>
        <u/>
        <sz val="10"/>
        <color rgb="FF000000"/>
        <rFont val="Arial"/>
      </rPr>
      <t>https://drive.google.com/file/d/1MoZwKn9jzfzA4fWoS2bih9u9rE_kXoJe/view?usp=drive_link</t>
    </r>
  </si>
  <si>
    <t>Arun Kumar Singh; Ashish Kumar Rastogi</t>
  </si>
  <si>
    <t>Prediction of Epileptic Seizures Through Machine Learning Classification Methods</t>
  </si>
  <si>
    <t>10.23919/INDIACom66777.2025.11115670</t>
  </si>
  <si>
    <r>
      <rPr>
        <u/>
        <sz val="10"/>
        <color rgb="FF000000"/>
        <rFont val="Arial"/>
      </rPr>
      <t>https://ieeexplore.ieee.org/document/11115670</t>
    </r>
  </si>
  <si>
    <r>
      <rPr>
        <u/>
        <sz val="10"/>
        <color rgb="FF000000"/>
        <rFont val="Arial"/>
      </rPr>
      <t>https://drive.google.com/file/d/1pNe9BIUpyKZ55NUTrfRATar_Ok9TEIWu/view?usp=drive_link</t>
    </r>
  </si>
  <si>
    <t>2025 International Conference on Automation and Computation (AUTOCOM)</t>
  </si>
  <si>
    <t>Graphic Era Hill University (GEHU), Dehradun</t>
  </si>
  <si>
    <t>Nitin Jain; Surendra Singh Chauhan; Ajay Goel; Ashish Kumar Rastogi; Alok Raj; Priyanka Agrawal</t>
  </si>
  <si>
    <t>Empirical Study to Select a Place to Stay in NCR Area Using Data Mining and Machine Learning</t>
  </si>
  <si>
    <t>198-201</t>
  </si>
  <si>
    <t>10.1109/AUTOCOM64127.2025.10956374</t>
  </si>
  <si>
    <r>
      <rPr>
        <u/>
        <sz val="10"/>
        <color rgb="FF000000"/>
        <rFont val="Arial"/>
      </rPr>
      <t>https://ieeexplore.ieee.org/document/10956374</t>
    </r>
  </si>
  <si>
    <r>
      <rPr>
        <u/>
        <sz val="10"/>
        <color rgb="FF000000"/>
        <rFont val="Arial"/>
      </rPr>
      <t>https://drive.google.com/file/d/1XCvEuHsGFcTrEi92DzofyA-GfiRC3uYG/view?usp=drive_link</t>
    </r>
  </si>
  <si>
    <t>Surendra Singh Chauhan; Arun Kumar Singh; Ashish Kumar Rastogi; Nitin Jain; Aman Kaushik; Pramod Vishwakarma</t>
  </si>
  <si>
    <t>Deepfake Detection in Picture</t>
  </si>
  <si>
    <t>359-363</t>
  </si>
  <si>
    <t>10.1109/AUTOCOM64127.2025.10956280</t>
  </si>
  <si>
    <r>
      <rPr>
        <u/>
        <sz val="10"/>
        <color rgb="FF000000"/>
        <rFont val="Arial"/>
      </rPr>
      <t>https://ieeexplore.ieee.org/document/10956280</t>
    </r>
  </si>
  <si>
    <r>
      <rPr>
        <u/>
        <sz val="10"/>
        <color rgb="FF000000"/>
        <rFont val="Arial"/>
      </rPr>
      <t>https://drive.google.com/file/d/1ELu4bzUvEovfymyv0jj1nkQsf54G6pYj/view?usp=drive_link</t>
    </r>
  </si>
  <si>
    <t>16th IEEE International Conference on Computing, Communication, and Networking Technologies (ICCCNT) 2025</t>
  </si>
  <si>
    <t>Indian Institute of Technology Indore (IIT Indore), Madhya Pradesh, India</t>
  </si>
  <si>
    <t>Track Chair</t>
  </si>
  <si>
    <t>Dr. Ashish Kumar Rastogi</t>
  </si>
  <si>
    <t>https://drive.google.com/file/d/1rdcNy4HFCWRa4VwbgionjsMRDj2vfkRa/view?usp=drive_link</t>
  </si>
  <si>
    <t>1st International Conference on Advanced
Sustainability 2025 (ICAS - 2025)</t>
  </si>
  <si>
    <t xml:space="preserve">CGC Landran, Mohali,
Punjab, India. 
</t>
  </si>
  <si>
    <t xml:space="preserve">A Blockchain-Based Framework for Supply
Chain Transparency and Traceability </t>
  </si>
  <si>
    <t>Publication under process</t>
  </si>
  <si>
    <t>https://drive.google.com/file/d/1iwTM5sZNoULuYJI1rDDK3XQ3wpwDAkR-/view?usp=drive_link</t>
  </si>
  <si>
    <t>8th International Conference on Innovative Computing and Communication (ICICC-2025)</t>
  </si>
  <si>
    <t xml:space="preserve">Springer </t>
  </si>
  <si>
    <t>Shaheed Sukhdev College of Business Studies, University of Delhi, New Delhi</t>
  </si>
  <si>
    <t>Bhavana Srivastava, Anurag Shrivastava</t>
  </si>
  <si>
    <t>Automated Detection of Urbanization Dynamics Through Deep Learning-Based Remote Sensing Analysis</t>
  </si>
  <si>
    <t>237-248</t>
  </si>
  <si>
    <t>october</t>
  </si>
  <si>
    <t>https://doi.org/10.1007/978-981-96-7137-3_17</t>
  </si>
  <si>
    <t>https://link.springer.com/book/10.1007/978-981-96-7137-3</t>
  </si>
  <si>
    <t>https://drive.google.com/file/d/1SG2Q8q7Ta6VSU2Ki4urtZUBQH8R-Qb2J/view?usp=sharing</t>
  </si>
  <si>
    <t>https://drive.google.com/file/d/1T5RKVdWsf9pDEE6fG89uUurB4jeAOrwr/view?usp=sharing</t>
  </si>
  <si>
    <t>International Conference on Artificial Intelligence and Computer Vision in Medical Domain</t>
  </si>
  <si>
    <t>DST-Centre for Interdisciplinary Mathematical Sciences, Institute of Science, Banaras Hindu University, Varanasi</t>
  </si>
  <si>
    <t>Classifying Prostate Cancer Using Transfer Learning Models Based on Histopathological Images</t>
  </si>
  <si>
    <t>February</t>
  </si>
  <si>
    <t>https://drive.google.com/file/d/1Vn0ju1PoMJxk8hOws7J4RvbcHIRi-mn5/view?usp=sharing</t>
  </si>
  <si>
    <t>5th International Conference on Advancement in Electronics &amp; Communication Engineering 2025</t>
  </si>
  <si>
    <t>RKGIT, Ghaziabad UP</t>
  </si>
  <si>
    <t>Bhavana Srivastava, Anurag Shrivastava, Reeta Mishra, Daksha Borada</t>
  </si>
  <si>
    <t>Smart Traffic Signal Coordination in Urban Networks via Multi-Agent Reinforcement Learning</t>
  </si>
  <si>
    <t xml:space="preserve">November </t>
  </si>
  <si>
    <t>https://drive.google.com/file/d/1Sp6Rt5WbMWqfv3rKtM6_6h91TztZQ8ZI/view?usp=sharing</t>
  </si>
  <si>
    <t>Reeta Mishra, Bhavana Shrivastava</t>
  </si>
  <si>
    <t>Towards Accurate Sentiment Analysis in Customer Reviews: A Sarcasm-Aware Ensemble Framework</t>
  </si>
  <si>
    <t>https://drive.google.com/file/d/1lX63KWTZbBIR0kTwWntDwe6Jd_T_kNwf/view?usp=sharing</t>
  </si>
  <si>
    <t>6th IEEE INDISCON 2025</t>
  </si>
  <si>
    <t>NIT Rourkela, Odisha</t>
  </si>
  <si>
    <t>Bhavana Srivastava</t>
  </si>
  <si>
    <t>https://drive.google.com/file/d/1Gxy7oGfwL3IdfPUgvK9Jv-FMbgliKW-c/view?usp=sharing</t>
  </si>
  <si>
    <t>https://drive.google.com/file/d/1tdIZ-HoqcZW7hYkdlhhobAE79m0KVTTS/view?usp=sharing</t>
  </si>
  <si>
    <t>2nd International Conference on Innovations in Data Science (ICIDS)</t>
  </si>
  <si>
    <t>Manipal University, Jaipur, India</t>
  </si>
  <si>
    <t>https://drive.google.com/file/d/19pONHqlX4afRrL209eo4hBQz_WTn65k3/view?usp=sharing</t>
  </si>
  <si>
    <t>8th IEEE Pune section International conference (IEEE PUNECON 2025)</t>
  </si>
  <si>
    <t>Savitribai Phule Pune University &amp; IEEE Pune Section</t>
  </si>
  <si>
    <t>https://drive.google.com/file/d/1x7RC0bK5Av_i3jjSrYdZeq5YHpgTLFqZ/view?usp=sharing</t>
  </si>
  <si>
    <t>2025 IEEE 3rd International Symposium on Sustainable Energy Signal Processing and Cybersecurity</t>
  </si>
  <si>
    <t>Department of Electrical Engineering and Electrical &amp; Electronics Engineering School of Engineering and Technology Gandhi Institute of Engineering and Technology University, Odisha, Gunupur</t>
  </si>
  <si>
    <t>https://drive.google.com/file/d/1_iZc-kCkk5YodYHM8ERmFAw3oqI0jP1u/view?usp=sharing</t>
  </si>
  <si>
    <t>2025 International Conference on Cognitive Computing in Engineering, Communications, Sciences and Biomedical Health Informatics (IC3ECSBHI)</t>
  </si>
  <si>
    <t>Gautam Buddha University,Greater noiida</t>
  </si>
  <si>
    <t>Daksha Borada, Reeta Mishra, Padmesh Tripathi</t>
  </si>
  <si>
    <t xml:space="preserve">
Enhancing Code Modularity and Game Mechanics in Modern Game Development</t>
  </si>
  <si>
    <t>1423-1427</t>
  </si>
  <si>
    <t>10.1109/IC3ECSBHI63591.2025.10991066</t>
  </si>
  <si>
    <t>https://scholar.google.com/citations?view_op=view_citation&amp;hl=en&amp;user=CDuSHUwAAAAJ&amp;citation_for_view=CDuSHUwAAAAJ:qjMakFHDy7sC</t>
  </si>
  <si>
    <t>https://drive.google.com/file/d/13Ni0Z_Afe1_kGzZrgmaBzQZFLT6hkKme/view?usp=drive_link</t>
  </si>
  <si>
    <t>2025 10th International Conference on ICT for Sustainable Development.</t>
  </si>
  <si>
    <t>Global Knowledge Research Foundation and G R Scholastic LLP</t>
  </si>
  <si>
    <t>Gaurav Kumar, Lalit Kumar, Deependra Rastogi, Mahesh Swami, Atiku Hasan</t>
  </si>
  <si>
    <t>DDOS Attack Detection in Cloud Computing using Machine Learning</t>
  </si>
  <si>
    <t>502-511</t>
  </si>
  <si>
    <t>https://doi.org/10.1007/978-3-032-06694-7_47</t>
  </si>
  <si>
    <t>https://link.springer.com/chapter/10.1007/978-3-032-06694-7_47</t>
  </si>
  <si>
    <t>https://drive.google.com/drive/folders/1N-g132PXEPRBY2zwxtVHTPSowKVrehKA?usp=drive_link</t>
  </si>
  <si>
    <t>https://drive.google.com/file/d/1jOVylLR6OK-j45NHvYY1UU_aFNDiqbei/view?usp=sharing</t>
  </si>
  <si>
    <t>Dr. Sumit Singh Dhanda</t>
  </si>
  <si>
    <t>Amar Singh, Sumit Singh Dhanda</t>
  </si>
  <si>
    <t>Smart Waste Management: A Machine Learning -Based System for Urban Cleanliness and Efficiency</t>
  </si>
  <si>
    <t>Yet to be published online</t>
  </si>
  <si>
    <t>21st IEEE Biomedical Circuits and Systems Conference 2025</t>
  </si>
  <si>
    <t>Khalifa University, Abu Dhabi, UAE</t>
  </si>
  <si>
    <t xml:space="preserve"> First author &amp; corresponding author</t>
  </si>
  <si>
    <t>Gajraj Singh, A. D. Darji, J. N. Sarvaiya</t>
  </si>
  <si>
    <t>Spatio-Temporal Interaction for Left Ventricle Ejection Fraction Prediction in Echocardiography</t>
  </si>
  <si>
    <t>219-223</t>
  </si>
  <si>
    <t>10.1109/BioCAS67066.2025.00056</t>
  </si>
  <si>
    <t>https://ieeexplore.ieee.org/document/11327477</t>
  </si>
  <si>
    <t>https://drive.google.com/file/d/1-uYlDRqv6Bgqf9S0oag-XsBBoYXitAwA/view?usp=drive_link</t>
  </si>
  <si>
    <t xml:space="preserve">1st National Conference  on  Technologies for Sustainable Development Goals 2025 (TECH4SDG-2025) </t>
  </si>
  <si>
    <t>National</t>
  </si>
  <si>
    <t>UGC Peer Reviewed</t>
  </si>
  <si>
    <t>International Journal of Research in Modern Engineering &amp; Emerging Technology</t>
  </si>
  <si>
    <t>School of Computer Science &amp; Engineering IILM University Greater Noida</t>
  </si>
  <si>
    <t>Komal Sharma, Dr. Pankaj Kumar Varshney, Aditi Aggarwal &amp; Gaurav Kumar</t>
  </si>
  <si>
    <t>Smart Surveillance: “A Real-Time Crowd Analysis System for Density and Anomaly Detection”'</t>
  </si>
  <si>
    <t>18-22</t>
  </si>
  <si>
    <t xml:space="preserve">April </t>
  </si>
  <si>
    <t>https://doi.org/10.63345/ijrmeet.org.v13.si1.1301</t>
  </si>
  <si>
    <t>https://ijrmeet.org/vol-13-sp-issue-1-april-2025/</t>
  </si>
  <si>
    <t>https://drive.google.com/file/d/1jOVylLR6OK-j45NHvYY1UU_aFNDiqbei/view?usp=drive_link</t>
  </si>
  <si>
    <t>2nd International Conference, ReDCySec 2024Lecture</t>
  </si>
  <si>
    <t>LNNS Springer</t>
  </si>
  <si>
    <t>Sharda University</t>
  </si>
  <si>
    <t xml:space="preserve">Pankaj Kumar Varshney, Ganesh Kumar Wadhwani &amp; Gaurav Kumar </t>
  </si>
  <si>
    <t>Impact of Mobile Node Power Consumption in Different Mobility Models on Security</t>
  </si>
  <si>
    <t xml:space="preserve">15–32
</t>
  </si>
  <si>
    <r>
      <rPr>
        <sz val="10"/>
        <color rgb="FF000000"/>
        <rFont val="Arial, sans-serif"/>
      </rPr>
      <t xml:space="preserve">"DOI
</t>
    </r>
    <r>
      <rPr>
        <u/>
        <sz val="10"/>
        <color rgb="FF000000"/>
        <rFont val="Arial, sans-serif"/>
      </rPr>
      <t>https://doi.org/10.1007/978-981-96-3284-8_2</t>
    </r>
    <r>
      <rPr>
        <sz val="10"/>
        <color rgb="FF000000"/>
        <rFont val="Arial, sans-serif"/>
      </rPr>
      <t>2"</t>
    </r>
  </si>
  <si>
    <t>https://link.springer.com/chapter/10.1007/978-981-96-3284-8_2</t>
  </si>
  <si>
    <t>https://drive.google.com/file/d/1-6pMyUjhQxpP4NPh7vBXUvV7HHVt1p8g/view?usp=sharing</t>
  </si>
  <si>
    <t>IILMGN0004862024</t>
  </si>
  <si>
    <r>
      <rPr>
        <sz val="10"/>
        <color rgb="FF000000"/>
        <rFont val="Roboto, Arial, sans-serif"/>
      </rPr>
      <t>DOI:</t>
    </r>
    <r>
      <rPr>
        <u/>
        <sz val="10"/>
        <color rgb="FF000000"/>
        <rFont val="Arial"/>
      </rPr>
      <t>10.1007/978-3-032-06694-7_47</t>
    </r>
  </si>
  <si>
    <t>https://drive.google.com/file/d/1T8kXG3SxwbLs84hawR_LvRFAhRtoAs8k/view?usp=drive_link</t>
  </si>
  <si>
    <t>https://drive.google.com/file/d/1jziMEkW3-z00Blq5lwW-GhW4NcGGbVQB/view?usp=drive_link</t>
  </si>
  <si>
    <t>https://drive.google.com/file/d/1d7SYsZevAKn0e4P2xxAF0wxoOrJQLCGJ/view?usp=drive_link</t>
  </si>
  <si>
    <t>Recent Trends in Intelligent Computing and Communication</t>
  </si>
  <si>
    <t>Taylor and francis</t>
  </si>
  <si>
    <t>Galgotia college of engineering and technology</t>
  </si>
  <si>
    <t xml:space="preserve">Third author </t>
  </si>
  <si>
    <t>Automated crowd detection and tracking system using AI powered drones</t>
  </si>
  <si>
    <t>https://doi.org/10.1201/9781003593034</t>
  </si>
  <si>
    <r>
      <rPr>
        <u/>
        <sz val="10"/>
        <color rgb="FF000000"/>
        <rFont val="Arial"/>
      </rPr>
      <t>Recent Trends in Intelligent Computing and Communication | Volume 1 |</t>
    </r>
  </si>
  <si>
    <t>Harshal Patil</t>
  </si>
  <si>
    <t>IILMGN003572024</t>
  </si>
  <si>
    <t>2025 3rd International Conference on Inventive Computing and Informatics (ICICI)</t>
  </si>
  <si>
    <t>SEACET, Bengaluru</t>
  </si>
  <si>
    <t>RM Jagadish, Vipashi Kansal, M Lakshmi, HK Bhargav, Harshal Patil, Ramya Maranan</t>
  </si>
  <si>
    <t>Text Classification using Siamese Graph Convolutional Pyramid Attention Network using Binary Light Spectrum Optimizer</t>
  </si>
  <si>
    <t>570-576</t>
  </si>
  <si>
    <t>July</t>
  </si>
  <si>
    <t>10.1109/ICICI65870.2025.11069917</t>
  </si>
  <si>
    <r>
      <rPr>
        <u/>
        <sz val="10"/>
        <color rgb="FF000000"/>
        <rFont val="Arial"/>
      </rPr>
      <t>https://ieeexplore.ieee.org/abstract/document/11069917</t>
    </r>
  </si>
  <si>
    <t>2025 Global Conference in Emerging Technology (GINOTECH)</t>
  </si>
  <si>
    <t>Dr. D. Y. Patil Institute of Technology, Pimpri, Pune</t>
  </si>
  <si>
    <t>Jim Mathew Philip, Tanusha Mittal, Najmuddin Aamer, Harshal Patil, Vasudeva Pai</t>
  </si>
  <si>
    <t>Artificial Intelligence-Driven Predictive Maintenance for Optical Fiber Networks</t>
  </si>
  <si>
    <t>10.1109/GINOTECH63460.2025.11076936</t>
  </si>
  <si>
    <r>
      <rPr>
        <u/>
        <sz val="10"/>
        <color rgb="FF000000"/>
        <rFont val="Arial"/>
      </rPr>
      <t>https://ieeexplore.ieee.org/abstract/document/11076936</t>
    </r>
  </si>
  <si>
    <t>Abbas Thajeel Rhaif Alsahlanee, Pareshwar Prasad Barmola, Najmuddin Aamer, G Satish, Harshal Patil, Syed Noeman Taqui</t>
  </si>
  <si>
    <t>IoT-Enabled Secure Communication Protocols for Smart Grids</t>
  </si>
  <si>
    <t>10.1109/GINOTECH63460.2025.11076933</t>
  </si>
  <si>
    <r>
      <rPr>
        <u/>
        <sz val="10"/>
        <color rgb="FF000000"/>
        <rFont val="Arial"/>
      </rPr>
      <t>https://ieeexplore.ieee.org/abstract/document/11076933</t>
    </r>
  </si>
  <si>
    <t>2025 International Conference on Frontier Technologies and Solutions (ICFTS)</t>
  </si>
  <si>
    <t>St. Joseph’s College of Engineering in Chennai</t>
  </si>
  <si>
    <t>JehanKadhim Shareef Al-Safi, Tanusha Mittal, Najmuddin Aamer, Harshal Patil</t>
  </si>
  <si>
    <t>Smart Grids: AI-Enabled Energy Management and Demand Forecasting</t>
  </si>
  <si>
    <t>June</t>
  </si>
  <si>
    <t>10.1109/ICFTS62006.2025.11031861</t>
  </si>
  <si>
    <r>
      <rPr>
        <u/>
        <sz val="10"/>
        <color rgb="FF000000"/>
        <rFont val="Arial"/>
      </rPr>
      <t>https://ieeexplore.ieee.org/abstract/document/11031861</t>
    </r>
  </si>
  <si>
    <t>2025 International Conference on Intelligent Computing and Knowledge Extraction (ICICKE)</t>
  </si>
  <si>
    <t>CMR University bengaluru</t>
  </si>
  <si>
    <t>Manthan S Manavadaria, Vusal Karimli Maharram, Mali Ram Yadav, Pandit Subhash Patil, G Vijayalakshmi, Harshal Patil</t>
  </si>
  <si>
    <t>10.1109/ICICKE65317.2025.11136200</t>
  </si>
  <si>
    <r>
      <rPr>
        <u/>
        <sz val="10"/>
        <color rgb="FF000000"/>
        <rFont val="Arial"/>
      </rPr>
      <t>https://ieeexplore.ieee.org/abstract/document/11136200</t>
    </r>
  </si>
  <si>
    <t>2025 International Conference on Computing Technologies &amp; Data Communication</t>
  </si>
  <si>
    <t>Hassan , India</t>
  </si>
  <si>
    <t>AI Driven Error  Correction mechanism in Next Generation Wireless networks</t>
  </si>
  <si>
    <t>July , 2025</t>
  </si>
  <si>
    <t>10.1109/ICCTDC64446.2025.11158779</t>
  </si>
  <si>
    <r>
      <rPr>
        <u/>
        <sz val="10"/>
        <color rgb="FF000000"/>
        <rFont val="Arial"/>
      </rPr>
      <t>10.1109/CE2CT64011.2025.10941693</t>
    </r>
  </si>
  <si>
    <t>https://ieeexplore.ieee.org/abstract/document/10941693</t>
  </si>
  <si>
    <r>
      <rPr>
        <u/>
        <sz val="10"/>
        <color rgb="FF000000"/>
        <rFont val="Arial"/>
      </rPr>
      <t>https://doi.org/10.1201/9781003593034</t>
    </r>
  </si>
  <si>
    <r>
      <rPr>
        <u/>
        <sz val="10"/>
        <color rgb="FF000000"/>
        <rFont val="Arial"/>
      </rPr>
      <t>Recent Trends in Intelligent Computing and Communication | Volume 1 |</t>
    </r>
  </si>
  <si>
    <t>ICPCT-2025</t>
  </si>
  <si>
    <t>GLBajaj</t>
  </si>
  <si>
    <t xml:space="preserve">February </t>
  </si>
  <si>
    <t>https://drive.google.com/file/d/1cXH4w8Lu4_KeDwdXQIEQk5yMcV1fzNVH/view?usp=drivesdk</t>
  </si>
  <si>
    <t>ICANTCI2025</t>
  </si>
  <si>
    <t xml:space="preserve">https://drive.google.com/file/d/1GFVxR0EzhuW3wG_Ecb3eMtZcJ27SYCxq/view?usp=drivesdk </t>
  </si>
  <si>
    <t>Hilal Ahmad Shah</t>
  </si>
  <si>
    <t>2025 3rd International Conference on Intelligent Systems,Advanced  Computing and communication (ISACC)</t>
  </si>
  <si>
    <t>MANIPAL,ASSAM</t>
  </si>
  <si>
    <t>Anauksa Das, basab Nath, Joshika , Neelvie,Hilal Ahmad Shah,Niyaz</t>
  </si>
  <si>
    <t>Cervical Cancer Classification Using Transfer Learning with Hybrid SVM Kernels and ResNet-50</t>
  </si>
  <si>
    <t xml:space="preserve">april </t>
  </si>
  <si>
    <t>https://doi.org/10.1109/ISACC65211.2025.10969375</t>
  </si>
  <si>
    <t>https://ieeexplore.ieee.org/document/10969375</t>
  </si>
  <si>
    <t>Eighth International Conference on Futuristic Trends in Networking and Computing Technologies- FTNCT-08</t>
  </si>
  <si>
    <t>Procedia Computer Science</t>
  </si>
  <si>
    <t>KIET Ghaziabad</t>
  </si>
  <si>
    <t>Vijaya Choudhary, 
Himanshu Sharmaa, 
Alok Aggarwal, 
KM Baalamuruganb, 
Munish Sabharwalb</t>
  </si>
  <si>
    <t>CNN-Based Deep Learning 
Approach for Automated 
Fruit Classification for 
Precision Agriculture</t>
  </si>
  <si>
    <t>Procedia_360_Certificate (1).jpg</t>
  </si>
  <si>
    <t>International Conference on Computational Intelligence, Communication Technology and Networking (CICTN)</t>
  </si>
  <si>
    <t>ABES Ghaziabad</t>
  </si>
  <si>
    <t>Presented</t>
  </si>
  <si>
    <t>Jagdish Chandra Patn, Anup S B,Swetha, Chitra K S, Poornima B M, Raviprakash B P, Kamal Kant Verma</t>
  </si>
  <si>
    <t>Advanced Medical Question and Answering Chatbot Powered by Llama-2 For Precis Health Answer</t>
  </si>
  <si>
    <t>445-449</t>
  </si>
  <si>
    <t>DOI: 10.1109/CICTN64563.2025.10932365</t>
  </si>
  <si>
    <t>https://ieeexplore.ieee.org/document/10932365/</t>
  </si>
  <si>
    <t>Jagdish Chandra Patni, S Vinay Naik, K Harika, Nilesh Bhaskarrao Bahadure, Kamal Kant Verma</t>
  </si>
  <si>
    <t>Machine Learning Based Phishing Website Detection System - Natural Language Processing Approach</t>
  </si>
  <si>
    <t>450-455</t>
  </si>
  <si>
    <t>DOI: 10.1109/CICTN64563.2025.10932604</t>
  </si>
  <si>
    <t>https://ieeexplore.ieee.org/document/10932604</t>
  </si>
  <si>
    <t>International Conference on Advanced Network Technologies and ComputationalIntelligence</t>
  </si>
  <si>
    <t>Chitkara University</t>
  </si>
  <si>
    <t>Saurabh Gupta, Rajendra Prasad Mahapatra, Kamal Kant Verma</t>
  </si>
  <si>
    <t>A Comparative Study of Various Human ActivityRecognition Techniques Using Deep Learning</t>
  </si>
  <si>
    <t>https://doi.org/10.1007/978-3-031-86069-0_36</t>
  </si>
  <si>
    <t>International Conference in Emerging Technologis &amp; Innovation for Sustainabilities at NIET Gr. Noida on 20-21 Dec 2024</t>
  </si>
  <si>
    <t>NIET Gr Noida</t>
  </si>
  <si>
    <t>International Conference on Shaping Viksit Bhart @2047: Resilient Future Through Innovation, Sustainability and Inclusivity (SVBRISI 2025)</t>
  </si>
  <si>
    <t>IMS (University Course Campus) Engineering College</t>
  </si>
  <si>
    <t>Kamal Kant Verma, Ravinder Kumar Yadav, Ankit Tomar</t>
  </si>
  <si>
    <t>3D Human Activity Recognition in RGB Videos using Convolution Neural Netowrk</t>
  </si>
  <si>
    <r>
      <rPr>
        <u/>
        <sz val="10"/>
        <color rgb="FF000000"/>
        <rFont val="Arial"/>
      </rPr>
      <t>https://drive.google.com/drive/u/0/folders/1ikxa6IDfSIZSHhpIdkK5B-pdY_BARmQj</t>
    </r>
  </si>
  <si>
    <t>IEEE 4th International Conference on Innovative Mechanisms for Industry Applications (ICIMIA-2025)</t>
  </si>
  <si>
    <t xml:space="preserve"> Sasurie College of Engineering Tamilnadu </t>
  </si>
  <si>
    <t>A Comparative Study of Different Cloud Computing Security Models</t>
  </si>
  <si>
    <t>20th October</t>
  </si>
  <si>
    <t>https://doi.org/10.1109/ICIMIA67127.2025.11200634</t>
  </si>
  <si>
    <t>https://ieeexplore.ieee.org/document/11200634</t>
  </si>
  <si>
    <t>https://drive.google.com/file/d/1GCnfOijhLZ9hW5_wFWaH6eHRsauBZn56/view?usp=drive_link</t>
  </si>
  <si>
    <t>Mobile Radio Communication &amp; 5G Networks</t>
  </si>
  <si>
    <t>Lecture Notes in Networks and Systems</t>
  </si>
  <si>
    <t>University Institute of Engineering &amp; Technology, Kurukshetra University</t>
  </si>
  <si>
    <t>Finding Anomalies in Communication Flows to Strengthen Network Security Against Advanced Persistent Threats (APTs) Using SVM-Based Network Traffic Analysis</t>
  </si>
  <si>
    <t>29th August 2025</t>
  </si>
  <si>
    <t>https://doi.org/10.1007/978-981-96-4226-7</t>
  </si>
  <si>
    <t>https://link.springer.com/book/10.1007/978-981-96-4226-7</t>
  </si>
  <si>
    <t>https://drive.google.com/file/d/1H1c5_f2-SrGnI-GBrhd2QKj2361fhqWU/view?usp=drive_link</t>
  </si>
  <si>
    <t>IEEE 2nd International Conference on Green Industrial Electronics and Sustainable Technologies” (GIEST-2025)</t>
  </si>
  <si>
    <r>
      <rPr>
        <sz val="10"/>
        <color rgb="FF000000"/>
        <rFont val="Arial"/>
      </rPr>
      <t xml:space="preserve">National Institute of Technology, Jamshedpur, </t>
    </r>
    <r>
      <rPr>
        <u/>
        <sz val="10"/>
        <color rgb="FF000000"/>
        <rFont val="Arial"/>
      </rPr>
      <t>Jamshedpur</t>
    </r>
  </si>
  <si>
    <t>System for Recommending Crops Through Machine Learning</t>
  </si>
  <si>
    <t>Reviewer for multimedia tools and applications (Springer)</t>
  </si>
  <si>
    <t>multimedia tools and applications (Springer)</t>
  </si>
  <si>
    <t>https://drive.google.com/file/d/1nngZrFbToi1td2bdSc0wfV-_o6TGAcPe/view?usp=drive_link</t>
  </si>
  <si>
    <t>Session Chair at IEEE Conference at Galgotias University</t>
  </si>
  <si>
    <t>Galgotias University Greater Noida</t>
  </si>
  <si>
    <t>https://drive.google.com/file/d/1WEe1DkHMstIp8zg6OaiBcUqNcu-3CNmW/view?usp=drive_link</t>
  </si>
  <si>
    <t>Reviewer at IEEE Conference at Galgotias University</t>
  </si>
  <si>
    <t>https://drive.google.com/file/d/1jpgVnT5Cojk5t75M2fvVOJC1cGRIiUBA/view?usp=drive_link</t>
  </si>
  <si>
    <t>Third International Conference on Machine intelligence for research &amp; innovation 2025</t>
  </si>
  <si>
    <t>Kalinga Insitute of industrial Technology</t>
  </si>
  <si>
    <t>https://drive.google.com/file/d/1GAYhCS5RuYLJ3F8fVs1puYcMc3AmiJh_/view?usp=drive_link</t>
  </si>
  <si>
    <t>Fifth Internatinal confernce onadvance and application of artificial intelligence and machine learning</t>
  </si>
  <si>
    <t>Shardha University Greater Noida</t>
  </si>
  <si>
    <t>https://drive.google.com/file/d/1qo8mzBgRMf-_cRXmMfYuqdGVKo8gh87R/view?usp=drive_link</t>
  </si>
  <si>
    <t>2nd internaional conference on Communication computer science and Engineering</t>
  </si>
  <si>
    <t>Amity University Greater Noida</t>
  </si>
  <si>
    <t>https://drive.google.com/file/d/17xzf0x0n66n97MacLlZn3AQgJt13Un0m/view?usp=drive_link</t>
  </si>
  <si>
    <t>https://drive.google.com/file/d/1pI7mMey-pYKAUQgsYrLOCSRZdctlKIIw/view?usp=drive_link</t>
  </si>
  <si>
    <t>Ms.Reeta Mishra</t>
  </si>
  <si>
    <t>2024 7th International Conference on Contemporary Computing and Informatics (IC3I)</t>
  </si>
  <si>
    <t>Amity University , Noida</t>
  </si>
  <si>
    <t>Mihir Mishra,Reeta Mishra,Anjali Pandey,Mintu,Ishaan,Gopal</t>
  </si>
  <si>
    <t>VoiceSense: Designing A Robust Emotion Detection System</t>
  </si>
  <si>
    <r>
      <rPr>
        <sz val="10"/>
        <color rgb="FF000000"/>
        <rFont val="Arial"/>
      </rPr>
      <t>https://doi.org/</t>
    </r>
    <r>
      <rPr>
        <u/>
        <sz val="10"/>
        <color rgb="FF000000"/>
        <rFont val="Arial"/>
      </rPr>
      <t>10.1109/IC3I61595.2024.10828819</t>
    </r>
  </si>
  <si>
    <r>
      <rPr>
        <b/>
        <u/>
        <sz val="10"/>
        <color rgb="FF000000"/>
        <rFont val="Arial"/>
      </rPr>
      <t>https://ieeexplore.ieee.org/document/10828819/</t>
    </r>
  </si>
  <si>
    <t>https://docs.google.com/document/d/1dCUOe59s7tpoDd_PXTsfr15iAg10gcSMyTFeN89eMHw/edit?usp=sharing</t>
  </si>
  <si>
    <t>GBU,Greater Noida, India</t>
  </si>
  <si>
    <r>
      <rPr>
        <u/>
        <sz val="10"/>
        <color rgb="FF000000"/>
        <rFont val="Arial"/>
      </rPr>
      <t>Daksha Borada</t>
    </r>
    <r>
      <rPr>
        <sz val="10"/>
        <color rgb="FF000000"/>
        <rFont val="Arial"/>
      </rPr>
      <t xml:space="preserve">; </t>
    </r>
    <r>
      <rPr>
        <u/>
        <sz val="10"/>
        <color rgb="FF000000"/>
        <rFont val="Arial"/>
      </rPr>
      <t>Reeta Mishra</t>
    </r>
    <r>
      <rPr>
        <sz val="10"/>
        <color rgb="FF000000"/>
        <rFont val="Arial"/>
      </rPr>
      <t xml:space="preserve">; </t>
    </r>
    <r>
      <rPr>
        <u/>
        <sz val="10"/>
        <color rgb="FF000000"/>
        <rFont val="Arial"/>
      </rPr>
      <t>Padmesh Tripathi</t>
    </r>
  </si>
  <si>
    <t>Enhancing Code Modularity and game mechanics inModern Game Development</t>
  </si>
  <si>
    <t>https://doi.org/10.1109/IC3ECSBHI63591.2025.10991066</t>
  </si>
  <si>
    <r>
      <rPr>
        <u/>
        <sz val="10"/>
        <color rgb="FF000000"/>
        <rFont val="Arial"/>
      </rPr>
      <t>Enhancing Code Modularity and Game Mechanics in Modern Game Development | IEEE Conference Publication | IEEE Xplore</t>
    </r>
  </si>
  <si>
    <t>https://docs.google.com/document/d/13aRkZkJM0ZsLPhXmD4YD39eYMO-dCBSFGpYTdzXyIbg/edit?usp=sharing</t>
  </si>
  <si>
    <r>
      <rPr>
        <u/>
        <sz val="10"/>
        <color rgb="FF000000"/>
        <rFont val="Arial"/>
      </rPr>
      <t>Reeta Mishra</t>
    </r>
    <r>
      <rPr>
        <sz val="10"/>
        <color rgb="FF000000"/>
        <rFont val="Arial"/>
      </rPr>
      <t xml:space="preserve">; </t>
    </r>
    <r>
      <rPr>
        <u/>
        <sz val="10"/>
        <color rgb="FF000000"/>
        <rFont val="Arial"/>
      </rPr>
      <t>Padmesh Tripathi</t>
    </r>
  </si>
  <si>
    <t>Augmented Reality-Powered Footwear Customization Hub: Enhancing the Shopping Journey</t>
  </si>
  <si>
    <r>
      <rPr>
        <u/>
        <sz val="10"/>
        <color rgb="FF000000"/>
        <rFont val="Arial"/>
      </rPr>
      <t>10.1109/IC3ECSBHI63591.2025.10991313</t>
    </r>
  </si>
  <si>
    <r>
      <rPr>
        <u/>
        <sz val="10"/>
        <color rgb="FF000000"/>
        <rFont val="Arial"/>
      </rPr>
      <t>Augmented Reality-Powered Footwear Customization Hub: Enhancing the Shopping Journey | IEEE Conference Publication | IEEE Xplore</t>
    </r>
  </si>
  <si>
    <t>https://drive.google.com/file/d/1uGkqvEgj7d9gI3y7nkwhupiBUc0XZt-K/view?usp=sharing</t>
  </si>
  <si>
    <t>https://docs.google.com/document/d/1Q_oshGvM2ArsVSIZyeOVNoC9TWOB-ybzM51GEXyWKt8/edit?usp=sharing</t>
  </si>
  <si>
    <t>International Conference on Computing, Communication and Automation (ICCCA-2025)</t>
  </si>
  <si>
    <t>IEEE 2nd International Conference on Green Industrial Electronics and Sustainable Technologies (GIEST-2025)</t>
  </si>
  <si>
    <t>NIT Jamshedpur</t>
  </si>
  <si>
    <t>International Conference on Communication and Intelligent Systems (ICCIS 2025)</t>
  </si>
  <si>
    <t>BITS Pilani</t>
  </si>
  <si>
    <t>National Conference on AI, IoT &amp; Data-Driven Transformation (NCAIDT 2025)</t>
  </si>
  <si>
    <t>GANITRA RESEARCH FOUNDATION</t>
  </si>
  <si>
    <t>BMIET, Sonipat</t>
  </si>
  <si>
    <t>International Conference on Communication, Computer, and Information Technology (IC3IT-2025)</t>
  </si>
  <si>
    <t>Mysuru Royal Institute of Technology, Mandya</t>
  </si>
  <si>
    <t>International Conference on Data Mining and Information Security (ICDMIS 2025)</t>
  </si>
  <si>
    <t>Eminent College of Management &amp; Technology</t>
  </si>
  <si>
    <t>Enhancing MRI-Based Brain Tumor Detection with ResNet101: A Deep Learning Architecture</t>
  </si>
  <si>
    <t>Congress on Intelligent Systems (CIS 2025)</t>
  </si>
  <si>
    <t>Institution of Electronics and Telecommunication Engineers (IETE), Delhi</t>
  </si>
  <si>
    <t>International Conference on Artificial Intelligence and Emerging Technology 2.0</t>
  </si>
  <si>
    <t>Bennett University</t>
  </si>
  <si>
    <t>International Conference on Artificial Intelligence, Computer,Data Sciences and Applications (ACDSA 2026)</t>
  </si>
  <si>
    <t>Antalya Bilim University</t>
  </si>
  <si>
    <t>3rd International Symposium on Sustainable Energy Signal Processing and Cybersecurity (IEEE-iSSSPC2025)</t>
  </si>
  <si>
    <t>GIET University, Odisha, Gunupur</t>
  </si>
  <si>
    <t>International Conference on Information Science, Technology and Management (CISTM-2025)</t>
  </si>
  <si>
    <t>CRC Press, Taylor &amp; Francis</t>
  </si>
  <si>
    <t>Akal University</t>
  </si>
  <si>
    <t>International Conference on Sustainable Computing and Intelligent Systems (SCIS 2025)</t>
  </si>
  <si>
    <t>University of Canberra, Australia</t>
  </si>
  <si>
    <t>International Conference on Software, Systems and Information Technology (SSITCON-2025)</t>
  </si>
  <si>
    <t>Sri Siddhartha Institute of Technology, Tumakuru</t>
  </si>
  <si>
    <t>4th Congress on Smart Computing Technologies (CSCT 2025)</t>
  </si>
  <si>
    <t>National Institute of Technology, Sikkim</t>
  </si>
  <si>
    <t>INTERNATIONAL CONFERENCE on ADVANCED COMPUTING &amp; EMERGING TECHNOLOGIES (ACET)</t>
  </si>
  <si>
    <t>Ajay Kumar Garg Engineering College, Ghaziabad</t>
  </si>
  <si>
    <t>International Conference on Cybersecurity and Data Protection</t>
  </si>
  <si>
    <t>Bentham</t>
  </si>
  <si>
    <t>Chitkara University, Punjab, India</t>
  </si>
  <si>
    <t>Track Coordinator (Reviewer)</t>
  </si>
  <si>
    <t>International Conference on Smart Computing and Communication for Sustainable Convergence (ISCCSC 2025)</t>
  </si>
  <si>
    <t>Attended ICAICCIT-2025, 3rd International conference as Session Chair organized by Manav Rachna University, Faridabad technically Co-Sponsored by IEEE Delhi SECTION (Conference record #68829)</t>
  </si>
  <si>
    <t>Manav Rachna University, Faridabad</t>
  </si>
  <si>
    <t>https://drive.google.com/drive/u/0/folders/1_XKrc-25jjjm7VCNFIv98XTFamO6_-0P</t>
  </si>
  <si>
    <t>https://drive.google.com/drive/u/0/folders/1xHRrfEZmoE9kHt5WydhcIgPvI4LkNMoP</t>
  </si>
  <si>
    <t>2025 3rd International Conference on Communication, Security, and Artificial Intelligence (ICCSAI)</t>
  </si>
  <si>
    <t>Galgotias University, Gr. Noida</t>
  </si>
  <si>
    <t>Cyber-Twin Empowered Unmanned Aerial Vehicle Assisted Mobile Edge Computing Network: Application and Challenges</t>
  </si>
  <si>
    <t xml:space="preserve"> 2122-2126</t>
  </si>
  <si>
    <t>nO</t>
  </si>
  <si>
    <t>https://doi.org/10.1109/ICCSAI64074.2025.11063843</t>
  </si>
  <si>
    <t>https://ieeexplore.ieee.org/abstract/document/11063843</t>
  </si>
  <si>
    <t>2025 12th International Conference on Computing for Sustainable Global Development (INDIACom)</t>
  </si>
  <si>
    <t>BVP, Delhi</t>
  </si>
  <si>
    <t>Corresponding Author</t>
  </si>
  <si>
    <t>Neha,Pinky Yadav, Bhoopesh Bhati</t>
  </si>
  <si>
    <t>Insights into Machine Learning and Deep Learning Approches: A Systematic Review</t>
  </si>
  <si>
    <t>https://doi.org/10.23919/INDIACom66777.2025.11115549</t>
  </si>
  <si>
    <t>https://ieeexplore.ieee.org/document/11115549</t>
  </si>
  <si>
    <t>3rd International conference on networks and Cryptology</t>
  </si>
  <si>
    <t>JNU, Delhi</t>
  </si>
  <si>
    <t>https://drive.google.com/file/d/1Vdy1410UtFOVlz17ahaiXNMV-lSZqUC2/view?usp=drive_link</t>
  </si>
  <si>
    <t>AAIIC 2025</t>
  </si>
  <si>
    <t>springer</t>
  </si>
  <si>
    <t>shoolini University</t>
  </si>
  <si>
    <t>https://drive.google.com/file/d/1cYmIId7-DwGVvhOBZ6Ky53HRgooH_hVS/view?usp=drive_link</t>
  </si>
  <si>
    <t>https://drive.google.com/file/d/194F_dX4Ebn3GiYE8sE_iTFA8_lODh0k8/view?usp=drive_link</t>
  </si>
  <si>
    <t>The Global Knowledge Research Foundation and G R Scholastic LLP</t>
  </si>
  <si>
    <t xml:space="preserve"> First author </t>
  </si>
  <si>
    <t>Flight price forcasting employing machine learning methodology</t>
  </si>
  <si>
    <t>525-537</t>
  </si>
  <si>
    <t>https://doi.org/10.1007/978-3-032-06703-6_48</t>
  </si>
  <si>
    <t>https://link.springer.com/chapter/10.1007/978-3-032-06703-6_48</t>
  </si>
  <si>
    <t>https://drive.google.com/file/d/1szl5x8aw_9Yi0bxojD0T8yC_w8Upykjo/view?usp=sharing</t>
  </si>
  <si>
    <t xml:space="preserve">Ms </t>
  </si>
  <si>
    <t>PoonamYadav</t>
  </si>
  <si>
    <t>ICRTICC-2025</t>
  </si>
  <si>
    <t>Ms poonam Yadav,Dr Avijeet singh,ms Geetika sharma</t>
  </si>
  <si>
    <t>Online examination system using HAAR</t>
  </si>
  <si>
    <r>
      <rPr>
        <u/>
        <sz val="10"/>
        <color rgb="FF000000"/>
        <rFont val="Arial"/>
      </rPr>
      <t>https://doi.org/10.1201/9781003593034</t>
    </r>
  </si>
  <si>
    <r>
      <rPr>
        <u/>
        <sz val="10"/>
        <color rgb="FF000000"/>
        <rFont val="Arial"/>
      </rPr>
      <t>Home - Google Drive</t>
    </r>
  </si>
  <si>
    <t>Ms</t>
  </si>
  <si>
    <t>Manav Rachna UNiversity</t>
  </si>
  <si>
    <t>https://drive.google.com/file/d/1nC-6pBPfB8JzySTap5EXzmCtuLFbuXfx/view?usp=sharing</t>
  </si>
  <si>
    <t>https://drive.google.com/file/d/1CXyHOelrWJbmkCKStP-l_ElcqNXvhyR7/view?usp=sharing</t>
  </si>
  <si>
    <t>ICCCA</t>
  </si>
  <si>
    <t>Poonam yadav .pdf</t>
  </si>
  <si>
    <t>2025 3rd International Conference on Disruptive Technologies (ICDT)</t>
  </si>
  <si>
    <t>G.L. Bajaj Institute of technology and Management, Gr. Noida</t>
  </si>
  <si>
    <t>Prakhar Consul, Neeraj Joshi, Prity Rani, Vineet Vishnoi, Shikha Choudhary</t>
  </si>
  <si>
    <t>Energy Efficient Cyber-Twin Empowered UAV Assisted MEC Network for IoT: Challenges and Solution</t>
  </si>
  <si>
    <t>1528-1533</t>
  </si>
  <si>
    <t>https://doi.org/10.1109/ICDT63985.2025.10986439</t>
  </si>
  <si>
    <t>https://ieeexplore.ieee.org/abstract/document/10986439</t>
  </si>
  <si>
    <t>https://drive.google.com/file/d/1VwbNd_D1gSgHnVLXABgFiFDxevg2h64D/view?usp=drive_link</t>
  </si>
  <si>
    <r>
      <rPr>
        <u/>
        <sz val="10"/>
        <color rgb="FF000000"/>
        <rFont val="Arial"/>
      </rPr>
      <t xml:space="preserve"> </t>
    </r>
    <r>
      <rPr>
        <u/>
        <sz val="10"/>
        <color rgb="FF000000"/>
        <rFont val="Arial"/>
      </rPr>
      <t>https://drive.google.com/file/d/1tizoDzBSA7UtNOFmrdTpJ0mXltQDge9f/view?usp=drive_link</t>
    </r>
  </si>
  <si>
    <t>Prakhar Consul, Neeraj Joshi, Pinky Yadav, Shikha Choudhary, Vineet Vishnoi</t>
  </si>
  <si>
    <t>https://drive.google.com/file/d/1NhNDFgGapka49OoHe43DVn8JPPfX_Ufa/view?usp=drive_link</t>
  </si>
  <si>
    <t>https://drive.google.com/file/d/1A2POB3ZQavzn9jQT9aU7RKPAMVNslO6Q/view?usp=drive_link</t>
  </si>
  <si>
    <t>First International Conference on
Artificial Intelligence, Computation, Communication and Network Security</t>
  </si>
  <si>
    <t>Springer (Proceedings in Information and Communication Technologies)</t>
  </si>
  <si>
    <t>University of Wollongong in Dubai, UAE</t>
  </si>
  <si>
    <t>Track Chair and 
Seesion Organizer</t>
  </si>
  <si>
    <t>https://drive.google.com/file/d/1SC_mp-HlQR-2LQCFgfEjNtd_OXmMt5sN/view?usp=drive_link</t>
  </si>
  <si>
    <t>https://drive.google.com/file/d/1GPG46_8f0V5peZbTo4C9kEkXQZgmENnQ/view?usp=drive_link</t>
  </si>
  <si>
    <t>Mobile Networks and Applications Journal</t>
  </si>
  <si>
    <t>https://drive.google.com/file/d/1-JS8FUw1WqY6shYrmuYJayEkYgDGXG7_/view?usp=drive_link</t>
  </si>
  <si>
    <t>Telecommunication Systems Journal</t>
  </si>
  <si>
    <t>https://drive.google.com/file/d/1Pa726mUZGCVUrYaqBOFgXZvWLst0inJ9/view?usp=drive_link</t>
  </si>
  <si>
    <t>Cluster Computing Journal</t>
  </si>
  <si>
    <t>https://drive.google.com/file/d/1rgpiIvAzt2zzfM4sjz204X3wE0zgCnSF/view?usp=drive_link</t>
  </si>
  <si>
    <t>elsevier</t>
  </si>
  <si>
    <t>Ad-Hoc Network Journal</t>
  </si>
  <si>
    <t>https://drive.google.com/file/d/1XM7PIL0hJOlGHxO0HySavoFuCbaqCaKf/view?usp=drive_link</t>
  </si>
  <si>
    <t>Physical Communication Journal</t>
  </si>
  <si>
    <t>https://drive.google.com/file/d/1mxOla_-DAhP1W8hjbI8Ooj9yWNbql-al/view?usp=drive_link</t>
  </si>
  <si>
    <t>Conference Reviewer</t>
  </si>
  <si>
    <t>https://drive.google.com/file/d/1QyAQiSakJzpTRy60ALUydNSvpo2vPYtF/view?usp=drive_link</t>
  </si>
  <si>
    <t>2025 4th OPJU International Technology Conference (OTCON) on Smart Computing for Innovation and Advancement in Industry 5.0</t>
  </si>
  <si>
    <t xml:space="preserve">IEEE </t>
  </si>
  <si>
    <t xml:space="preserve">OPJindal University </t>
  </si>
  <si>
    <t xml:space="preserve">Author </t>
  </si>
  <si>
    <t>Privacy Models on Location Hiding and Security Observations in Local Area WSN</t>
  </si>
  <si>
    <t xml:space="preserve">No </t>
  </si>
  <si>
    <r>
      <rPr>
        <u/>
        <sz val="10"/>
        <color rgb="FF000000"/>
        <rFont val="Arial"/>
      </rPr>
      <t>10.1109/OTCON65728.2025.11070960</t>
    </r>
  </si>
  <si>
    <t>https://ieeexplore.ieee.org/document/11070960</t>
  </si>
  <si>
    <t>https://drive.google.com/file/d/11SVSsmsjiR9SBzI0s9a67S-B_Ykce2jK/view?usp=sharing</t>
  </si>
  <si>
    <t xml:space="preserve">1st International Conference on Technology Enabled Economic Changes </t>
  </si>
  <si>
    <t xml:space="preserve">Amity University ,Tashkent </t>
  </si>
  <si>
    <t>Richa Vijay-2.pdf</t>
  </si>
  <si>
    <t xml:space="preserve">Mr </t>
  </si>
  <si>
    <t>IILMGN004562024</t>
  </si>
  <si>
    <t>2025 12th International Conference on 
Computing for Sustainable Global
 Development (INDIACom)</t>
  </si>
  <si>
    <t>Bharati Vidyapeeth, 
New Delhi (INDIA)</t>
  </si>
  <si>
    <t>Ashish Kumar Rastogi,Rishabh Srivastava</t>
  </si>
  <si>
    <t>"Advanced Multimodal Acoustic Data Pre 
Processing and Deep Learning Techniques for 
Parkinsons Disease
Detection and Management"</t>
  </si>
  <si>
    <t>21/8/2025</t>
  </si>
  <si>
    <t>https://doi.org/10.23919/INDIACom66777.2025</t>
  </si>
  <si>
    <t>https://ieeexplore.ieee.org/document/11115558</t>
  </si>
  <si>
    <t>International Conference on Artificial Intelligence and Smart Technologies for Sustainability (AISTS) 2025</t>
  </si>
  <si>
    <t>Marwadi University, Rajkot</t>
  </si>
  <si>
    <t>NIL</t>
  </si>
  <si>
    <t>August 21st - 23rd, 2025</t>
  </si>
  <si>
    <t>https://drive.google.com/file/d/1IK-Zz6_-xPrQQNao8oyP8pJ3NrGWugdJ/view?usp=drive_link</t>
  </si>
  <si>
    <t>International Conference on Innovative Computing and Communication (ICICC2025)</t>
  </si>
  <si>
    <t>Shaheed Sukhdev College of Business Studies, University of Shaheed Sukhdev College of Business Studies, University of 
Delhi, New Delhi, India</t>
  </si>
  <si>
    <r>
      <rPr>
        <u/>
        <sz val="10"/>
        <color rgb="FF000000"/>
        <rFont val="Arial"/>
      </rPr>
      <t>https://drive.google.com/file/d/1wKK2YtL1RgrI06vt1wItV3Mn7Fd-_Kbh/view?usp=sharing</t>
    </r>
  </si>
  <si>
    <t>IEEE International Conference on Communication, Security, and Artificial Intelligence (ICCSAI-2025)</t>
  </si>
  <si>
    <r>
      <rPr>
        <u/>
        <sz val="10"/>
        <color rgb="FF000000"/>
        <rFont val="Arial"/>
      </rPr>
      <t>https://drive.google.com/file/d/1MXvCftNRvZX_3Nwci0exTHuicC9scRL-/view?usp=drive_link</t>
    </r>
  </si>
  <si>
    <t>INTERNATIONAL CONFERENCE ON PERVASIVE 
COMPUTATIONAL TECHNOLOGIES (ICPCT-2025)</t>
  </si>
  <si>
    <t>GL Bajaj Institute of Technology and Management, Greater Noida</t>
  </si>
  <si>
    <r>
      <rPr>
        <u/>
        <sz val="10"/>
        <color rgb="FF000000"/>
        <rFont val="Arial"/>
      </rPr>
      <t>https://drive.google.com/file/d/1NyJxD7QDOSZ5E6zPZx9RQofCqzFleRO6/view?usp=drive_link</t>
    </r>
  </si>
  <si>
    <t>Second International Conference on Advanced Network Technologies and 
Computational Intelligence (ICANTCI 2025)</t>
  </si>
  <si>
    <r>
      <rPr>
        <u/>
        <sz val="10"/>
        <color rgb="FF000000"/>
        <rFont val="Arial"/>
      </rPr>
      <t>https://drive.google.com/file/d/1LMr08XZHjvdXajNFo6w1mqWpJZFgMZrF/view?usp=drive_link</t>
    </r>
  </si>
  <si>
    <t>12th International Conference on Reliability, Infocom Technologies and Optimization (ICRITO2025)</t>
  </si>
  <si>
    <r>
      <rPr>
        <u/>
        <sz val="10"/>
        <color rgb="FF000000"/>
        <rFont val="Arial"/>
      </rPr>
      <t>https://drive.google.com/file/d/1cE-xLIW-D0CyK-jkiWAjVIDaZHgy3Elg/view?usp=drive_link</t>
    </r>
  </si>
  <si>
    <t>International Conference
on Applied Artificial Intelligence
and Innovation (AAIIC 2025)</t>
  </si>
  <si>
    <t>Shoolini University</t>
  </si>
  <si>
    <r>
      <rPr>
        <u/>
        <sz val="10"/>
        <color rgb="FF000000"/>
        <rFont val="Arial"/>
      </rPr>
      <t>https://drive.google.com/file/d/1uunpoSqs-vxRTrtmcTR-qLpySoU4QEFJ/view?usp=drive_link</t>
    </r>
  </si>
  <si>
    <t>NIELIT's International Conference on Communication, Electronics and Digital Technologies (NICEDT-2025)</t>
  </si>
  <si>
    <t>NIELIT Ropar</t>
  </si>
  <si>
    <r>
      <rPr>
        <u/>
        <sz val="10"/>
        <color rgb="FF000000"/>
        <rFont val="Arial"/>
      </rPr>
      <t>https://drive.google.com/file/d/1LTxU8nWUosF-nRVelJYCoDYnL1S_ZzCr/view?usp=drive_link</t>
    </r>
  </si>
  <si>
    <t>International Conference on Intelligent and Secure Engineering Solutions (CISES-2025)</t>
  </si>
  <si>
    <r>
      <rPr>
        <u/>
        <sz val="10"/>
        <color rgb="FF000000"/>
        <rFont val="Arial"/>
      </rPr>
      <t>https://drive.google.com/file/d/1EL4REnYR9aTa17tv3DD2Fya4N3jMl7jh/view?usp=drive_link</t>
    </r>
  </si>
  <si>
    <t>IEEE Uttar Pradesh Section Women in Engineering International Conference on Electrical Electronics and Computer Engineering (UPWIECON 2025)</t>
  </si>
  <si>
    <r>
      <rPr>
        <u/>
        <sz val="10"/>
        <color rgb="FF000000"/>
        <rFont val="Arial"/>
      </rPr>
      <t>https://drive.google.com/file/d/1VDy2t2ATVOtLuQU07Kwhgit7CS2EYS79/view?usp=drive_link</t>
    </r>
  </si>
  <si>
    <t>2nd International Conference on Cognitive Computing in Engineering, Communications, Sciences and Biomedical Health Informatics (IC3ECSBHI-2026)</t>
  </si>
  <si>
    <t>GBU Greater Noida</t>
  </si>
  <si>
    <t>https://drive.google.com/file/d/1ZSLkzHVvYVNLmWVMXJv2IVoDTmmiO9I_/view?usp=sharing</t>
  </si>
  <si>
    <t>KEYNOTE SPEAKER</t>
  </si>
  <si>
    <t>GBU Keynote.jpeg</t>
  </si>
  <si>
    <t>International Conference on Sustainability &amp; Green Technology (ICSGT2025)</t>
  </si>
  <si>
    <t>FS University, Uttar Pradesh</t>
  </si>
  <si>
    <r>
      <rPr>
        <u/>
        <sz val="10"/>
        <color rgb="FF000000"/>
        <rFont val="Arial"/>
      </rPr>
      <t>https://drive.google.com/file/d/1xY_BOEuRb-VPsE7ifTXreK1aZZiEr76Z/view?usp=drive_link</t>
    </r>
  </si>
  <si>
    <t>International Conference on Communication, Computer Sciences and Engineering (IC3SE-2025)</t>
  </si>
  <si>
    <t>Amity University</t>
  </si>
  <si>
    <r>
      <rPr>
        <u/>
        <sz val="10"/>
        <color rgb="FF000000"/>
        <rFont val="Arial"/>
      </rPr>
      <t>https://drive.google.com/file/d/1h69vfme45YVT6KkZVh-NUqV46W6xSgkb/view?usp=drive_link</t>
    </r>
  </si>
  <si>
    <t>Second International Conference on Advanced Network Technologies and Computational Intelligence (ICANTCI 2025)</t>
  </si>
  <si>
    <r>
      <rPr>
        <u/>
        <sz val="10"/>
        <color rgb="FF000000"/>
        <rFont val="Arial"/>
      </rPr>
      <t>https://drive.google.com/file/d/16BTKOqhrBfivgznQuJnrQThZvw6trUE3/view?usp=drive_link</t>
    </r>
  </si>
  <si>
    <t>1st IEEE Uttar Pradesh Section Women in Engineering
International Conference on Electrical Electronics and Computer Engineering</t>
  </si>
  <si>
    <t>https://drive.google.com/file/d/19or1D5M2R3xuKQ7BQ2MgNXIptxjwaZcr/view?usp=drive_link</t>
  </si>
  <si>
    <t>International Conference on Electrical Electronics and Computer Engineering</t>
  </si>
  <si>
    <t>https://drive.google.com/file/d/112GVrGpvwmNJKd7UpJbDIHrAAe0vWTuT/view?usp=sharing</t>
  </si>
  <si>
    <t>IILMGN0001162022</t>
  </si>
  <si>
    <t>International Conference on Research and Development in Information, Communication, and Computing Technologies (ICRDICCT`25)</t>
  </si>
  <si>
    <t xml:space="preserve">Scopus </t>
  </si>
  <si>
    <t>Scitepress Digital Library</t>
  </si>
  <si>
    <t>E.G.S. Pillay Engineering College, Old Nagore Road, Nagore Post, Nagapattinam – 611 002, Tamil Nadu, India.	Author</t>
  </si>
  <si>
    <t>Vaibhav Sharma, Vikas Kumar Tiwari, Vikas Singh et al.</t>
  </si>
  <si>
    <t>Machine Learning Algorithms for Real-Time Anomaly Detection in Network Security: Protecting Systems from Emerging Cyber Threats</t>
  </si>
  <si>
    <t>https://drive.google.com/file/d/1a1NMb0ytkpdFSHo--eq2OTjlkivWahKk/view?usp=drive_link</t>
  </si>
  <si>
    <t>2025 International Conference on Networks and Cryptology (NETCRYPT)</t>
  </si>
  <si>
    <r>
      <rPr>
        <u/>
        <sz val="10"/>
        <color rgb="FF000000"/>
        <rFont val="Arial"/>
      </rPr>
      <t>Suryakant</t>
    </r>
    <r>
      <rPr>
        <sz val="10"/>
        <color rgb="FF000000"/>
        <rFont val="Arial"/>
      </rPr>
      <t xml:space="preserve">; </t>
    </r>
    <r>
      <rPr>
        <u/>
        <sz val="10"/>
        <color rgb="FF000000"/>
        <rFont val="Arial"/>
      </rPr>
      <t>Shilpa</t>
    </r>
    <r>
      <rPr>
        <sz val="10"/>
        <color rgb="FF000000"/>
        <rFont val="Arial"/>
      </rPr>
      <t xml:space="preserve">; </t>
    </r>
    <r>
      <rPr>
        <u/>
        <sz val="10"/>
        <color rgb="FF000000"/>
        <rFont val="Arial"/>
      </rPr>
      <t>Varsha Srivastava</t>
    </r>
    <r>
      <rPr>
        <sz val="10"/>
        <color rgb="FF000000"/>
        <rFont val="Arial"/>
      </rPr>
      <t xml:space="preserve">; </t>
    </r>
    <r>
      <rPr>
        <u/>
        <sz val="10"/>
        <color rgb="FF000000"/>
        <rFont val="Arial"/>
      </rPr>
      <t>Manisha Manjul</t>
    </r>
    <r>
      <rPr>
        <sz val="10"/>
        <color rgb="FF000000"/>
        <rFont val="Arial"/>
      </rPr>
      <t xml:space="preserve">; </t>
    </r>
    <r>
      <rPr>
        <u/>
        <sz val="10"/>
        <color rgb="FF000000"/>
        <rFont val="Arial"/>
      </rPr>
      <t>Satya Prakash Yadav</t>
    </r>
    <r>
      <rPr>
        <sz val="10"/>
        <color rgb="FF000000"/>
        <rFont val="Arial"/>
      </rPr>
      <t xml:space="preserve">; </t>
    </r>
    <r>
      <rPr>
        <u/>
        <sz val="10"/>
        <color rgb="FF000000"/>
        <rFont val="Arial"/>
      </rPr>
      <t>Daksh Rawat</t>
    </r>
  </si>
  <si>
    <t>Early Detection of Lung Cancer Using CNN Models and Medical Imaging</t>
  </si>
  <si>
    <t>1939-1944</t>
  </si>
  <si>
    <t>https://doi.org/10.1109/NETCRYPT65877.2025.11102313</t>
  </si>
  <si>
    <t>https://ieeexplore.ieee.org/abstract/document/11102313</t>
  </si>
  <si>
    <t>Graphic Era Hill, Dehradun</t>
  </si>
  <si>
    <t>Hemant Kumar Yadav, Varsha Srivastava, Sreenu Banoth, Daksh Rawat, Priyansha Rawat</t>
  </si>
  <si>
    <t>Automated Detection of Tomato Leaf Diseases Using Convolutional Neural Networks</t>
  </si>
  <si>
    <t>https://doi.org/10.1109/AUTOCOM64127.2025.10956636</t>
  </si>
  <si>
    <t>https://ieeexplore.ieee.org/abstract/document/10956636</t>
  </si>
  <si>
    <t>INTERNATIONAL CONFERENCE ON PERVASIVE COMPUTATIO NAL TECHNOLOGI ES (ICPCT 2025)</t>
  </si>
  <si>
    <t>GL Bajaj Institute of Technology and Managemen t, Greater Noida, UP, India,</t>
  </si>
  <si>
    <t xml:space="preserve">Session Chair </t>
  </si>
  <si>
    <t>https://drive.google.com/file/d/1gU8NXxNrebr2QbTC7Io_31LGMl4RQY1o/view?usp=sharing</t>
  </si>
  <si>
    <t>International Conference on Advances in Computing Research on Science,
Engineering and Technology (ACROSET)</t>
  </si>
  <si>
    <t>Acropolis Institute of Technology &amp; Research, Indore</t>
  </si>
  <si>
    <t>Vivek Pandey; Vikas Tiwari; Roshan Sonavane; Gaurav Jha; Kishan Mishra; Govind Lohar</t>
  </si>
  <si>
    <t>To Implement Blockchain Based Social Media Platform with Sentiment Analysis Using NLP</t>
  </si>
  <si>
    <t>ISBN: 979-8-3503-8881-7</t>
  </si>
  <si>
    <t>https://doi.org/10.1109/ACROSET62108.2024.10743538</t>
  </si>
  <si>
    <t>https://ieeexplore.ieee.org/document/10743538</t>
  </si>
  <si>
    <r>
      <rPr>
        <u/>
        <sz val="10"/>
        <color rgb="FF000000"/>
        <rFont val="Arial"/>
      </rPr>
      <t>2025 First International Conference on Advances in Computer Science, Electrical, Electronics, and Communication Technologies (CE2CT)</t>
    </r>
  </si>
  <si>
    <t>Graphic Era Hill University, Bhimtal, Nagri Gaon, Uttarakhand 263136</t>
  </si>
  <si>
    <t>Priyanka Chauhan; Surmadhur Pant; Bhupender Kumar Bharti; Ravinder Singh Kuntal; Vikas Kumar Tiwari; Jyoti Dhami</t>
  </si>
  <si>
    <t>Application of Wide Bandgap in Power Electronics: Next-gen Smart Grids</t>
  </si>
  <si>
    <t>ISBN:979-8-3315-1858-5</t>
  </si>
  <si>
    <t>https://doi.org/10.1109/CE2CT64011.2025.10939487</t>
  </si>
  <si>
    <t>https://ieeexplore.ieee.org/document/10939487</t>
  </si>
  <si>
    <t>E.G.S. Pillay Engineering College, Old Nagore Road, Nagore Post, Nagapattinam – 611 002, Tamil Nadu, India.</t>
  </si>
  <si>
    <t xml:space="preserve">Vaibhav Sharma, Vikas Singh, Vikas Kr Tiwari </t>
  </si>
  <si>
    <t>Enhanced Machine Learning Algorithms for Real-Time Anomaly Detection in Network Security: Addressing Scalability, Adaptability, and Privacy Challenges in the Face of Emerging Cyber Threats</t>
  </si>
  <si>
    <t>https://drive.google.com/file/d/19pK7nmci8jObBRnznciaN9YcOJstY9O1/view?usp=drive_link</t>
  </si>
  <si>
    <t>ICMLA-ALGO 2025 (International Conference on Machine Learning Algorithms)</t>
  </si>
  <si>
    <t>Chitkara University, Himachal</t>
  </si>
  <si>
    <t>REVIEWER 47.pdf</t>
  </si>
  <si>
    <t>International Conference on Research and Development in Information, Communication, and Computing Technologies - Volume 5: ICRDICCT`25</t>
  </si>
  <si>
    <t>Science and Technology Publications, Lda
Avenida de S. Francisco Xavier, Lote 7 Cv. C,
2900-616 Setúbal, Portugal.</t>
  </si>
  <si>
    <t>Vikas Kumar Tiwari, Vikas Singh, Vaibhav Sharma</t>
  </si>
  <si>
    <t>Enhanced Machine Learning Algorithms for Real-Time Anomaly Detection in Network Security: Addressing Scalability, Adaptability and Privacy Challenges in the Face of Emerging Cyber Threats</t>
  </si>
  <si>
    <t>807-813</t>
  </si>
  <si>
    <t>10.5220/0013944000004919</t>
  </si>
  <si>
    <r>
      <rPr>
        <u/>
        <sz val="10"/>
        <color rgb="FF1155CC"/>
        <rFont val="Arial"/>
      </rPr>
      <t>SciTePress - Publication Details</t>
    </r>
  </si>
  <si>
    <t>SciTePress - Publication Details</t>
  </si>
  <si>
    <t>IILMGN001402016</t>
  </si>
  <si>
    <t>5th International Conference on Machine Learning, IoT and Big Data (ICMIB)-2025</t>
  </si>
  <si>
    <t>Dept. of Computer Science and Engineering, Parala Maharaja Engineering College, Berhampur</t>
  </si>
  <si>
    <t>Deep Network Models for Alzheimer's Diagnosis Using MRI: A Comparative Analysis of CNN and Hybrid CNN-LSTM Architectures</t>
  </si>
  <si>
    <t>213–223</t>
  </si>
  <si>
    <t>https://doi.org/10.1007/978-3-032-05120-2_19</t>
  </si>
  <si>
    <t>https://link.springer.com/chapter/10.1007/978-3-032-05120-2_19</t>
  </si>
  <si>
    <t>https://drive.google.com/file/d/1FZgv6qw-y01h5xuBsDd30n3OqPH2ixuP/view?usp=drive_link</t>
  </si>
  <si>
    <t>https://drive.google.com/file/d/1RNdRdZWC7kjIGS_hy6KoEwR2ffnNN96S/view?usp=drive_link</t>
  </si>
  <si>
    <t>Science and Technology Publications, Lda
Avenida de S. Francisco Xavier, Lote 7 Cv. C,
2900-616 Setúbal, Portugal.</t>
  </si>
  <si>
    <t>Vikas Singh, Vaibhav Sharma, Vikar Kr Tiwari et. al</t>
  </si>
  <si>
    <t>https://www.scitepress.org/PublicationsDetail.aspx?ID=HT6+VoFlLB4=&amp;t=1</t>
  </si>
  <si>
    <t>https://drive.google.com/file/d/1bbFRgZWW2Qd0btw5dZEHF3ujy88htsyk/view?usp=drive_link</t>
  </si>
  <si>
    <t>Aug</t>
  </si>
  <si>
    <t>https://drive.google.com/file/d/1ZE-w_V2eatXszj6FgU8snQAFDm3FlMLe/view?usp=drive_link</t>
  </si>
  <si>
    <t>2nd International Confernce on Next Generation Communication &amp; Computing (NGCCOM-2025)</t>
  </si>
  <si>
    <t>GL BAJAJ Institute of Management &amp; Technology, Gr. Noida</t>
  </si>
  <si>
    <t>Dr Himanshu Sharma</t>
  </si>
  <si>
    <t>https://drive.google.com/file/d/1Km0uo7ucf1sb8AIaR8pnK7NlnFSJrTD1/view?usp=sharing</t>
  </si>
  <si>
    <t>15th International Conference— CONFLUENCE 2025</t>
  </si>
  <si>
    <t>Amity University Noida</t>
  </si>
  <si>
    <t>A Study on Ultrasound Imaging Techniques for Nerve Segmentation</t>
  </si>
  <si>
    <t>289-300</t>
  </si>
  <si>
    <t xml:space="preserve">
https://doi.org/10.1007/978-981-96-9203-3</t>
  </si>
  <si>
    <t>https://link.springer.com/chapter/10.1007/978-981-96-9203-3_24</t>
  </si>
  <si>
    <t>2nd International confernce on Advanced Computing &amp; Emerging Technologies</t>
  </si>
  <si>
    <t>AKGEC, Ghaziabad</t>
  </si>
  <si>
    <t>https://drive.google.com/file/d/1xPpxdPUNNzjgO-YY-tHitgLM0FVnrlqY/view?usp=drive_link</t>
  </si>
  <si>
    <t>Int. Conf. on AI and Robotics (AIR2025)</t>
  </si>
  <si>
    <t>Nazarbayew University, Kazakhsthan</t>
  </si>
  <si>
    <t>Session  chair</t>
  </si>
  <si>
    <t>https://drive.google.com/file/d/1b4Bp-wBs6-IeKvBl5KukVp7AXARehbbD/view?usp=sharing</t>
  </si>
  <si>
    <t>ISRO National AITC 2025 Conference.</t>
  </si>
  <si>
    <t>ISRO journal publication house</t>
  </si>
  <si>
    <t>ISRO BANGLORE</t>
  </si>
  <si>
    <t>Khushi Chatterjee,Pratham Kumar,Shubham Kumar</t>
  </si>
  <si>
    <t>International Conference
on IoT, Communication and Automation Technology - 2025 (ICICAT -2025)</t>
  </si>
  <si>
    <t>Buddha Institute of Technology, GIDA, Gorakhpur</t>
  </si>
  <si>
    <t>https://drive.google.com/file/d/1f1DA6f6Vce89N-1oSa8Hf-I_Rn_u-zPO/view?usp=drive_link</t>
  </si>
  <si>
    <t>International Conference on Sustainable Computing &amp; Artificial Intelligence-2025</t>
  </si>
  <si>
    <t>Compucon Institute of Technology &amp; Management, Jaipur</t>
  </si>
  <si>
    <t>https://drive.google.com/file/d/1Vm3f5zmbNjeY9_fSoZMn0_d7S-8vjYJL/view?usp=drive_link</t>
  </si>
  <si>
    <t>Keynote SPEAKER</t>
  </si>
  <si>
    <t>https://drive.google.com/file/d/18t0hBi-PbrVdU5TmIU7s0pYd3HCaS3NF/view?usp=drive_link</t>
  </si>
  <si>
    <t>UPWIECON-2025</t>
  </si>
  <si>
    <t>NILIET Dehradun</t>
  </si>
  <si>
    <t>https://drive.google.com/file/d/1fDLMFtwPK-Y9t6lVH87Oh7_6jwSSKVo3/view?usp=drive_link</t>
  </si>
  <si>
    <t>ANIL SAROLIYA</t>
  </si>
  <si>
    <t>IILMGN006212025</t>
  </si>
  <si>
    <t>ICATCICT2025</t>
  </si>
  <si>
    <t xml:space="preserve"> EDP Sciences</t>
  </si>
  <si>
    <r>
      <rPr>
        <sz val="10"/>
        <color theme="1"/>
        <rFont val="Arial"/>
      </rPr>
      <t xml:space="preserve">Organized by MG Aricent Educational Foundation, India with </t>
    </r>
    <r>
      <rPr>
        <b/>
        <sz val="10"/>
        <color theme="1"/>
        <rFont val="Arial"/>
      </rPr>
      <t>Technical Support from University of Malta</t>
    </r>
    <r>
      <rPr>
        <sz val="10"/>
        <color theme="1"/>
        <rFont val="Arial"/>
      </rPr>
      <t>, Malta and P. R. Pote Patil College of Engineering and Management, Amravati, India.</t>
    </r>
  </si>
  <si>
    <t>Author (1st Author and Corresponding)</t>
  </si>
  <si>
    <t>ANIL SAROLIYA
Mili Agrawal</t>
  </si>
  <si>
    <t>Smart Retail Environments: An Extensive
Analysis of IoT-Based Transformation and its
Effectiveness on Customer Experience
Enhancement (CEE)</t>
  </si>
  <si>
    <t>https://doi.org/10.1051/epjconf/202534101036</t>
  </si>
  <si>
    <t>https://www.epj-conferences.org/articles/epjconf/abs/2025/26/epjconf_icatcict2025_01036/epjconf_icatcict2025_01036.html</t>
  </si>
  <si>
    <t>ICATCICT 2025 Certificate Paper Id - 207 - ANIL SAROLIYA.pdf</t>
  </si>
  <si>
    <t>epjconf_icatcict2025_01036.pdf</t>
  </si>
  <si>
    <t>2nd International Conference on Artificial Intelligence and Emerging Technologies 2.0 (Global AI Summit 2025)</t>
  </si>
  <si>
    <t xml:space="preserve">Bennett University, Greater Noida </t>
  </si>
  <si>
    <t>https://drive.google.com/file/d/15B1snRqfCzmrRo-FhAa1rUl_tBndGvxD/view?usp=sharing</t>
  </si>
  <si>
    <t>2nd International Conference on Advanced Computing and Emerging Technologies (ACET-2025)</t>
  </si>
  <si>
    <t>Ajay Kumar Garg Engineering College, Ghaziabad (UP)</t>
  </si>
  <si>
    <t>https://drive.google.com/file/d/1sFBe0cs1eqnuSihy4WhXZSo6BuUkOIDL/view?usp=sharing</t>
  </si>
  <si>
    <t>https://drive.google.com/file/d/1K4s_9te229dEUsPC3l1Bm1dn7jQfZ5BR/view?usp=sharing</t>
  </si>
  <si>
    <t>https://drive.google.com/file/d/1hRu22og6WP6SCJJlBf6tSPxOtBVjx-aU/view?usp=drive_link</t>
  </si>
  <si>
    <t>6th International Conference on Computational Intelligence (ICCI 2025</t>
  </si>
  <si>
    <t>Sardar Vallabhbhai National Institute of Technology, Surat</t>
  </si>
  <si>
    <t>2nd International Conference on Smart Computing and Communication for Sustainable Convergence (ISCCSC 2025</t>
  </si>
  <si>
    <t>International Conference on Cybersecurity and Data Protection (CYBPRO 2025)</t>
  </si>
  <si>
    <r>
      <rPr>
        <sz val="10"/>
        <color rgb="FF000000"/>
        <rFont val="Arial"/>
      </rPr>
      <t xml:space="preserve">International Conference on </t>
    </r>
    <r>
      <rPr>
        <sz val="10"/>
        <color rgb="FF000000"/>
        <rFont val="Arial"/>
      </rPr>
      <t>Sustainability, Energy, and Digital Transformation for Educational and Research Excellence</t>
    </r>
  </si>
  <si>
    <t>4th IEEE International Conference on Interdisciplinary Approaches in Technology and Management for Social Innovation (IATMSI-2026)</t>
  </si>
  <si>
    <t>ABV-IIITM Gwalior</t>
  </si>
  <si>
    <t>World Congress on Smart Computing</t>
  </si>
  <si>
    <r>
      <rPr>
        <b/>
        <u/>
        <sz val="15"/>
        <color rgb="FF1155CC"/>
        <rFont val="Muli, sans-serif"/>
      </rPr>
      <t>Novotel Bangkok on Siam Square, Bangkok, Thailand</t>
    </r>
  </si>
  <si>
    <t>IEEE International Conference on “ Intelligent and Innovative Technologies in Computing, Electrical and Electronics</t>
  </si>
  <si>
    <t>BNMIT Bengaluru</t>
  </si>
  <si>
    <t>Lalit Mohan Gupta</t>
  </si>
  <si>
    <t>https://drive.google.com/file/d/1tozXUA5a3Df-aRDs8FtPJ8CXqonzmY5v/view?usp=sharing</t>
  </si>
  <si>
    <t>https://drive.google.com/file/d/1urtgRa9YxuMLwhlBCmXu-nqtPZrsKX-2/view?usp=sharing</t>
  </si>
  <si>
    <t>Monika Kumari</t>
  </si>
  <si>
    <t>IEEE International Conference on Computer, Electronics, Electrical Engineering &amp; their Applications (IC2E3), Srinagar Garhwal, India, 2025</t>
  </si>
  <si>
    <t>NIT, SRINAGAR</t>
  </si>
  <si>
    <t>Arun Singh Bhadwal, Monika Kumari &amp; Sachin Choudhary</t>
  </si>
  <si>
    <t>TVAE: Transformer based Variational autoencoder for the design of drug molecules</t>
  </si>
  <si>
    <t>Publsihed</t>
  </si>
  <si>
    <t>https://ieeexplore.ieee.org/abstract/document/11167652</t>
  </si>
  <si>
    <t>https://drive.google.com/file/d/1sLBXJnCYmyUlAkY_xBBqdW8CPXgddjxe/view?usp=drive_link</t>
  </si>
  <si>
    <t>2500-C-Bhadwal-TVAE_Transformer_based_Variational_autoencoder_for_the_design_of_drug_molecules.pdf</t>
  </si>
  <si>
    <t>SCSE</t>
  </si>
  <si>
    <t>International Conference On Innovative Computing And Communication</t>
  </si>
  <si>
    <t>Springer Nature Singapore</t>
  </si>
  <si>
    <r>
      <rPr>
        <u/>
        <sz val="12"/>
        <color rgb="FF1155CC"/>
        <rFont val="Arial"/>
        <scheme val="minor"/>
      </rPr>
      <t>Lecture Notes in Networks and Systems</t>
    </r>
  </si>
  <si>
    <t>FM Nazarov, Garima Sharma, Munish Sabharwal, AE Rashidov, Darpan Anand, Vishan Kumar Gupta</t>
  </si>
  <si>
    <t xml:space="preserve">Feb </t>
  </si>
  <si>
    <t>https://link.springer.com/chapter/10.1007/978-981-96-6715-4_35</t>
  </si>
  <si>
    <t>2025 2nd International Conference on New Frontiers in Communication, Automation, Management and Security (ICCAMS)</t>
  </si>
  <si>
    <t>Presidency University , Bangalore</t>
  </si>
  <si>
    <t>Prakash Subramani, Shireesha Gorgilli,Hina Gandhi, Khemraj Sharma, Ashish Gupta ,Lalit Kumar</t>
  </si>
  <si>
    <t>Deep Learning-Based Fault Diagnosis for Rotating Machinery in Industrial Settings</t>
  </si>
  <si>
    <t>DOI: 10.1109/ICCAMS65118.2025.11234452</t>
  </si>
  <si>
    <t>https://ieeexplore.ieee.org/document/11234452</t>
  </si>
  <si>
    <t>https://drive.google.com/file/d/1_cy9YIIMNpNkcKJ49cTNjAPMG2O3Oy1O/view?usp=drive_link</t>
  </si>
  <si>
    <t>3rd International conference on cryptology and network security with machine learning</t>
  </si>
  <si>
    <t>scopus</t>
  </si>
  <si>
    <r>
      <rPr>
        <u/>
        <sz val="12"/>
        <color rgb="FF1155CC"/>
        <rFont val="Arial"/>
        <scheme val="minor"/>
      </rPr>
      <t>Lecture Notes in Networks and Systems</t>
    </r>
  </si>
  <si>
    <t>https://drive.google.com/file/d/1XPrVkcVeffT3sFlo1kxo7dcuKr1REDYd/view?usp=drive_link</t>
  </si>
  <si>
    <t>GEn-CITy 2025</t>
  </si>
  <si>
    <t>IET/ IEEE</t>
  </si>
  <si>
    <t>UNDIKNAS University, Bali, Indonesia</t>
  </si>
  <si>
    <t>Moirangthem Marjit Singh, Nayan Kumar Sarkar</t>
  </si>
  <si>
    <t>Comparative Study of CapsNets and CNNs
in Image Classification</t>
  </si>
  <si>
    <t>3rd International Conference on IoT, Communication &amp; Automation Technology</t>
  </si>
  <si>
    <t>Buddha Institute of Technology, Gorakhpur, India</t>
  </si>
  <si>
    <t xml:space="preserve">Roop Ranjan, Ritu Sharma, Sandeep Saxena, Kulwant Singh, Naziya Hussain, Aman Kumar
</t>
  </si>
  <si>
    <t>SSF: Service Selection Framework for Public Cloud Application Hosting</t>
  </si>
  <si>
    <t>https://drive.google.com/file/d/1pImYDJuoX8oiQYfj9Yu0ElO_VnO8d3Xq/view?usp=sharing</t>
  </si>
  <si>
    <t>https://drive.google.com/file/d/1b4xor8qlvkuG9cjapp0KB1mhH0m1o0Nx/view?usp=sharing</t>
  </si>
  <si>
    <t>IILMGN007002029</t>
  </si>
  <si>
    <r>
      <rPr>
        <u/>
        <sz val="12"/>
        <color rgb="FF1155CC"/>
        <rFont val="Arial"/>
        <scheme val="minor"/>
      </rPr>
      <t>Lecture Notes in Networks and Systems</t>
    </r>
  </si>
  <si>
    <t>https://drive.google.com/file/d/14zxFQLSYlifr7uNC7vK2wUarEoGZgwk6/view?usp=sharing</t>
  </si>
  <si>
    <t>IILMGN007002030</t>
  </si>
  <si>
    <t>5th International Conference on Internet of Things – Smart Innovation &amp; Usage (IoT~SIU 2025)</t>
  </si>
  <si>
    <t>SRHU, Dehradun</t>
  </si>
  <si>
    <t>https://drive.google.com/file/d/1nzdwqjUHPXWdExm3EUU1Y2a7gjlqAjGW/view?usp=sharing</t>
  </si>
  <si>
    <t>IILMGN007002031</t>
  </si>
  <si>
    <t xml:space="preserve"> 2025 IEEE 7th International Conference on Computing, Communication, and Automation (ICCCA 2025) </t>
  </si>
  <si>
    <t>Galgotias University, Greater Noida</t>
  </si>
  <si>
    <t>Special Guest</t>
  </si>
  <si>
    <t>https://drive.google.com/file/d/1Z5RGMF9ClPITrNj5TAQs_-AdFOXKNFCn/view?usp=sharing</t>
  </si>
  <si>
    <t>nternational Conference on Sustainable Computing and Artificial Intelligence</t>
  </si>
  <si>
    <t>Atlantis Press – Part of Springer Nature</t>
  </si>
  <si>
    <t>https://drive.google.com/file/d/1a-Sj9T6RE_zTVRkGVM1f1a6W1RM7yx4a/view?usp=sharing</t>
  </si>
  <si>
    <t>2025 International Conference on Innovations and Emerging Technologies In AI &amp; Communication Systems (IETACS)</t>
  </si>
  <si>
    <t>CGC Jhajeri</t>
  </si>
  <si>
    <t>A Unified Deep Learning Approach for Human Activity Recognition with RGB-D Data</t>
  </si>
  <si>
    <t>660-665</t>
  </si>
  <si>
    <t>https://doi.org/10.1109/IETACS68750.2025.11385548</t>
  </si>
  <si>
    <t>https://ieeexplore.ieee.org/document/11385548/</t>
  </si>
  <si>
    <t>https://drive.google.com/file/d/1EjcpWHY19YLF5wFyRSmBH1xeS7tKw4GS/view?usp=drive_link</t>
  </si>
  <si>
    <t>Type of Book</t>
  </si>
  <si>
    <t>Title of the Book</t>
  </si>
  <si>
    <t>Editors / Authors of the Book</t>
  </si>
  <si>
    <t>ISBN</t>
  </si>
  <si>
    <t>Online Link of the Book</t>
  </si>
  <si>
    <t>Indexing</t>
  </si>
  <si>
    <t>Upload the Cover Page and published Table of Contents</t>
  </si>
  <si>
    <t>Text book</t>
  </si>
  <si>
    <t>Operating Systems</t>
  </si>
  <si>
    <t>Santosh Kumar, Lawlesh Nandkishore, Ajay Kumar, Basant Kumar</t>
  </si>
  <si>
    <t>REST Publisher</t>
  </si>
  <si>
    <t>978 – 81 – 988098 – 5 – 8,</t>
  </si>
  <si>
    <t>https://www.flipkart.com/operating-systems/p/itm5413e87aefb92?pid=9788198809858</t>
  </si>
  <si>
    <t>Digital Program Leadership: Delivering Complex IT &amp; Infrastructure Transformation at Scale</t>
  </si>
  <si>
    <t>Shirish Kashinath Borkar, Ajay Kumar</t>
  </si>
  <si>
    <t xml:space="preserve">RAVEENA </t>
  </si>
  <si>
    <t>978 – 93 – 5936 – 244 – 1,</t>
  </si>
  <si>
    <t>https://books.google.co.in/books?id=epZiEQAAQBAJ&amp;printsec=frontcover&amp;dq=inauthor:%22Author:+1-+Shirish+Kashinath+Borkar,+Author:+2-+Dr.+Ajay+Kumar%22&amp;hl=en&amp;newbks=1&amp;newbks_redir=0&amp;source=gb_mobile_search&amp;ovdme=1&amp;sa=X&amp;redir_esc=y#v=onepage&amp;q&amp;f=false</t>
  </si>
  <si>
    <t>Text book/ Academic reference book</t>
  </si>
  <si>
    <t>Fundamental Of Machine Learning &amp; Deep Learning</t>
  </si>
  <si>
    <t xml:space="preserve">Papiya Mukherjee, Ankita Agarwal,  Parul Saini, Pulkit Dwivedi </t>
  </si>
  <si>
    <t>Guided Self Publishing, India</t>
  </si>
  <si>
    <t>ISBN-13: 978-9394808621 ISBN-10: 9394808620</t>
  </si>
  <si>
    <t>https://amzn.in/d/4PbFWOo</t>
  </si>
  <si>
    <t>https://drive.google.com/drive/folders/1ivyTtR6KzfBO-KupU-DHe0ZYB-8MBIAw</t>
  </si>
  <si>
    <t>IILMGN006082025</t>
  </si>
  <si>
    <t>Data Mining: Concepts, Techniques, and Applications</t>
  </si>
  <si>
    <t xml:space="preserve">
Mr. Sourabh Dattalkar,Ms. Soniya Suthar,Ms. Bhumika Pal,Dr. Amit Mishra</t>
  </si>
  <si>
    <t>Chyren Publication</t>
  </si>
  <si>
    <t>https://www.flipkart.com/product/p/itme?pid=9789371433433</t>
  </si>
  <si>
    <t>Microservices and Automation Excellence: Full-Stack Development for the Intelligent Enterprise 2025</t>
  </si>
  <si>
    <t>Dr. Deependra Rastogi, Mr. Vamsi Krishna Kondreddy</t>
  </si>
  <si>
    <t xml:space="preserve">YASHITA PRAKASHAN PRIVATE LIMITED </t>
  </si>
  <si>
    <t>978-93-6788-710-3</t>
  </si>
  <si>
    <t>https://www.amazon.in/Microservices-Automation-Excellence-Development-Intelligent/dp/B0FD8K8CPT</t>
  </si>
  <si>
    <t>https://drive.google.com/drive/folders/1pR9RyJrVtJSeDmi-upOg9FmwDMWRpGfR?usp=drive_link</t>
  </si>
  <si>
    <t>Course Book</t>
  </si>
  <si>
    <t>Advanced AI Neural Network and Deep Learning</t>
  </si>
  <si>
    <t>Addition Publishing House</t>
  </si>
  <si>
    <t>978-93-6422-099-6</t>
  </si>
  <si>
    <t>Amazon:https://www.amazon.in/dp/9364220994
Flipkart: https://www.flipkart.com/product/p/itme?pid=9789364220996
Google Ebook :https://play.google.com/store/books/details?id=sLOJEQAAQBAJ
Addition Store:https://store.additionbooks.com/product/advanced-ai-neural-networks-and-deep-learning/</t>
  </si>
  <si>
    <t>https://docs.google.com/document/d/1AqZ3px1GuEiXeGTXzc114QVE639b3EZMFiSD-ZwEFWM/edit?usp=sharing</t>
  </si>
  <si>
    <t>Text Book</t>
  </si>
  <si>
    <t>Scaling Beyond Monoliths: A Guide to Building Reliable, Cloud Native Multi-Tenant Distributed System</t>
  </si>
  <si>
    <t>Kamal Kant Verma and Sumit Agarwal</t>
  </si>
  <si>
    <t>YASHITA PRAKASHAN PRIVATE LIMITED</t>
  </si>
  <si>
    <t>ISBN 9789370358249</t>
  </si>
  <si>
    <t>https://www.amazon.in/Scaling-Beyond-Monoliths-Cloud-Native-Multi-Tenant/dp/B0F7HX6N1H</t>
  </si>
  <si>
    <t>Text Book for Diploma 3rd Year for All AICTE Affiliated Instiute</t>
  </si>
  <si>
    <t>Introduction to e-Governance</t>
  </si>
  <si>
    <t>AICTE New Delhi</t>
  </si>
  <si>
    <t>ISBN: 109360275492 ISBN 13: 9789360275495</t>
  </si>
  <si>
    <t>https://ekumbh.aicte-india.org/allbook.php</t>
  </si>
  <si>
    <t>https://drive.google.com/drive/folders/1ikxa6IDfSIZSHhpIdkK5B-pdY_BARmQj?usp=sharing</t>
  </si>
  <si>
    <t>Textbook</t>
  </si>
  <si>
    <t>Autonomous Cloud Revolution: IT Learns, IT Adapts, IT evolves</t>
  </si>
  <si>
    <t>Soham Sunil Kulkarni, Dr. Lalit Kumar</t>
  </si>
  <si>
    <t>978-93-6788-057-9</t>
  </si>
  <si>
    <t>https://www.amazon.in/Autonomous-Cloud-Revolution-learns-evolves/dp/B0F5HR9LDR</t>
  </si>
  <si>
    <t>https://drive.google.com/file/d/1xb1mMa4wNODMQo-0YIoYjPCvNjlItE31/view?usp=drive_link  https://www.google.co.in/books/edition/Autonomous_Cloud_Revolution_It_learns_it/4ANYEQAAQBAJ?hl=en&amp;gbpv=0</t>
  </si>
  <si>
    <t>devsecops security scanning tools in enterprise CiCD pipline</t>
  </si>
  <si>
    <t>Karthikeyan Ramdass and Dr. Lalit Kumar</t>
  </si>
  <si>
    <t>DeepMisti Publication</t>
  </si>
  <si>
    <t>978-93-6044-972-8</t>
  </si>
  <si>
    <t>https://www.amazon.in/DevSecOps-Security-Scanning-Enterprise-Pipeline/dp/B0DT46WHK5/ref=sr_1_1?dib=eyJ2IjoiMSJ9.GId6gMKUkt3HtHgmCwaxXw.uq-8VeW84035WqQlOoPfkDvJsjgzuRnK-H4ZZK3Olf4&amp;dib_tag=se&amp;keywords=devsecops+security+scanning+tools+in+enterprise+cicd+pipeline&amp;nsdOptOutParam=true&amp;qid=1762842689&amp;s=books&amp;sr=1-1</t>
  </si>
  <si>
    <r>
      <rPr>
        <u/>
        <sz val="10"/>
        <color rgb="FF000000"/>
        <rFont val="Arial"/>
      </rPr>
      <t>https://drive.google.com/file/d/1JXvlLBe17WaO0U-YQrfevyy6Zx_caGnV/view?usp=drive_link</t>
    </r>
    <r>
      <rPr>
        <u/>
        <sz val="10"/>
        <color rgb="FF000000"/>
        <rFont val="Arial"/>
      </rPr>
      <t xml:space="preserve">    </t>
    </r>
    <r>
      <rPr>
        <u/>
        <sz val="10"/>
        <color rgb="FF000000"/>
        <rFont val="Arial"/>
      </rPr>
      <t>https://drive.google.com/file/d/1xb1mMa4wNODMQo-0YIoYjPCvNjlItE31/view?usp=drive_link</t>
    </r>
  </si>
  <si>
    <t>AI-Enhanced Observability: Intelligent Performance Monitoring for Cloud-Native Architectures 2025</t>
  </si>
  <si>
    <t>Dr. Lalit Kumar  andAnkush Jitendrakumar Tyagi</t>
  </si>
  <si>
    <t>978-93-6788-757-8</t>
  </si>
  <si>
    <t>https://www.amazon.in/AI-Enhanced-Observability-Intelligent-Cloud-Native-Architectures/dp/B0F6VCY8N3/ref=sr_1_1?dib=eyJ2IjoiMSJ9.KjZzpeMfrZW4vklrlMKq-w.fChIzq5xZ1hijQvJzCiXi6CR-WFKY2VI-kpnMirsKfw&amp;dib_tag=se&amp;qid=1762843207&amp;refinements=p_27%3ADr.+Lalit+Kumar+Ankush+Jitendrakumar+Tyagi&amp;s=books&amp;sr=1-1</t>
  </si>
  <si>
    <t>https://drive.google.com/file/d/1AundoipJowJOxZlfJp6IctxtinZorZBP/view?usp=drive_link  https://drive.google.com/file/d/1vyucKXVQffve_7NgypoqThjwt5kdz8oE/view?usp=drive_link  https://books.google.co.in/books?id=7RVaEQAAQBAJ&amp;newbks=0&amp;printsec=frontcover&amp;pg=PA130&amp;dq=AI-enhanced+observability+intelligent+performance+monitoring+for+cloud+native+architecttures&amp;hl=en&amp;source=newbks_fb&amp;redir_esc=y#v=onepage&amp;q&amp;f=false</t>
  </si>
  <si>
    <t>Serverless Architectures and Data-Driven Advertising: Optimizing Systems for Scalability and Compliance</t>
  </si>
  <si>
    <r>
      <rPr>
        <u/>
        <sz val="10"/>
        <color rgb="FF000000"/>
        <rFont val="Arial"/>
      </rPr>
      <t>Karthik Venkatesan Dr. Lalit Kumar</t>
    </r>
  </si>
  <si>
    <t>978-936-6044-543-0</t>
  </si>
  <si>
    <t>https://www.amazon.in/Serverless-Architectures-Data-Driven-Advertising-Scalability/dp/B0DVR5J8T3/ref=sr_1_1?crid=116X0E8ZY6G2&amp;dib=eyJ2IjoiMSJ9.woVQJ7XljGjKnRCDV3UNTg.pVWoZBc08pm30e_lUH7AVsD52a4FW3DwZhGounzGjYg&amp;dib_tag=se&amp;keywords=serverless+architectures+and+data+driven+advertising&amp;qid=1762843501&amp;s=books&amp;sprefix=serverless+architecutures+and+data+driven+%2Cstripbooks%2C228&amp;sr=1-1</t>
  </si>
  <si>
    <t>Febuary</t>
  </si>
  <si>
    <r>
      <rPr>
        <u/>
        <sz val="10"/>
        <color rgb="FF000000"/>
        <rFont val="Arial"/>
      </rPr>
      <t>https://drive.google.com/file/d/1cpg4NOENQmr7ZzyAbeQBpyAsjezYgMMd/view?usp=drive_link</t>
    </r>
    <r>
      <rPr>
        <u/>
        <sz val="10"/>
        <color rgb="FF000000"/>
        <rFont val="Arial"/>
      </rPr>
      <t xml:space="preserve">  </t>
    </r>
    <r>
      <rPr>
        <u/>
        <sz val="10"/>
        <color rgb="FF000000"/>
        <rFont val="Arial"/>
      </rPr>
      <t>https://drive.google.com/file/d/1sTaiKis0ZPlcSY8oIPitx0dorof9Nb28/view?usp=drive_link</t>
    </r>
  </si>
  <si>
    <t>Deep Learning</t>
  </si>
  <si>
    <t>Mindcraft Publications</t>
  </si>
  <si>
    <t>https://mindcraftpublications.com/book-details.php?id=4</t>
  </si>
  <si>
    <t>https://drive.google.com/file/d/18ji0Z6oXzTguJrvimomDOxn_vj6IvQCy/view?usp=drive_link</t>
  </si>
  <si>
    <t>Introduction to Mobile Computing</t>
  </si>
  <si>
    <t>Dr. Shamsul, Dr. Manali Gupta, Dr. Sonia Arora,
Ms. Gagandeep Bhatia</t>
  </si>
  <si>
    <t>978-93-7143-837-7</t>
  </si>
  <si>
    <t>https://www.flipkart.com/product/p/itme?pid=9789371438377</t>
  </si>
  <si>
    <r>
      <rPr>
        <u/>
        <sz val="10"/>
        <color rgb="FF000000"/>
        <rFont val="Arial"/>
      </rPr>
      <t>Introduction to Mobile Computing - B5 Size: Buy Introduction to Mobile Computing - B5 Size by Dr. Shamsul Haque, Dr. Manali Gupta, Dr. Sonia Arora, Ms. Gagandeep Bhatia at Low Price in India | Flipkart.com</t>
    </r>
  </si>
  <si>
    <t>https://drive.google.com/file/d/1awfN_r7A7achTh_eAEJe5hQzVpPyKFs7/view?usp=drive_link</t>
  </si>
  <si>
    <t>Data Analytics tools for managers</t>
  </si>
  <si>
    <t>Dharmveer singh,Prof Onima Ranjan,Ms poonam yadav,Dr Shweta Rai</t>
  </si>
  <si>
    <t>Prime international Publication</t>
  </si>
  <si>
    <r>
      <rPr>
        <u/>
        <sz val="10"/>
        <color rgb="FF000000"/>
        <rFont val="Arial"/>
      </rPr>
      <t>DATA ANALYTICS TOOLS FOR MANAGER'S: Buy DATA ANALYTICS TOOLS FOR MANAGER'S by Prof. (Dr.) DHARM BEER SINGH Prof. ONIMA RANJAN Ms. POONAM YADAV Dr. SHWETA RAI at Low Price in India | Flipkart.com</t>
    </r>
  </si>
  <si>
    <t>https://drive.google.com/file/d/1dDuulXMDo0QtXtUGUg24j7JEGphYe-v2/view?usp=sharing</t>
  </si>
  <si>
    <t>IILMGN002282023.</t>
  </si>
  <si>
    <t>Theory of Computation</t>
  </si>
  <si>
    <t>Mr. Sreenu Banoth, Ms. Lalita Verma, Ms. Pushpa Singh, Mr. Vikas Kumar Tiwari</t>
  </si>
  <si>
    <t>RK Publication</t>
  </si>
  <si>
    <t>ISBN- 978-93-48655-13-4</t>
  </si>
  <si>
    <t>https://books.google.co.in/books?id=mtJSEQAAQBAJ&amp;newbks=0&amp;hl=en&amp;source=newbks_fb&amp;redir_esc=y</t>
  </si>
  <si>
    <t>https://drive.google.com/drive/folders/1-UFTc3TUP4KXTou4wvYh1PBl49xV0CqP?usp=drive_link</t>
  </si>
  <si>
    <t>Mastering iOS Development Swift and Mobile App Leadership.</t>
  </si>
  <si>
    <t>B0DR8XYST6</t>
  </si>
  <si>
    <t>https://www.amazon.in/-/hi/JASWANTH-ALAHARI-REETA-MISHRA/dp/B0DR8XYST6</t>
  </si>
  <si>
    <t>https://drive.google.com/file/d/1Pgx1GiHKnwCr9eiyHo3YnDwL0NS9D2kQ/view?usp=sharing</t>
  </si>
  <si>
    <t>Reference Book</t>
  </si>
  <si>
    <t>Cybernetic Shield: Securing the Future of Machine Intelligence</t>
  </si>
  <si>
    <t>Arun Kumar Singh (Editor), Sandeep Saxena (Editor), A K Haghi (Editor)</t>
  </si>
  <si>
    <t>CRC Press</t>
  </si>
  <si>
    <t>https://www.amazon.co.za/Cybernetic-Shield-Securing-Machine-Intelligence/dp/1032936436</t>
  </si>
  <si>
    <t>Empowering Healthcare through AI and Blockchain</t>
  </si>
  <si>
    <t>Renu Mishra (Editor), Girdhar Mishra (Editor), Sandeep Saxena (Editor), Parma Nand (Editor)</t>
  </si>
  <si>
    <t>Wiley-IEEE Press</t>
  </si>
  <si>
    <t>https://www.amazon.com/Empowering-Healthcare-through-AI-Blockchain/dp/1394261802</t>
  </si>
  <si>
    <t>IILMGN005762025</t>
  </si>
  <si>
    <t>Artificial intelligence for robotics</t>
  </si>
  <si>
    <t>Ms. Sonam Sirohi, Ms. Bhawna sachdeva, Dr. mukesh Kr Ojha, Dr. Dheeraj Gupta</t>
  </si>
  <si>
    <t>Scientific International Publishing House</t>
  </si>
  <si>
    <t>978-93-7196-291-9</t>
  </si>
  <si>
    <t>https://www.amazon.in/gp/product/B0FN88KNCS/ref=ox_sc_act_title_1?smid=A1UBZVGJOLJUJI&amp;psc=1</t>
  </si>
  <si>
    <t>https://drive.google.com/file/d/1KnWkYEvjhE6uWxtHgP22h9mejuzpIMT6/view?usp=share_link</t>
  </si>
  <si>
    <t>The Data-Driven Product Manager: A Blueprint 2025</t>
  </si>
  <si>
    <t>978-93-6788-681-6</t>
  </si>
  <si>
    <t>https://www.amazon.in/gp/product/B0F2HRDQV5/ref=cx_skuctr_share_ls_srb?smid=A3JMOLA6ZHJ0SX&amp;tag=ShopReferral_3f81be9a-8663-4d59-900a-be44dc69d966</t>
  </si>
  <si>
    <t>https://drive.google.com/file/d/1iU66PvQC0UpKfV3VYUjTpNkrC7xeLcP1/view?usp=drive_link</t>
  </si>
  <si>
    <t>Parul Saini</t>
  </si>
  <si>
    <t>IILMGN004422024</t>
  </si>
  <si>
    <t>https://drive.google.com/drive/folders/1ctx1f_r1H2GCRbkbUc_TPbZpoj8HtQQv?usp=sharing</t>
  </si>
  <si>
    <t>MS</t>
  </si>
  <si>
    <t>IILMGN004272025</t>
  </si>
  <si>
    <t>Reference book</t>
  </si>
  <si>
    <t>Federated Learning for Smart Agriculture and Food Quality Enhancement</t>
  </si>
  <si>
    <t>Padmesh Tripathi (editor),Shanthi Makka (Editor),Reeta Mishra(Editor)</t>
  </si>
  <si>
    <t>Wiley scrivener Publishing</t>
  </si>
  <si>
    <t>doi/book/10.1002/9781394338726</t>
  </si>
  <si>
    <t>Print ISBN:9781394338696 |Online ISBN:9781394338726</t>
  </si>
  <si>
    <t>https://www.wiley.com/en-us/Federated+Learning+for+Smart+Agriculture+and+Food+Quality+Enhancement-p-9781394338726</t>
  </si>
  <si>
    <t>Refernce Book</t>
  </si>
  <si>
    <t>Drones for Transaportation Logistics &amp; Disaster Management</t>
  </si>
  <si>
    <t xml:space="preserve">A. Prasath, Rajesh Kumar Dhanraj, Munish Sabharwal, Vandana Sharma, Seife </t>
  </si>
  <si>
    <t>https://books.google.co.in/books?hl=en&amp;lr=&amp;id=VlaUEQAAQBAJ&amp;oi=fnd&amp;pg=PP1&amp;dq=info:D9iePsGNtyUJ:scholar.google.com&amp;ots=3cKGRatCX1&amp;sig=2vtJ7g-23bN4vgu2JsVyheyiERo&amp;redir_esc=y#v=onepage&amp;q&amp;f=true</t>
  </si>
  <si>
    <t>Title of the Book Chapter</t>
  </si>
  <si>
    <t>Chapter Number</t>
  </si>
  <si>
    <t>Name of the Publisher</t>
  </si>
  <si>
    <t>Chapter Link</t>
  </si>
  <si>
    <t>What is your author position in the publication</t>
  </si>
  <si>
    <t>Upload the full book chapter published</t>
  </si>
  <si>
    <t>IILMGN0005862025</t>
  </si>
  <si>
    <t>Amit Agrawal, Monu Nath Baitha</t>
  </si>
  <si>
    <t>Deep Learning Applications in Optical Fiber-Based Sensing Systems</t>
  </si>
  <si>
    <t xml:space="preserve">Optical Fiber Sensors and AI
</t>
  </si>
  <si>
    <t>SPRINGER Nature</t>
  </si>
  <si>
    <t>93-104</t>
  </si>
  <si>
    <t>978-981-96-6158-9</t>
  </si>
  <si>
    <t>https://doi.org/10.1007/978-981-96-6158-9_6</t>
  </si>
  <si>
    <t>https://link.springer.com/chapter/10.1007/978-981-96-6158-9_6</t>
  </si>
  <si>
    <t>FIRST</t>
  </si>
  <si>
    <t>https://drive.google.com/file/d/1J9OOGlwD-cZG13JzeczKTEDnAbGyZSMq/view?usp=drive_link</t>
  </si>
  <si>
    <t>Dual Affilation</t>
  </si>
  <si>
    <t>Future Perspectives: Innovations and Challenges in AI-Powered Optical Fiber Sensing</t>
  </si>
  <si>
    <t>186-196</t>
  </si>
  <si>
    <t>https://doi.org/10.1007/978-981-96-6158-9_12</t>
  </si>
  <si>
    <t>https://link.springer.com/chapter/10.1007/978-981-96-6158-9_12</t>
  </si>
  <si>
    <t>Shantanu Bindewari, Sumit Singh Dhanda, Anand Singh</t>
  </si>
  <si>
    <t>Optimization Techniques in Training Deep Neural Networks for Vision</t>
  </si>
  <si>
    <t>Applied Computer Vision through Artificial Intelligence</t>
  </si>
  <si>
    <t>297-317</t>
  </si>
  <si>
    <t>9781394272624, 9781394272594</t>
  </si>
  <si>
    <r>
      <rPr>
        <u/>
        <sz val="10"/>
        <color rgb="FF000000"/>
        <rFont val="Arial"/>
      </rPr>
      <t>https://doi.org/10.1002/9781394272624.ch21</t>
    </r>
  </si>
  <si>
    <t>https://onlinelibrary.wiley.com/doi/abs/10.1002/9781394272624.ch21</t>
  </si>
  <si>
    <t>Third</t>
  </si>
  <si>
    <t>https://onlinelibrary.wiley.com/doi/10.1002/9781394272624.ch21</t>
  </si>
  <si>
    <t>Apoorva Jain,Jasminder Kaur Sandhu, Pulkit Dwivedi</t>
  </si>
  <si>
    <r>
      <rPr>
        <u/>
        <sz val="10"/>
        <color rgb="FF000000"/>
        <rFont val="Arial"/>
      </rPr>
      <t>Understanding the Unseen: Explainability in Deep Learning for Computer Vision</t>
    </r>
  </si>
  <si>
    <t>Applied Computer vision through Artificial Intelligence</t>
  </si>
  <si>
    <t>Wiley Online Library</t>
  </si>
  <si>
    <t>187-212</t>
  </si>
  <si>
    <t>978-1-394-27259-4</t>
  </si>
  <si>
    <t>https://doi.org/10.1002/9781394272624.ch9</t>
  </si>
  <si>
    <t>https://onlinelibrary.wiley.com/doi/abs/10.1002/9781394272624.ch9</t>
  </si>
  <si>
    <t>First</t>
  </si>
  <si>
    <t>https://drive.google.com/file/d/1flCLtfR8Lcjh_sOLvrNdNKDHWMKtR5g3/view?usp=drive_link</t>
  </si>
  <si>
    <t>Pulkit Dwivedi, Jasminder Kaur Sandhu, Apoorva Jain</t>
  </si>
  <si>
    <r>
      <rPr>
        <u/>
        <sz val="10"/>
        <color rgb="FF000000"/>
        <rFont val="Arial"/>
      </rPr>
      <t>From Theoretical Foundations to Data Synthesis: Advanced Applications of Generative Adversarial Networks (GANs)</t>
    </r>
  </si>
  <si>
    <t>393-431</t>
  </si>
  <si>
    <t>https://doi.org/10.1002/9781394272624.ch20</t>
  </si>
  <si>
    <t>https://onlinelibrary.wiley.com/doi/abs/10.1002/9781394272624.ch20</t>
  </si>
  <si>
    <t>https://drive.google.com/file/d/1eFBi4naK_vbSqhPS_dZoydB_-FpVGDOe/view?usp=drive_link</t>
  </si>
  <si>
    <t>A. Aminu, Rajneesh Kumar Singh*, Gaurav Kumar, Arun Prakash Agarwal, S. Pratap Singh</t>
  </si>
  <si>
    <t>Attention Inspired Human Activity Recognition Models Using Deep Learning: A Review</t>
  </si>
  <si>
    <t>Advances in AI for Financial, Cyber, and Healthcare Analytics: A Multidisciplinary Approach</t>
  </si>
  <si>
    <t>21-40</t>
  </si>
  <si>
    <t>DOI:10.2174/97988988105421250101</t>
  </si>
  <si>
    <t>https://www.eurekaselect.com/chapter/25486</t>
  </si>
  <si>
    <r>
      <rPr>
        <u/>
        <sz val="10"/>
        <color rgb="FF000000"/>
        <rFont val="Arial"/>
      </rPr>
      <t>Gunjan Mittal Roy</t>
    </r>
    <r>
      <rPr>
        <sz val="10"/>
        <color rgb="FF000000"/>
        <rFont val="Arial"/>
      </rPr>
      <t xml:space="preserve">, </t>
    </r>
    <r>
      <rPr>
        <u/>
        <sz val="10"/>
        <color rgb="FF000000"/>
        <rFont val="Arial"/>
      </rPr>
      <t>Abhinav Raghav</t>
    </r>
    <r>
      <rPr>
        <sz val="10"/>
        <color rgb="FF000000"/>
        <rFont val="Arial"/>
      </rPr>
      <t xml:space="preserve">, </t>
    </r>
    <r>
      <rPr>
        <u/>
        <sz val="10"/>
        <color rgb="FF000000"/>
        <rFont val="Arial"/>
      </rPr>
      <t>Sarvesh Kumar Swarnakar</t>
    </r>
    <r>
      <rPr>
        <sz val="10"/>
        <color rgb="FF000000"/>
        <rFont val="Arial"/>
      </rPr>
      <t xml:space="preserve">, </t>
    </r>
    <r>
      <rPr>
        <u/>
        <sz val="10"/>
        <color rgb="FF000000"/>
        <rFont val="Arial"/>
      </rPr>
      <t>Puneeta Singh</t>
    </r>
    <r>
      <rPr>
        <sz val="10"/>
        <color rgb="FF000000"/>
        <rFont val="Arial"/>
      </rPr>
      <t xml:space="preserve">, </t>
    </r>
    <r>
      <rPr>
        <u/>
        <sz val="10"/>
        <color rgb="FF000000"/>
        <rFont val="Arial"/>
      </rPr>
      <t>Shantanu Bindewari</t>
    </r>
  </si>
  <si>
    <t>Automated crowd detection and tracking system using AI-powered drones</t>
  </si>
  <si>
    <t>https://www.taylorfrancis.com/chapters/edit/10.1201/9781003593034-74/automated-crowd-detection-tracking-system-using-ai-powered-drones-abhinav-raghav-sarvesh-kumar-swarnakar-gunjan-mittal-roy-puneeta-singh-shantanu-bindewari?context=ubx&amp;refId=3079b18a-b036-4133-af18-058f80813b5d</t>
  </si>
  <si>
    <t>Fourth</t>
  </si>
  <si>
    <t>Hilal ahmad shah</t>
  </si>
  <si>
    <t>Syed Zoofa,Inam, Hilal,Abrar</t>
  </si>
  <si>
    <t>Neural Network Approaches for intelligent Decisoin Making in automation</t>
  </si>
  <si>
    <t>handbook of intelligent Automatiion system using computer vision and artificial intelligence</t>
  </si>
  <si>
    <t>wiley-Scrivener publishing</t>
  </si>
  <si>
    <t>https://doi.org/10.1002/9781394302734.ch12</t>
  </si>
  <si>
    <t>https://onlinelibrary.wiley.com/doi/abs/10.1002/9781394302734.ch12</t>
  </si>
  <si>
    <t>Scopus-journal</t>
  </si>
  <si>
    <t>third</t>
  </si>
  <si>
    <t>IILMGN00GN006932025</t>
  </si>
  <si>
    <t>Ms Ishu Chaudhary,Ankesh Kumar</t>
  </si>
  <si>
    <t>Quantum-Inspired Approaches for Intelligent Data Processing</t>
  </si>
  <si>
    <t>Challenges and Future Directions for Quantum-Inspired Soft Computing</t>
  </si>
  <si>
    <t xml:space="preserve">Scrivener </t>
  </si>
  <si>
    <t>https://scrivenerpublishing.com/cart/title.php?id=1282#bios</t>
  </si>
  <si>
    <t>IILMGN003662024</t>
  </si>
  <si>
    <t>Tushar Verma, Sachin Ahuja, Jasminder Kaur Sandhu</t>
  </si>
  <si>
    <t>From Pixels to Predictions: Deep Learning for Glaucoma Detection</t>
  </si>
  <si>
    <t>59-87</t>
  </si>
  <si>
    <r>
      <rPr>
        <u/>
        <sz val="10"/>
        <color rgb="FF000000"/>
        <rFont val="Arial"/>
      </rPr>
      <t>https://doi.org/10.1002/9781394272624.ch3</t>
    </r>
  </si>
  <si>
    <r>
      <rPr>
        <u/>
        <sz val="10"/>
        <color rgb="FF000000"/>
        <rFont val="Arial"/>
      </rPr>
      <t>https://onlinelibrary.wiley.com/doi/abs/10.1002/9781394272624.ch3</t>
    </r>
  </si>
  <si>
    <r>
      <rPr>
        <u/>
        <sz val="10"/>
        <color rgb="FF000000"/>
        <rFont val="Arial"/>
      </rPr>
      <t>https://drive.google.com/drive/u/1/folders/1jDLI8EAfOt5IkLMiklB5ABeOdwV-2kvM</t>
    </r>
  </si>
  <si>
    <t>Apoorva Jain, Jasminder Kaur Sandhu, Pulkit Dwivedi</t>
  </si>
  <si>
    <t>Understanding the Unseen
 Explainability in Deep Learning for Computer Vision</t>
  </si>
  <si>
    <r>
      <rPr>
        <u/>
        <sz val="10"/>
        <color rgb="FF000000"/>
        <rFont val="Arial"/>
      </rPr>
      <t>https://doi.org/10.1002/9781394272624.ch9</t>
    </r>
  </si>
  <si>
    <r>
      <rPr>
        <u/>
        <sz val="10"/>
        <color rgb="FF000000"/>
        <rFont val="Arial"/>
      </rPr>
      <t>https://onlinelibrary.wiley.com/doi/abs/10.1002/9781394272624.ch9</t>
    </r>
  </si>
  <si>
    <r>
      <rPr>
        <u/>
        <sz val="10"/>
        <color rgb="FF000000"/>
        <rFont val="Arial"/>
      </rPr>
      <t>https://drive.google.com/drive/u/1/folders/1jDLI8EAfOt5IkLMiklB5ABeOdwV-2kvM</t>
    </r>
  </si>
  <si>
    <t>From Theoretical Foundations to Data Synthesis: Advanced Applications of Generative Adversarial Networks (GANs)</t>
  </si>
  <si>
    <r>
      <rPr>
        <u/>
        <sz val="10"/>
        <color rgb="FF000000"/>
        <rFont val="Arial"/>
      </rPr>
      <t>https://doi.org/10.1002/9781394272624.ch20</t>
    </r>
  </si>
  <si>
    <r>
      <rPr>
        <u/>
        <sz val="10"/>
        <color rgb="FF000000"/>
        <rFont val="Arial"/>
      </rPr>
      <t>https://onlinelibrary.wiley.com/doi/abs/10.1002/9781394272624.ch20</t>
    </r>
  </si>
  <si>
    <r>
      <rPr>
        <u/>
        <sz val="10"/>
        <color rgb="FF000000"/>
        <rFont val="Arial"/>
      </rPr>
      <t>https://drive.google.com/drive/u/1/folders/1jDLI8EAfOt5IkLMiklB5ABeOdwV-2kvM</t>
    </r>
  </si>
  <si>
    <t>Pulkit Dwivedi, Jasminder Kaur Sandhu, Rakesh Sahu</t>
  </si>
  <si>
    <t>Synergizing Ensemble Learning Techniques for Robust Emotion Detection using EEG Signals</t>
  </si>
  <si>
    <t>157-186</t>
  </si>
  <si>
    <r>
      <rPr>
        <u/>
        <sz val="10"/>
        <color rgb="FF000000"/>
        <rFont val="Arial"/>
      </rPr>
      <t>https://doi.org/10.1002/9781394272624.ch8</t>
    </r>
  </si>
  <si>
    <r>
      <rPr>
        <u/>
        <sz val="10"/>
        <color rgb="FF000000"/>
        <rFont val="Arial"/>
      </rPr>
      <t>https://onlinelibrary.wiley.com/doi/abs/10.1002/9781394272624.ch8</t>
    </r>
  </si>
  <si>
    <r>
      <rPr>
        <u/>
        <sz val="10"/>
        <color rgb="FF000000"/>
        <rFont val="Arial"/>
      </rPr>
      <t>https://drive.google.com/drive/u/1/folders/1jDLI8EAfOt5IkLMiklB5ABeOdwV-2kvM</t>
    </r>
  </si>
  <si>
    <t>Kamal Kant Verma
 Ajay Kumar</t>
  </si>
  <si>
    <t>AI Technologies in Agriculture: Transforming Farming with Intelligent Solutions</t>
  </si>
  <si>
    <t>AgriTech Revolution: Next-Gen Solutions and Challenges in Modern Agriculture</t>
  </si>
  <si>
    <t>127-157</t>
  </si>
  <si>
    <t>Online ISBN: 978-981-95-1268-3</t>
  </si>
  <si>
    <r>
      <rPr>
        <u/>
        <sz val="10"/>
        <color rgb="FF000000"/>
        <rFont val="Arial"/>
      </rPr>
      <t>https://doi.org/10.1007/978-981-95-1268-3_8</t>
    </r>
  </si>
  <si>
    <t>https://link.springer.com/chapter/10.1007/978-981-95-1268-3_8</t>
  </si>
  <si>
    <t>Vineet Vishnoi, Shivam Chaudhary, Neeraj Joshi, Prakhar Consul</t>
  </si>
  <si>
    <t>Nanoscale Industry 4.0 Empowers Advanced Nano Materials and Devices</t>
  </si>
  <si>
    <t>Nanoscale Industry 4.0</t>
  </si>
  <si>
    <t>https://doi.org/10.1201/9781003634553</t>
  </si>
  <si>
    <t>https://www.taylorfrancis.com/chapters/edit/10.1201/9781003634553-12/nanoscale-industry-4-0-empowers-advanced-nanomaterials-devices-vineet-vishnoi-shivam-chaudhary-neeraj-joshi-prakhar-consul?context=ubx&amp;refId=08f3fc15-5aa9-42bd-bd3b-6d67d1f59120</t>
  </si>
  <si>
    <t>https://www.google.co.in/books/edition/Nanotechnology_Applications_for_Industry/l8VoEQAAQBAJ?hl=en&amp;gbpv=1&amp;pg=PA297&amp;printsec=frontcover</t>
  </si>
  <si>
    <t>Reeta Mishra, Padmesh Tripathi &amp; Nitendra Kumar</t>
  </si>
  <si>
    <t>Human-Centered Infrastructure for Sustainable Smart Cities in Industry 5.0</t>
  </si>
  <si>
    <t xml:space="preserve">Building a Human-Centred Infrastructure for Sustainable Industry 5.0 in Asia
</t>
  </si>
  <si>
    <t>301-319</t>
  </si>
  <si>
    <t>978-981-95-0416-9</t>
  </si>
  <si>
    <t>https://doi.org/10.1007/978-981-95-0417-6_13</t>
  </si>
  <si>
    <r>
      <rPr>
        <u/>
        <sz val="10"/>
        <color rgb="FF000000"/>
        <rFont val="Arial"/>
      </rPr>
      <t>Human-Centered Infrastructure for Sustainable Smart Cities in Industry 5.0 | SpringerLink</t>
    </r>
  </si>
  <si>
    <t>Sonia Arora, Manali Gupta, Mritunjay Rai, Reeta Mishra and Padmesh Tripathi</t>
  </si>
  <si>
    <t>Early Detection of Foot Ulcers in Diabetic Patients Using Machine Learning</t>
  </si>
  <si>
    <t>Machine Learning-Based Decision Support Systems for Diabetic Foot Ulcer Care</t>
  </si>
  <si>
    <t xml:space="preserve">Nova Science </t>
  </si>
  <si>
    <t>979-8-89530-542-3</t>
  </si>
  <si>
    <t>https://doi.org/10.52305/KNDO5005</t>
  </si>
  <si>
    <t>https://novapublishers.com/shop/machine-learning-based-decision-support-systems-for-diabetic-foot-ulcer-care/</t>
  </si>
  <si>
    <t>Reeta Mishra, Padmesh Tripathi, Bhanumati Panda, Manali Gupta and Sonia Arora</t>
  </si>
  <si>
    <t>Advanced Machine Learning Algorithms for Personalized Diabetic Foot Ulcer (DFU) Treatment</t>
  </si>
  <si>
    <t>Reeta Mishra, Padmesh Tripathi, Krishna Kumar Paroha, Mritunjay Rai and Sonia Arora</t>
  </si>
  <si>
    <t>IoT-Driven Machine Learning in Modern Healthcare</t>
  </si>
  <si>
    <t>Harnessing the Power of IoT-Enabled Machine Learning in Healthcare Applications</t>
  </si>
  <si>
    <t>979-8-89530-626-0</t>
  </si>
  <si>
    <r>
      <rPr>
        <u/>
        <sz val="10"/>
        <color rgb="FF000000"/>
        <rFont val="Arial"/>
      </rPr>
      <t>https://doi.org/10.52305/MBEF3026</t>
    </r>
  </si>
  <si>
    <r>
      <rPr>
        <u/>
        <sz val="10"/>
        <color rgb="FF000000"/>
        <rFont val="Arial"/>
      </rPr>
      <t>Harnessing the Power of IoT-Enabled Machine Learning in Healthcare Applications – Nova Science Publishers</t>
    </r>
  </si>
  <si>
    <t>Manali Gupta, Sonia Arora, Ravindra Kumar Yadav, Padmesh Tripathi and Reeta Mishra</t>
  </si>
  <si>
    <t>Smart Hospitals and Smarter Healthcare</t>
  </si>
  <si>
    <r>
      <rPr>
        <u/>
        <sz val="10"/>
        <color rgb="FF000000"/>
        <rFont val="Arial"/>
      </rPr>
      <t>https://doi.org/10.52305/MBEF3026</t>
    </r>
  </si>
  <si>
    <t>Fifth</t>
  </si>
  <si>
    <r>
      <rPr>
        <u/>
        <sz val="10"/>
        <color rgb="FF000000"/>
        <rFont val="Arial"/>
      </rPr>
      <t>Harnessing the Power of IoT-Enabled Machine Learning in Healthcare Applications – Nova Science Publishers</t>
    </r>
  </si>
  <si>
    <t>Vijay Krishna Pallaw, Sandeep Kumar Singh,
Arun Kumar Singh, Sandeep Saxena,
and Divya Mishra</t>
  </si>
  <si>
    <t>Securing AI-Integrated
Learning Platform
Cyber Threats in the Age
of Digital Education</t>
  </si>
  <si>
    <t>39-51</t>
  </si>
  <si>
    <t>DOI: 10.1201/9781003567585-5</t>
  </si>
  <si>
    <t>https://www.routledge.com/Cybernetic-Shield-Securing-the-Future-of-Machine-Intelligence/Singh-Saxena-Haghi/p/book/9781032936437</t>
  </si>
  <si>
    <t>Forth</t>
  </si>
  <si>
    <t>Bhavana Sachdeva, Sonam Sirohi,
Arun Kumar Singh, Sandeep Saxena,
and Debabrata Samanta</t>
  </si>
  <si>
    <t>Futuristic Health
Care Management
System Using AI</t>
  </si>
  <si>
    <t>119-129</t>
  </si>
  <si>
    <t>DOI: 10.1201/9781003567585-11</t>
  </si>
  <si>
    <t>Arun Kumar Singh, Arjun Singh,
Sandeep Saxena, and Neda Firoz</t>
  </si>
  <si>
    <t>Navigating the Risks
Cybersecurity Challenges
Stemming from AI Breaches
in Critical Systems</t>
  </si>
  <si>
    <t>141-151</t>
  </si>
  <si>
    <t>DOI: 10.1201/9781003567585-13</t>
  </si>
  <si>
    <t xml:space="preserve">Renu Mishra, Mamta Narwaria, Murari Singh, Vimal Dwivedi, Inderpreet Kaur &amp; Sandeep Saxena </t>
  </si>
  <si>
    <t>Blockchain-Based Authentication in 6G Metaverse Using Hyperledger Indy for Self-Sovereign Identity (SSI)</t>
  </si>
  <si>
    <t xml:space="preserve">Blockchain Enabled Metaverse for Smart Wireless Sensor Networks </t>
  </si>
  <si>
    <t>Springer Nature Link</t>
  </si>
  <si>
    <t xml:space="preserve">pp 171–188
</t>
  </si>
  <si>
    <t>978-3-032-07304-4</t>
  </si>
  <si>
    <t>https://doi.org/10.1007/978-3-032-07305-1_10</t>
  </si>
  <si>
    <t>https://link.springer.com/chapter/10.1007/978-3-032-07305-1_10</t>
  </si>
  <si>
    <r>
      <rPr>
        <u/>
        <sz val="10"/>
        <color rgb="FF000000"/>
        <rFont val="Arial"/>
      </rPr>
      <t>https://doi.org/10.1002/9781394272624.ch21</t>
    </r>
  </si>
  <si>
    <t>Shantanu Bindewari and Mansi Trivedi</t>
  </si>
  <si>
    <t>Ethics and Professional Standards of Cyber Security, Digital Forensics &amp; National Security</t>
  </si>
  <si>
    <t xml:space="preserve">Cyber Security, Forensics and National Security
</t>
  </si>
  <si>
    <t>Taylor and Francis</t>
  </si>
  <si>
    <t>433-461</t>
  </si>
  <si>
    <r>
      <rPr>
        <u/>
        <sz val="10"/>
        <color rgb="FF1155CC"/>
        <rFont val="Arial"/>
      </rPr>
      <t>https://doi.org/10.1201/9781003497868</t>
    </r>
  </si>
  <si>
    <r>
      <rPr>
        <u/>
        <sz val="10"/>
        <color rgb="FF000000"/>
        <rFont val="Arial"/>
      </rPr>
      <t>Ethics and Professional Standards of Cybersecurity, Digital Forensics,</t>
    </r>
  </si>
  <si>
    <r>
      <rPr>
        <u/>
        <sz val="10"/>
        <color rgb="FF000000"/>
        <rFont val="Arial"/>
      </rPr>
      <t>Ethics and Professional Standards of Cybersecurity, Digital Forensics,</t>
    </r>
  </si>
  <si>
    <t>Mansi Trivedi, Surbhi Girdhar, Shantanu Bindewari, Rajat Singh, Rituja Upadhyay</t>
  </si>
  <si>
    <t xml:space="preserve">A Global Study on the Challenges in Implementation of Policy Framework for the Use of Energy-Efficient Technologies for Food Security
</t>
  </si>
  <si>
    <t>Energy Efficient Technologies for Food Safety, Quality, and Security</t>
  </si>
  <si>
    <t>IGI golbal</t>
  </si>
  <si>
    <t>397-428</t>
  </si>
  <si>
    <t>https://doi.org/10.4018/979-8-3693-8342-1.ch016</t>
  </si>
  <si>
    <r>
      <rPr>
        <u/>
        <sz val="10"/>
        <color rgb="FF000000"/>
        <rFont val="Arial"/>
      </rPr>
      <t>A Global Study on the Challenges in Implementation of Policy Framework for the Use of Energy-Efficient Technologies for Food Security: Environment &amp; Agriculture Book Chapter | IGI Global Scientific Publishing</t>
    </r>
  </si>
  <si>
    <r>
      <rPr>
        <u/>
        <sz val="10"/>
        <color rgb="FF000000"/>
        <rFont val="Arial"/>
      </rPr>
      <t>A Global Study on the Challenges in Implementation of Policy Framework for the Use of Energy-Efficient Technologies for Food Security: Environment &amp; Agriculture Book Chapter | IGI Global Scientific Publishing</t>
    </r>
  </si>
  <si>
    <t xml:space="preserve">Shantanu Bindewari,Gunjan Mittal Roy, Abhinav Raghav, Sarvesh Kumar Swarnakar, Puneeta Singh, </t>
  </si>
  <si>
    <r>
      <rPr>
        <u/>
        <sz val="10"/>
        <color rgb="FF000000"/>
        <rFont val="Arial"/>
      </rPr>
      <t>Vijaya Choudhary</t>
    </r>
    <r>
      <rPr>
        <sz val="10"/>
        <color rgb="FF000000"/>
        <rFont val="Arial"/>
      </rPr>
      <t xml:space="preserve">, </t>
    </r>
    <r>
      <rPr>
        <u/>
        <sz val="10"/>
        <color rgb="FF000000"/>
        <rFont val="Arial"/>
      </rPr>
      <t>Alisha Banga</t>
    </r>
    <r>
      <rPr>
        <sz val="10"/>
        <color rgb="FF000000"/>
        <rFont val="Arial"/>
      </rPr>
      <t xml:space="preserve">, </t>
    </r>
    <r>
      <rPr>
        <u/>
        <sz val="10"/>
        <color rgb="FF000000"/>
        <rFont val="Arial"/>
      </rPr>
      <t>Paramita Guha</t>
    </r>
    <r>
      <rPr>
        <sz val="10"/>
        <color rgb="FF000000"/>
        <rFont val="Arial"/>
      </rPr>
      <t xml:space="preserve">, </t>
    </r>
    <r>
      <rPr>
        <u/>
        <sz val="10"/>
        <color rgb="FF000000"/>
        <rFont val="Arial"/>
      </rPr>
      <t>Sharmistha Dey</t>
    </r>
    <r>
      <rPr>
        <sz val="10"/>
        <color rgb="FF000000"/>
        <rFont val="Arial"/>
      </rPr>
      <t xml:space="preserve">, </t>
    </r>
    <r>
      <rPr>
        <u/>
        <sz val="10"/>
        <color rgb="FF000000"/>
        <rFont val="Arial"/>
      </rPr>
      <t>Archana</t>
    </r>
  </si>
  <si>
    <t>An overview of advanced AI-driven mobile robot for early forest fire detection: Expert system</t>
  </si>
  <si>
    <t>Taylor &amp; francis</t>
  </si>
  <si>
    <r>
      <rPr>
        <u/>
        <sz val="10"/>
        <color rgb="FF000000"/>
        <rFont val="Arial"/>
      </rPr>
      <t>https://doi.org/10.1201/9781003593034</t>
    </r>
  </si>
  <si>
    <t>https://www.taylorfrancis.com/chapters/edit/10.1201/9781003593034-43/overview-advanced-ai-driven-mobile-robot-early-forest-fire-detection-expert-system-vijaya-choudhary-alisha-banga-paramita-guha-sharmistha-dey-archana?context=ubx&amp;refId=c11f18a4-b53c-4d7f-94d1-86884c06490f</t>
  </si>
  <si>
    <t>https://www.taylorfrancis.com/chapters/edit/10.1201/9781003593034-43/overview-advanced-ai-driven-mobile-robot-early-forest-fire-detection-expert-system-vijaya-choudhary-alisha-banga-paramita-guha-sharmistha-dey-archana?context=ubx&amp;refId=eba23ab3-d63f-491b-b506-696fbb01798c</t>
  </si>
  <si>
    <r>
      <rPr>
        <u/>
        <sz val="10"/>
        <rFont val="Arial"/>
      </rPr>
      <t>https://doi.org/10.1007/978-981-95-1268-3_8</t>
    </r>
  </si>
  <si>
    <t>Second</t>
  </si>
  <si>
    <t>IILMGN0057562025</t>
  </si>
  <si>
    <t>Bhawna Sachdeva, Sonam Sirohi, Arun Kumar, Sandeep Sxena, Debabrata Samanta</t>
  </si>
  <si>
    <t>Futuristic Health Care Management
System Using AI</t>
  </si>
  <si>
    <t>Reeta Mishra,Padmesh Tripathi,Neha Jain,Mritunjay Rai and Jay Kumar Pandey</t>
  </si>
  <si>
    <t>Current landscape of early warning systems and traditional approaches to disaster detection</t>
  </si>
  <si>
    <t>AI and ML in Early Warning Systems for Natural Disasters</t>
  </si>
  <si>
    <t>Bentham Science</t>
  </si>
  <si>
    <t>76-97</t>
  </si>
  <si>
    <t>ISBN: 979-8-89881-139-6 (Print)
ISBN: 979-8-89881-138-9 (Online)</t>
  </si>
  <si>
    <t>https://doi.org/10.2174/9798898811389125010008</t>
  </si>
  <si>
    <t>https://www.eurekaselect.com/chapter/26255</t>
  </si>
  <si>
    <r>
      <rPr>
        <u/>
        <sz val="11"/>
        <color rgb="FF1155CC"/>
        <rFont val="Arial"/>
        <scheme val="minor"/>
      </rPr>
      <t>Tanishq Soni</t>
    </r>
    <r>
      <rPr>
        <sz val="9"/>
        <color rgb="FF000000"/>
        <rFont val="Arial"/>
      </rPr>
      <t xml:space="preserve">, </t>
    </r>
    <r>
      <rPr>
        <u/>
        <sz val="11"/>
        <color rgb="FF1155CC"/>
        <rFont val="Arial"/>
        <scheme val="minor"/>
      </rPr>
      <t>Deepali Gupta</t>
    </r>
    <r>
      <rPr>
        <sz val="9"/>
        <color rgb="FF000000"/>
        <rFont val="Arial"/>
      </rPr>
      <t xml:space="preserve">, </t>
    </r>
    <r>
      <rPr>
        <u/>
        <sz val="11"/>
        <color rgb="FF1155CC"/>
        <rFont val="Arial"/>
        <scheme val="minor"/>
      </rPr>
      <t>Mudita Uppal</t>
    </r>
  </si>
  <si>
    <t>Integrative Approaches in Image Analysis and Signal Interpretation</t>
  </si>
  <si>
    <t>Biomedical Imaging Technology: Signal Processing Strategies and Innovations</t>
  </si>
  <si>
    <t>75-96</t>
  </si>
  <si>
    <t>https://doi.org/10.1002/9781394348084.ch4</t>
  </si>
  <si>
    <t>https://onlinelibrary.wiley.com/doi/abs/10.1002/9781394348084.ch4</t>
  </si>
  <si>
    <r>
      <rPr>
        <u/>
        <sz val="11"/>
        <color rgb="FF1155CC"/>
        <rFont val="Arial"/>
      </rPr>
      <t>Reeta Mishra (Editor)</t>
    </r>
    <r>
      <rPr>
        <sz val="11"/>
        <color rgb="FF000000"/>
        <rFont val="Arial"/>
        <scheme val="minor"/>
      </rPr>
      <t xml:space="preserve">, </t>
    </r>
    <r>
      <rPr>
        <u/>
        <sz val="11"/>
        <color rgb="FF1155CC"/>
        <rFont val="Arial"/>
      </rPr>
      <t>Padmesh Tripathi(Editor)</t>
    </r>
    <r>
      <rPr>
        <sz val="11"/>
        <color rgb="FF000000"/>
        <rFont val="Arial"/>
        <scheme val="minor"/>
      </rPr>
      <t xml:space="preserve"> </t>
    </r>
    <r>
      <rPr>
        <u/>
        <sz val="11"/>
        <color rgb="FF1155CC"/>
        <rFont val="Arial"/>
      </rPr>
      <t>Reddy Saisindhutheja</t>
    </r>
    <r>
      <rPr>
        <sz val="11"/>
        <color rgb="FF000000"/>
        <rFont val="Arial"/>
        <scheme val="minor"/>
      </rPr>
      <t xml:space="preserve">, </t>
    </r>
    <r>
      <rPr>
        <u/>
        <sz val="11"/>
        <color rgb="FF1155CC"/>
        <rFont val="Arial"/>
      </rPr>
      <t>Gagandeep Arora</t>
    </r>
    <r>
      <rPr>
        <sz val="11"/>
        <color rgb="FF000000"/>
        <rFont val="Arial"/>
        <scheme val="minor"/>
      </rPr>
      <t xml:space="preserve">, </t>
    </r>
    <r>
      <rPr>
        <u/>
        <sz val="11"/>
        <color rgb="FF1155CC"/>
        <rFont val="Arial"/>
      </rPr>
      <t>Bhanumati Panda</t>
    </r>
  </si>
  <si>
    <t>Federated Learning in Food Inspection and Grading</t>
  </si>
  <si>
    <t>111-131</t>
  </si>
  <si>
    <t>ISBN: 978-1-394-33872-6</t>
  </si>
  <si>
    <r>
      <rPr>
        <u/>
        <sz val="11"/>
        <color rgb="FF1155CC"/>
        <rFont val="Arial"/>
        <scheme val="minor"/>
      </rPr>
      <t>https://doi.org/10.1002/9781394338726.ch5</t>
    </r>
  </si>
  <si>
    <t>https://onlinelibrary.wiley.com/doi/epdf/10.1002/9781394338726.ch5</t>
  </si>
  <si>
    <r>
      <rPr>
        <u/>
        <sz val="11"/>
        <color rgb="FF1155CC"/>
        <rFont val="Arial"/>
        <scheme val="minor"/>
      </rPr>
      <t>Vanya Arun</t>
    </r>
    <r>
      <rPr>
        <sz val="11"/>
        <color rgb="FF000000"/>
        <rFont val="Arial"/>
        <scheme val="minor"/>
      </rPr>
      <t xml:space="preserve">, </t>
    </r>
    <r>
      <rPr>
        <u/>
        <sz val="11"/>
        <color rgb="FF1155CC"/>
        <rFont val="Arial"/>
        <scheme val="minor"/>
      </rPr>
      <t>Kapil Deo Bodha</t>
    </r>
    <r>
      <rPr>
        <sz val="11"/>
        <color rgb="FF000000"/>
        <rFont val="Arial"/>
        <scheme val="minor"/>
      </rPr>
      <t xml:space="preserve">, </t>
    </r>
    <r>
      <rPr>
        <u/>
        <sz val="11"/>
        <color rgb="FF1155CC"/>
        <rFont val="Arial"/>
        <scheme val="minor"/>
      </rPr>
      <t>Ankita Awasthi</t>
    </r>
    <r>
      <rPr>
        <sz val="11"/>
        <color rgb="FF000000"/>
        <rFont val="Arial"/>
        <scheme val="minor"/>
      </rPr>
      <t xml:space="preserve">, </t>
    </r>
    <r>
      <rPr>
        <u/>
        <sz val="11"/>
        <color rgb="FF1155CC"/>
        <rFont val="Arial"/>
        <scheme val="minor"/>
      </rPr>
      <t>Munish Sabharwal</t>
    </r>
  </si>
  <si>
    <t>Integration of Quantum Computing with Soft Computing for Data Processing</t>
  </si>
  <si>
    <r>
      <rPr>
        <u/>
        <sz val="11"/>
        <color rgb="FF1155CC"/>
        <rFont val="Arial"/>
        <scheme val="minor"/>
      </rPr>
      <t>https://doi.org/10.1002/9781394336449.ch3</t>
    </r>
    <r>
      <rPr>
        <sz val="11"/>
        <color rgb="FF767676"/>
        <rFont val="Arial"/>
        <scheme val="minor"/>
      </rPr>
      <t>Digital Object Identifier (DOI)</t>
    </r>
  </si>
  <si>
    <t>https://onlinelibrary.wiley.com/doi/chapter-epub/10.1002/9781394336449.ch3</t>
  </si>
  <si>
    <t>In</t>
  </si>
  <si>
    <t>Origin of Patent[Indian/International]</t>
  </si>
  <si>
    <t>Type of Patent[Utility/Design]</t>
  </si>
  <si>
    <t>Title of the Invention</t>
  </si>
  <si>
    <t>Patent Number</t>
  </si>
  <si>
    <t>Name of the Inventor(s)</t>
  </si>
  <si>
    <t>Name of the Applicants(s)</t>
  </si>
  <si>
    <t>Status of Patent</t>
  </si>
  <si>
    <t>Year of Patent Grant/Published</t>
  </si>
  <si>
    <t>Upload Proof of Patent</t>
  </si>
  <si>
    <t>India</t>
  </si>
  <si>
    <t xml:space="preserve">Design </t>
  </si>
  <si>
    <t>Block Chain Based health care cost optimization processing device</t>
  </si>
  <si>
    <t>447241-001</t>
  </si>
  <si>
    <t>Abhinav Raghav, Lalit Kumar, Gunjan Mittal, Anand SIngh, Sreenu Banoth, Heena kHera</t>
  </si>
  <si>
    <t>Granted</t>
  </si>
  <si>
    <t>https://drive.google.com/file/d/1gCvZLaSjxWgCdYBoPRuiqEJRulo7jkjA/view?usp=drive_link</t>
  </si>
  <si>
    <t>Dr .</t>
  </si>
  <si>
    <t xml:space="preserve">LiFi Based Data Transfer Device </t>
  </si>
  <si>
    <t>449195-001</t>
  </si>
  <si>
    <t>Richa Yadav, Poonam Yadav, Ashish Rastogi, Ajay Kumar, Gagandeep, Abhishek Saxena</t>
  </si>
  <si>
    <t>Anand SIngh</t>
  </si>
  <si>
    <r>
      <rPr>
        <u/>
        <sz val="10"/>
        <color rgb="FF1155CC"/>
        <rFont val="Arial"/>
      </rPr>
      <t>https://drive.google.com/file/d/12yetG2zvp_FgucwUN9r5Gkv_8vBq38a5/view?usp=drive_link</t>
    </r>
    <r>
      <rPr>
        <sz val="10"/>
        <color rgb="FF000000"/>
        <rFont val="Arial"/>
      </rPr>
      <t xml:space="preserve">      </t>
    </r>
    <r>
      <rPr>
        <u/>
        <sz val="10"/>
        <color rgb="FF1155CC"/>
        <rFont val="Arial"/>
      </rPr>
      <t>https://drive.google.com/file/d/1bVmOd63SOGfMMgkzNFUahqBG2G0yqVSW/view</t>
    </r>
  </si>
  <si>
    <t>AUTONOMOUS WEEDING ROBOT WITH MACHINE LEARNING CAPABILITIES</t>
  </si>
  <si>
    <t>482574-001</t>
  </si>
  <si>
    <t>1. ANAND SINGH 2. DEEPENDRA RASTOGI 3.SHASHANK MISHRA 4.ABHINAV RAGHAV 5.RAHUL PATEL 6.AMIT AGRAWAL</t>
  </si>
  <si>
    <t xml:space="preserve">      https://drive.google.com/file/d/1-38AVUga7emYhFnzujskY-xevEeyRuP9/view?usp=drivesdk</t>
  </si>
  <si>
    <t xml:space="preserve">Utility </t>
  </si>
  <si>
    <t>An Intelligent NLP Enabled Blockchain Based System for Hospital Business Management and Brain Tumor Patients Care Using IoT Sensors and VGG16 Neural Techniques</t>
  </si>
  <si>
    <t>Jagendra Singh, Mr.Ajay Kumar Sah, Dr Sajjan Singh, Pavan Kumar Verma, Ankita Agarwal, Anup Ganji, Dn Murali krishna Rao, Chandra Prakash Katare Omprakash, Bhavani Viyyapu, Rajeshwari katare, Ritu Singh, Nitesh Singh Bhati</t>
  </si>
  <si>
    <t>Published</t>
  </si>
  <si>
    <t>https://drive.google.com/drive/folders/1Fd4Riz031lq3wgrfCzGA98A7_TIT4Tp7</t>
  </si>
  <si>
    <t>Design</t>
  </si>
  <si>
    <t>AI Enabled Farm Environment Monitoring device</t>
  </si>
  <si>
    <t>445085-001</t>
  </si>
  <si>
    <t>Dr Rajesh Kumar, Varun, Ankita Agarwal, Parul Saini, Dr Mohan Gupta, Himanshu Rai, Jyoti Kesharwani, Suman Singh</t>
  </si>
  <si>
    <t>Dr Rajesh Kumar Varun, Ankita Agarwal, Parul Saini, Dr Mohan Gupta, Himanshu Rai, Jyoti Kesharwani, Suman Singh</t>
  </si>
  <si>
    <t>https://drive.google.com/drive/folders/1IJmdqfvA1ndYY5-agyTDAz7kZVpZXwYp</t>
  </si>
  <si>
    <t>EdgeAI Smart Processor</t>
  </si>
  <si>
    <t>461877-001</t>
  </si>
  <si>
    <t>1. Shilpy Agrawal,2. Vishakha Agarwal,3. Apoorva Jain, 4. Surabhi Purwar</t>
  </si>
  <si>
    <t>https://drive.google.com/file/d/1KwbmpmZObhLICreyNvEhmIRnQCa1qw_3/view?usp=sharing</t>
  </si>
  <si>
    <t>AI Based OTP fraud detection device</t>
  </si>
  <si>
    <t>468641-001</t>
  </si>
  <si>
    <t>1Prof. Shrikant Telang
2
.
Prof. Mitesh Bargadiya
3
.
Dr. R Kanagavalli
4
.
Prof. Dr. Khalid Ahmed Aldhorae
5
.
Dr. Dushyant Kumar Singh
6
.
Anand Kumar Mishra
7
.
Sushree Sasmita Dash
8
.
Ashis Kumar Ratha</t>
  </si>
  <si>
    <t>https://drive.google.com/file/d/1mfyf2RU4BaT9b4maJD-bwidLO0J-UG-D/view?usp=drive_link</t>
  </si>
  <si>
    <t>Canda</t>
  </si>
  <si>
    <t xml:space="preserve">Copyright </t>
  </si>
  <si>
    <t>ARTIFICIAL INTELLIGENCE BASED SYSTEM FOR EARLY DISEASE DETECTION AND PERSONALIZED TREATMENT RECOMMENDATIONS</t>
  </si>
  <si>
    <t>Sushree Sasmita Dash PROF. DR. KHALID AHMED ALDHORAE
LIZA PATEL
PALLAVI JAYESH SAINDANE
SAKET BIHARI
MAHESH BABU KETHA
ASHIS KUMAR RATHA
JIGARKUMAR DINESHBHAI PATEL</t>
  </si>
  <si>
    <t>"Sushree Sasmita Dash PROF. DR. KHALID AHMED ALDHORAE
LIZA PATEL
PALLAVI JAYESH SAINDANE
SAKET BIHARI
MAHESH BABU KETHA
ASHIS KUMAR RATHA
JIGARKUMAR DINESHBHAI PATEL"</t>
  </si>
  <si>
    <t>https://drive.google.com/file/d/18_wS42kHYsDQUaSFQeiYF4gw272Sq--N/view?usp=sharing</t>
  </si>
  <si>
    <t>MACHINE LEARNING BASED NETWORK SECURITY DEVICE</t>
  </si>
  <si>
    <t>459923-001</t>
  </si>
  <si>
    <t>1.Mr. Sankara Rao Allada 2. Dr.
Sumana Achar 3.Abhilasha Saxena 4.Dr. Omkar Ghatage 5.Dr. Jyoti Neeli 6.Dr. K.
Janani 7.Dr. Rakesh Prasad Sarang 8.Ashis Kumar Ratha</t>
  </si>
  <si>
    <t>https://drive.google.com/file/d/10q0LTR5aWfumjSIkEghNR2tBNZTLJC-0/view?usp=sharing</t>
  </si>
  <si>
    <t>Canada</t>
  </si>
  <si>
    <t xml:space="preserve">REVOLUTIONIZING INDUSTRY 5.0: AI AND IOT FOR PERSONALIZED HEALTHCARE AND SMART AUTOMATION </t>
  </si>
  <si>
    <t>Dr VINOD KUMAR YADAV
ARUNESH PRATAP SINGH
DR. SRICHETA PARUI
PARBHAT GUPTA
DR. ARJUNA MUDULI
ASHIS KUMAR RATHA</t>
  </si>
  <si>
    <t>published</t>
  </si>
  <si>
    <t>https://drive.google.com/file/d/18BjB3BOJCKKc2rE_NCeYuqc5KPQu_Hg8/view?usp=sharing</t>
  </si>
  <si>
    <t xml:space="preserve">AICHAINCLOUD: A UNIFIED FRAMEWORK FOR INTELLIGENT BLOCKCHAIN AND CLOUD SOLUTIONS </t>
  </si>
  <si>
    <t>UPADHYAY
SHIHAB KARMANTAZHIKAM KABIR
DR. MEENA CHAVAN
DR. SHAILESH SHIVAJI DEORE
NABANITA NATH CHOWDHURY
DR. SUNIL BHARDWAJ
ASHIS KUMAR RATHA
Auteur(s)</t>
  </si>
  <si>
    <t>https://drive.google.com/file/d/1d3-pvlkqC7Bk44qhbgFLbZr0rBhKhu_X/view?usp=sharing</t>
  </si>
  <si>
    <t>AI BASED CYBER ATTACK DETECTION DEVICE</t>
  </si>
  <si>
    <t>452073-001</t>
  </si>
  <si>
    <t>1.Khallikkunaisa 2. Suthan Renuka 3.Dr.
Rakesh Kumar Khare 4.Dr. Neelesh Kumar Gupta 5.Dr. Dinesha H A 6.Prof. Dr. Khalid
Ahmed Aldhorae 7.Dr. Rovin Tiwari 8.Ashis Kumar Ratha</t>
  </si>
  <si>
    <t>https://drive.google.com/file/d/1RUAfby4ghgnlPn1FveVIRYkIsxkBacHz/view?usp=sharing</t>
  </si>
  <si>
    <t>5G-INTEGRATED WEARABLE COMMUNICATION DEVICE</t>
  </si>
  <si>
    <t>448489-001</t>
  </si>
  <si>
    <t>1.Jigarkumar Dineshbhai
Patel 2. Mr. Ramana Babu Challapalli 3.Dr. Asha Bharathi S 4.Sanjeev Singh Thakur
5.Pallavi Anil Gangurde 6.Dr. Chittajit Sarkar 7.Ashis Kumar Ratha 8.Sweta Swapnil
Nigam</t>
  </si>
  <si>
    <t>https://drive.google.com/file/d/1LwLe5oOXed5OpJnecdIMabHSHCE6hG7-/view?usp=sharing</t>
  </si>
  <si>
    <t>United Kingdom</t>
  </si>
  <si>
    <t>Wearable Health Monitoring Device</t>
  </si>
  <si>
    <t>Sagar Vijay Kulkarni, Pavan Chowdary Ravipati, Somdotta Roy Choudhury, Ms.
Manisha Wadhwa, Dr. Jaidev Gehija, Ashis Kumar Ratha, Dr. Aju Jo Sankarathil,
Rupam Kumari</t>
  </si>
  <si>
    <t>https://drive.google.com/file/d/17kTH8OwZo0TqwSiRnvL5rkFOTXHEi39V/view?usp=sharing</t>
  </si>
  <si>
    <t>AI BASED DEVICE FOR IMAGE ENCRYPTION AND DECRYPTION</t>
  </si>
  <si>
    <t>438370-001</t>
  </si>
  <si>
    <t>1.Seema Patidar 2.
Dr. Swati Rastogi 3.Ms. Shefali Sharma 4.Dr. Shivam Shukla 5.Mrs. Subhasini Shukla
6.Awij A. R. Shaikh 7.Ashis Kumar Ratha 8.Dr. Sricheta Parui</t>
  </si>
  <si>
    <t>https://drive.google.com/file/d/1MNnBXOrLI70x8RSj5_qHeKhwR4jNmSqe/view?usp=sharing</t>
  </si>
  <si>
    <t>AI BASED SOIL TESTING DEVICE</t>
  </si>
  <si>
    <t>438196-001</t>
  </si>
  <si>
    <t>1.Niraj Nagrale 2. Shreedhar B 3.Dr. Dinesh Kumar 4.Dr.
Devendra Pratap Singh 5.Dr. Nikhat Raza Khan 6.Dr. Sayyad Jilani 7.Rituja 8.Ashis
Kumar Ratha</t>
  </si>
  <si>
    <t>https://drive.google.com/file/d/18OkYwhXBLD0k39pjYudJwqee48AzLBhn/view?usp=sharing</t>
  </si>
  <si>
    <t>IOT DEVICE FOR MEASURING WATER POLLUTANTS LEVEL</t>
  </si>
  <si>
    <t>427239-001</t>
  </si>
  <si>
    <t>1.Dr. Sapana Madan 2. Prof.
Dr. Suresh Sundaramurthy 3.Dr. T. Kumuthavalli 4.Dr. Meenakshi K 5.Ashis Kumar
Ratha 6.Anju 7.Dr. Manasi Vyankatesh Ghamande 8.Dr. Jigneshkumar Amathalal
Chauhan</t>
  </si>
  <si>
    <t>1.Dr. Sapana Madan 2. Prof.
Dr. Suresh Sundaramurthy 3.Dr. T. Kumuthavalli 4.Dr. Meenakshi K 5.Ashis Kumar
Ratha 6.Anju 7.Dr. Manasi Vyankatesh Ghamande 8.Dr. Jigneshkumar Amathalal
Chauhan</t>
  </si>
  <si>
    <t>https://drive.google.com/file/d/1xEKBSXxZkrbx7fT9E-Tt4wQAPJ_HlJZu/view?usp=sharing</t>
  </si>
  <si>
    <t>Deep Learning-Based Predictive Analytics for Healthcare Diagnostics</t>
  </si>
  <si>
    <t>1 . Mrs. Oniza Ridwan Shaikh
2 . Mrs. Meenal Kate
3 . Mrs. Ruchi Rahi
4 . Dr. Poonam Kadam
5 . Mrs. Rosy Pradhan
6 . Dr. Rahmani Naveed Akhtar
7 . Dr. Niranjan Samudre
8 . Ashis Kumar Ratha</t>
  </si>
  <si>
    <t>1 . Mrs. Oniza Ridwan Shaikh
2 . Mrs. Meenal Kate
3 . Mrs. Ruchi Rahi
4 . Dr. Poonam Kadam
5 . Mrs. Rosy Pradhan
6 . Dr. Rahmani Naveed Akhtar
7 . Dr. Niranjan Samudre
8 . Ashis Kumar Ratha</t>
  </si>
  <si>
    <t>https://drive.google.com/file/d/1VC62B2NpXJf5ABcTgSI0DEe3JYS4D6PP/view?usp=sharing</t>
  </si>
  <si>
    <t xml:space="preserve">LI-FI BASED DATA TRANSFER DEVICE </t>
  </si>
  <si>
    <t>1.Dr. Richa Vijay 2. Ms. Poonam Yadav 3.Dr. Ashish
Kumar Rastogi 4.Dr Ajay Kumar 5.Dr Gagandeep 6.Dr Abhishek Saxena</t>
  </si>
  <si>
    <t>https://drive.google.com/file/d/1HGrhMzYJUBfWF4vmuvFGSptsn63njZ61/view?usp=drive_link</t>
  </si>
  <si>
    <t>INTELLIGENT ASSESSMENT SYSTEM FOR EXAM SHEET RECOGNITION AND SCORING USING ANSWER KEYS</t>
  </si>
  <si>
    <t>1 . Dr.Riciha Vijay
2 . Dr. Gunjan Mittal Roy
3 . Ms. Poonam Yadav
4 . Dr.Ashish Kumar Rastogi
5 . Dr. Arun Kumar Singh
6 . Dr Gagandeep
7 . DrAbhisheksaxena</t>
  </si>
  <si>
    <t>https://drive.google.com/file/d/1uTUn2ERs4EsLk2nNC95U137g1oUvj2qV/view?usp=drive_link</t>
  </si>
  <si>
    <t>A SYSTEM AND METHOD FOR SMART AQUACULTURE MANAGEMENT IN VILLAGE PONDS USING IOT AND MACHINE LEARNING</t>
  </si>
  <si>
    <t>1. Dr Avadhesh Kumar Gupta 2. Dr Ashish Dixit 3. Rachana Singh Sisodia 4. Vimlesh Mishra 5. Varsha Saxena 6. Mahesh Kumar Sharma 7. Vikas Rathi 8. Rahul Kumar Pandey</t>
  </si>
  <si>
    <t xml:space="preserve">August </t>
  </si>
  <si>
    <t>Edge AI- Powered facial recognition system for robust identification and enhance accuracy after facial modification.</t>
  </si>
  <si>
    <t xml:space="preserve">1.Lalit kumar,2 Ajay shriram kushwala,3. Shiv kumar Verma,4.Virendra kumar,5. Daksha Borada </t>
  </si>
  <si>
    <t>https://drive.google.com/file/d/15elf4iiLVnoTlSVgckkv2mSZBoDHqFgm/view?usp=drive_link</t>
  </si>
  <si>
    <t xml:space="preserve">Intelligent Assesment System For Exam Sheet Recognition ans Scoring Using Answer sheet </t>
  </si>
  <si>
    <t>Gunjan Mittal Roy, Richa Vijay</t>
  </si>
  <si>
    <t>https://drive.google.com/file/d/16xAP7KVxadhFKqt4uwZNajItanoCQvnc/view?usp=sharing</t>
  </si>
  <si>
    <t>A SYSTEM AND METHOD FOR DENGUE FEVER OBSERVATION, DIAGNOSIS, AND PREVENTION POWERED BY ARTIFICIAL INTELLIGENCE, MACHINE LEARNING, DEEP LEARNING AND THE INTERNET OF THINGS</t>
  </si>
  <si>
    <t>Heena Khera,</t>
  </si>
  <si>
    <t>27/06/2025</t>
  </si>
  <si>
    <t>https://drive.google.com/file/d/1cyl8BvWdsoGt7fk3bIUBrosnMWRNuvcd/view?usp=drive_link</t>
  </si>
  <si>
    <t>Hilal ahmad Shah</t>
  </si>
  <si>
    <t>IOT AND MACHINE LEARNING-ENABLED SYSTEM AND METHOD FOR SMART WASTE MONITORING AND OPTIMIZATION IN SMART CITIES</t>
  </si>
  <si>
    <t>202511055944A</t>
  </si>
  <si>
    <t>Dinesh Kumar Yadav, Venkata Kiran Kumar Ravi, Amshavalli M, R Kalaivani, Shrinivas Sirdeshpande, Usha T, Ashitha V Naik, D.Nagadevi, Kaushal Kishore, Prakhar Consul, Hilal Ahmad Shah, Basab Nath</t>
  </si>
  <si>
    <t>Dinesh Kumar Yadav, Dr. Venkata Kiran Kumar Ravi, Amshavalli M, R Kalaivani, Dr. Shrinivas Sirdeshpande, Usha T, Ashitha V Naik, D.Nagadevi, Kaushal Kishore, Prakhar Consul, Hilal Ahmad Shah</t>
  </si>
  <si>
    <t>Sales data analysis and reporting for a retail chain management  using AIML techniques</t>
  </si>
  <si>
    <t>Jagdish Chandra Patni,Nilesh Bhaskarrao Bahadure, Pradip Ram Selokar, Surendra Pandurang Ramteke, Uday Anandrao Pati, Kamal Kant Verma</t>
  </si>
  <si>
    <t>Digital Scanner for Historical Text and Images</t>
  </si>
  <si>
    <t>439836-001</t>
  </si>
  <si>
    <t>Om Goel, Jyotsana Upadhyay, Sunita Joshi, Shweta Shorey, Renu Gupta, Lalit Kumar, Amit Khatua, Shalu Jain, Shakeb Khan, Punit Goel</t>
  </si>
  <si>
    <t>27/02/2025</t>
  </si>
  <si>
    <t>https://drive.google.com/file/d/1nVx6kGvqOJPL8Fx-2X2_lPQA1EW8ApZR/view?usp=drive_link</t>
  </si>
  <si>
    <r>
      <rPr>
        <u/>
        <sz val="10"/>
        <color rgb="FF1155CC"/>
        <rFont val="Arial"/>
      </rPr>
      <t>https://drive.google.com/file/d/12yetG2zvp_FgucwUN9r5Gkv_8vBq38a5/view?usp=drive_link</t>
    </r>
    <r>
      <rPr>
        <sz val="10"/>
        <color rgb="FF000000"/>
        <rFont val="Arial"/>
      </rPr>
      <t xml:space="preserve">      </t>
    </r>
    <r>
      <rPr>
        <u/>
        <sz val="10"/>
        <color rgb="FF1155CC"/>
        <rFont val="Arial"/>
      </rPr>
      <t>https://drive.google.com/file/d/1bVmOd63SOGfMMgkzNFUahqBG2G0yqVSW/view</t>
    </r>
  </si>
  <si>
    <t>SMART DEVICE FOR CHECKING LOAD CAPACITY IN VEHICLES</t>
  </si>
  <si>
    <t>452981-001</t>
  </si>
  <si>
    <t xml:space="preserve">Vijaya Choudhary </t>
  </si>
  <si>
    <t>Vijaya Choudhary Shweta Singh Pushpa Singh Lalita Verma Shweta Chaudhary Dr. KM Baalamurugan Dr. Archana</t>
  </si>
  <si>
    <t xml:space="preserve">Granted </t>
  </si>
  <si>
    <t>26/3/2025</t>
  </si>
  <si>
    <t>https://drive.google.com/file/d/1U258ae81nJG2Hg36uY4Y-Bgd4GTeE0qS/view?usp=sharing</t>
  </si>
  <si>
    <t>AUTONOMOUS WEED DETECTION AND REMOVAL ROBOT</t>
  </si>
  <si>
    <t>454474-001</t>
  </si>
  <si>
    <t>1.Narinder Verma 2. Kuljeet Singh 3.Neha 4.Neha Koul</t>
  </si>
  <si>
    <t>Narinder Verma
 Singh 3.Neha 4.Neha Koul</t>
  </si>
  <si>
    <t>patent.pdf</t>
  </si>
  <si>
    <t>ARTIFICIAL INTELLIGENCE BASED ORGANIC WASTE COMPOSTER</t>
  </si>
  <si>
    <t>434371-001</t>
  </si>
  <si>
    <t>Dr.Richa Vats,
 Dr. Meenakshi Aggarwal, Ms.Soumya Sharma, Ms.Charvi, Ms.Papiya Mukherjee, Ms.Ankita Sharma, Ms.Disha Mohini Pathak</t>
  </si>
  <si>
    <t>JAN</t>
  </si>
  <si>
    <t>https://drive.google.com/drive/folders/1LzEzs62UewPd5xEELBUe5gElENsgEB_C</t>
  </si>
  <si>
    <t>Atmospheric condition monitoring Device</t>
  </si>
  <si>
    <t>420202-001</t>
  </si>
  <si>
    <t>Dr. Monika Goyal, Tamanna Sachdev, Esha Khanna, Ranjeeta Mittal, Pinky Yadav, Navneet kaur, Ketna Khanna</t>
  </si>
  <si>
    <t>15/06/2025</t>
  </si>
  <si>
    <t>https://drive.google.com/file/d/1NPqmgR8XXCPP5uWO18BbwF7OkAc2nRwK/view?usp=drive_link</t>
  </si>
  <si>
    <t>Blockchain- Integrated Smart Home Hub</t>
  </si>
  <si>
    <t>446386-001</t>
  </si>
  <si>
    <t>Dr. Rajesh varun, Dr. Pinky Yadav, Mr. Vikrant Raj Yadav, Dr. Mohan Gupta , Dr. Ritu Punhani Dr. sahu Dhir</t>
  </si>
  <si>
    <t>25/03/2025</t>
  </si>
  <si>
    <t>https://drive.google.com/file/d/1Nx7MKzXCmCmHEvooSKUmr9JNdqcK-p5K/view?usp=drive_link</t>
  </si>
  <si>
    <t>Machine learning based anomaly detection device for securing IOT Networks</t>
  </si>
  <si>
    <t>465962-001</t>
  </si>
  <si>
    <t>Dr. Pinky , Dr. ritu, Ms. Monika, Dr. Preeti, Ms. Anjali, Ms. Sarika , Ms. Sonia, Dr. Tanvi</t>
  </si>
  <si>
    <t>Dr. Pinky</t>
  </si>
  <si>
    <t>https://drive.google.com/file/d/1Y5JmS9i7Vl8F_pLSEmjFq83cs5JzuOJ4/view?usp=sharing</t>
  </si>
  <si>
    <t xml:space="preserve">Richa Vijay ,Gunjan Mittal Roy </t>
  </si>
  <si>
    <t>https://drive.google.com/file/d/1utE75iCvsrR1c8u_G_GHWYMmd0hWqBXR/view?usp=drive_link</t>
  </si>
  <si>
    <t>IILMGN002282023</t>
  </si>
  <si>
    <t>Vijaya Choudhary, Shweta Singh, Pushpa Singh, Lalita Verma, Shweta Chaudhary, Dr. KM Baalamurugan, Dr. Archana</t>
  </si>
  <si>
    <t>https://drive.google.com/file/d/1X321C9QV5bBvAxwDNTkcZOCI9iVou0MW/view?usp=sharing</t>
  </si>
  <si>
    <t>Data-Driven Consumer insights system for optimized Marketing Strategies</t>
  </si>
  <si>
    <t>Mihir Kumar Shome,Shrikrishna,V.C.Ranganayaki,Akshitha,Reeta Mishra, R. Senthamil Selvan</t>
  </si>
  <si>
    <t>https://drive.google.com/file/d/1oTACPmDulDOH_u7dUzIETsYHsJpePB1r/view?usp=sharing</t>
  </si>
  <si>
    <t xml:space="preserve">UK </t>
  </si>
  <si>
    <t>Handheld Device for Employee Feedback and Engagement Tracking</t>
  </si>
  <si>
    <t>Debasis Mohapatro,Shabana Azami,Reeta Mishra,Rahul Singh,Manjeet Sharma,Ajeet Singh,</t>
  </si>
  <si>
    <t>Debasis Mohapatro</t>
  </si>
  <si>
    <t>Block Chain Based Secure Data mgmt Ststem Fot IOT Devices</t>
  </si>
  <si>
    <t>https://drive.google.com/file/d/1C09bHvF-lwens1XXbBQGNKyrEwygCjYA/view?usp=sharing</t>
  </si>
  <si>
    <t xml:space="preserve">An IOT Enable SMART home Ststem with speech Emotion Recognition using machine learning </t>
  </si>
  <si>
    <t xml:space="preserve">1. nazia hussain 2.Vamsi Krishna  3.PV Rajlaxmi 4.Aryan chaudhary 5.Richa Vijay 6.Jancy </t>
  </si>
  <si>
    <t>https://drive.google.com/file/d/1gsVHbvZjV9AP7MfF7i2u_f14LRkVX8BS/view?usp=sharing</t>
  </si>
  <si>
    <t>Enhancing Mathematical Reasoning and Self-Efficacy with Problem-Based Learning, Contextual Teaching, and Machine Learning Integration</t>
  </si>
  <si>
    <t>1 . Sarath Chandra Roy Bandla
2 . Udaykiran Konka
3 . Dr. Shweta Singh
4 . Walid Abdelfattah
5 . Dr. V. Vijayan
6 . Dr. Richa Vijay</t>
  </si>
  <si>
    <t>https://drive.google.com/file/d/1R-BaUqR_SqY8AOYHK-z5df1_eQp0auiZ/view?usp=drive_link</t>
  </si>
  <si>
    <t>ICASH: cardless automated teller machine transaction system and method</t>
  </si>
  <si>
    <t xml:space="preserve">Shivam Awasthi </t>
  </si>
  <si>
    <t xml:space="preserve"> Shivam Awasthi </t>
  </si>
  <si>
    <t>https://drive.google.com/file/d/1CjBDffRV8J1R57djTbatPYFkrP7y4BxQ/view?usp=drive_link</t>
  </si>
  <si>
    <t>UK</t>
  </si>
  <si>
    <t>Secure Data Router</t>
  </si>
  <si>
    <t>Suman Avdhesh Yadav, Rahat Naz, Mohammad ImamMahdi, Jaydeep Howlader</t>
  </si>
  <si>
    <r>
      <rPr>
        <u/>
        <sz val="10"/>
        <color rgb="FF1155CC"/>
        <rFont val="Arial"/>
      </rPr>
      <t>https://drive.google.com/file/d/1tj40Jm0frlxQcrPYLxKbM-assZSXA5b7/view?usp=drive_link</t>
    </r>
  </si>
  <si>
    <t xml:space="preserve">India </t>
  </si>
  <si>
    <t xml:space="preserve">A device for the detection and prediction of recurrence of Epilepsy </t>
  </si>
  <si>
    <t>24/3</t>
  </si>
  <si>
    <t>https://drive.google.com/file/d/1a9FdMMHef3FrqOITd9YebX4ZlvJl_tG9/view?usp=drive_link</t>
  </si>
  <si>
    <t>Artificial Intelligence Framework for Optimized Sustainable
Manufacturing in Industry 5.0</t>
  </si>
  <si>
    <t>1 . Dr. Sabu George
2 . Dr. Hitesh Kumar
3 . Dr. Anoop Kumar Pathariya
4 . Sushil Kumar
5 . Bhanu Pratap Singh
6 . Vaibhav Sharma
7 . Dr Abhinav Bhargava
8 . Jayan P Vijayan</t>
  </si>
  <si>
    <t>https://drive.google.com/file/d/1rrSiQqC7lxKNNJXnE15In81dGbeiQZqx/view?usp=drive_link</t>
  </si>
  <si>
    <t>AI BASED COMPUTING DEVICE FOR ONLINE LEARNING</t>
  </si>
  <si>
    <t>Dr Saurabh Amrutlal Dave, Somdotta Roy Choudhury, Megha Saxena, Vaibhav
Sharma, Prof. Dr. Khalid Ahmed Aldhorae, Dr. Jaidev Gehija, Dr.
Doddamanekoppa Suresha Praveena, Dr. Chanakya Channakeshvappa
Nanjunda</t>
  </si>
  <si>
    <t xml:space="preserve">Jan </t>
  </si>
  <si>
    <t>https://drive.google.com/file/d/16tdqlbc-cFja-HKGOJqAnmgNuB6KF8D5/view?usp=drive_link</t>
  </si>
  <si>
    <t>IOT AND ML BASED MEDICAL IMAGING
DEVICE</t>
  </si>
  <si>
    <t>427301-001</t>
  </si>
  <si>
    <t>1.Dr. Vinston Raja R 2. Vikas Kumar Tiwari
3.Dr. Pallavi Singh 4.Jeyshri J</t>
  </si>
  <si>
    <r>
      <rPr>
        <u/>
        <sz val="10"/>
        <color rgb="FF0000FF"/>
        <rFont val="Arial"/>
      </rPr>
      <t xml:space="preserve">Patent-IOT AND ML BASED MEDICAL IMAGING DEVICE.pdf, </t>
    </r>
    <r>
      <rPr>
        <u/>
        <sz val="10"/>
        <color rgb="FF1155CC"/>
        <rFont val="Arial"/>
      </rPr>
      <t>https://drive.google.com/file/d/1IAia0RK8XUdMpjgZGS0e48xbPIwdMUv0/view?usp=drive_link</t>
    </r>
  </si>
  <si>
    <t>AI BASED SMART HEALTHCARE BRACELET FOR CONTINUOUS PATIENT MONITORING</t>
  </si>
  <si>
    <t>467535-001</t>
  </si>
  <si>
    <r>
      <rPr>
        <sz val="10"/>
        <color theme="1"/>
        <rFont val="Arial"/>
      </rPr>
      <t>1. Dr. Anil
Kumar Menaria , 2.Dr. Narendra Singh Ranawat,...7.</t>
    </r>
    <r>
      <rPr>
        <b/>
        <sz val="10"/>
        <color theme="1"/>
        <rFont val="Arial"/>
      </rPr>
      <t xml:space="preserve"> Vikas Kumar Tiwari</t>
    </r>
  </si>
  <si>
    <t>1. Dr. Anil
Kumar Menaria , 2.Dr. Narendra Singh Ranawat,...7. Vikas Kumar Tiwari</t>
  </si>
  <si>
    <t>https://drive.google.com/file/d/1Z4lJa_kbtz7LUjI4A1GvcNkASiaRjqEq/view?usp=drive_link</t>
  </si>
  <si>
    <t>AI Powered Smart Traffic Management Signalling Tower for Smart Cities</t>
  </si>
  <si>
    <t xml:space="preserve">Vikas Kumar Tiwari,Mr. Sanidhya Rajesh Barraptay, Dr. Preethi Inampudi, Aliga Paul Aliga, Vasudha
Ramchandra Kshirsagar , Maske Anamika Amrutrao, </t>
  </si>
  <si>
    <t>"Vikas Kumar Tiwari,Mr. Sanidhya Rajesh Barraptay, Dr. Preethi Inampudi, Aliga Paul Aliga, Vasudha
Ramchandra Kshirsagar , Maske Anamika Amrutrao, "</t>
  </si>
  <si>
    <t>https://drive.google.com/file/d/193hYdd7IclGU9yaJrK_MbkZ7Td9oNBxx/view?usp=drive_link</t>
  </si>
  <si>
    <t>AI BASED CYBER SECURITY DETECTING DEVICE</t>
  </si>
  <si>
    <t>431366-001</t>
  </si>
  <si>
    <t>Vikas Singh, Anshul Shrotriya, Toshaniwali Bhargav, Swati Rastogi, Dr Rajesh Dattatray, Dr. Shailesh Shivaji Deore</t>
  </si>
  <si>
    <t>https://drive.google.com/file/d/1A1m1XgMfKeFhnFLZawJyLOflfQtVuqTV/view?usp=drive_link</t>
  </si>
  <si>
    <t>AI BASED MICROPLASTIC REMOVING ROBOT IN RICE</t>
  </si>
  <si>
    <t>472197-001</t>
  </si>
  <si>
    <t>VIKAS SINGH, ANJANEYULU GUDLA, Dr. SHRABANI MALLICK, Dr. DANDE SWAPNA SREE, GURUSIDDAPPA HUGAR, Dr. S. KIRUBA</t>
  </si>
  <si>
    <t>https://drive.google.com/file/d/1-EjLIAxpHwS5_fLCxQw8DhXNhxYRrJHt/view?usp=drive_link</t>
  </si>
  <si>
    <t>1.Dr.Richa Vats 2. Dr. Meenakshi Aggarwal 3.Ms.Soumya Sharma 4.Ms.Charvi 5.Ms.Papiya Mukherjee 6.Ms.Ankita Sharma 7.Ms.Disha Mohini Pathak.</t>
  </si>
  <si>
    <r>
      <rPr>
        <u/>
        <sz val="10"/>
        <color rgb="FF0000FF"/>
        <rFont val="Arial"/>
      </rPr>
      <t>https://drive.google.com/file/d/1Gosgvyj6iAy6D_7zQeZ8x6ZgMxffp0bN/view?usp=drive_link</t>
    </r>
    <r>
      <rPr>
        <u/>
        <sz val="10"/>
        <color rgb="FF000000"/>
        <rFont val="Arial"/>
      </rPr>
      <t xml:space="preserve">     and Application link is </t>
    </r>
    <r>
      <rPr>
        <u/>
        <sz val="10"/>
        <color rgb="FF1155CC"/>
        <rFont val="Arial"/>
      </rPr>
      <t>https://drive.google.com/file/d/1XT-dIcNlVYIuwcYjd-OWJd4lZBFNMk46/view?usp=drive_link</t>
    </r>
    <r>
      <rPr>
        <u/>
        <sz val="10"/>
        <color rgb="FF000000"/>
        <rFont val="Arial"/>
      </rPr>
      <t xml:space="preserve"> </t>
    </r>
  </si>
  <si>
    <t>49195-001</t>
  </si>
  <si>
    <t>Dr. Ashish Kumar Rastogi_LI-FI BASED DATA TRANSFER DEVICE.pdf</t>
  </si>
  <si>
    <t>Dr. Ashish Kumar Rastogi (Utility Patent).pdf</t>
  </si>
  <si>
    <t>https://drive.google.com/file/d/1GpTgYxkaNrnrFQFlcxBscAm84AWdxCKz/view?usp=drive_link</t>
  </si>
  <si>
    <t>Anil Saroliya</t>
  </si>
  <si>
    <t>Professor and HOD(CSE)</t>
  </si>
  <si>
    <r>
      <rPr>
        <sz val="10"/>
        <rFont val="Arial"/>
      </rPr>
      <t>UK Design Patent :</t>
    </r>
    <r>
      <rPr>
        <b/>
        <sz val="10"/>
        <rFont val="Arial"/>
      </rPr>
      <t xml:space="preserve"> AI BASED STRESS DETECTION DEVICE</t>
    </r>
    <r>
      <rPr>
        <sz val="10"/>
        <rFont val="Arial"/>
      </rPr>
      <t xml:space="preserve">
Link to Verify: </t>
    </r>
    <r>
      <rPr>
        <u/>
        <sz val="10"/>
        <color rgb="FF1155CC"/>
        <rFont val="Arial"/>
      </rPr>
      <t>https://www.registered-design.service.gov.uk/find/</t>
    </r>
  </si>
  <si>
    <t>Dr. Sukumar Chandra, Dr.Sarita Kumari, Dr. Anil Saroliya,Dr. Aayush Shrivastava, Kumari Kala Marimuthu, Arun Kumar Gupta, Dr. Kishor Kumar Gajula, Sumana ArunBagawath,Dr. Mani Goyal, Maduri Madhavi</t>
  </si>
  <si>
    <t>Published and Design get registered</t>
  </si>
  <si>
    <t>UK Design Patent.pdf</t>
  </si>
  <si>
    <r>
      <rPr>
        <u/>
        <sz val="10"/>
        <color rgb="FF1155CC"/>
        <rFont val="Arial"/>
      </rPr>
      <t>https://drive.google.com/file/d/12yetG2zvp_FgucwUN9r5Gkv_8vBq38a5/view?usp=drive_link</t>
    </r>
    <r>
      <rPr>
        <sz val="10"/>
        <color rgb="FF000000"/>
        <rFont val="Arial"/>
      </rPr>
      <t xml:space="preserve">      </t>
    </r>
    <r>
      <rPr>
        <u/>
        <sz val="10"/>
        <color rgb="FF1155CC"/>
        <rFont val="Arial"/>
      </rPr>
      <t>https://drive.google.com/file/d/1bVmOd63SOGfMMgkzNFUahqBG2G0yqVSW/view</t>
    </r>
  </si>
  <si>
    <t>SECURE AND DECENTRALIZED IoT ARCHITECTURE USING BLOCKCHAIN FOR DEVICE AUTHENTICATION, ACCESS CONTROL, AND DATA INTEGRITY</t>
  </si>
  <si>
    <t>1. Vikas Kamra
2. Dr. Divya Singhal
3. Dr. Munish Sabharwal
4. Dr. Kanika Singhal
5. Dr. Sangeeta Arora
6. Arhina Ghosh
7. Apoorv Jain
8. Dr. Richa Yadav
9. Anshul Varshney
10. Ankur Kumar Varshney
11. Prateek Mathur
12. Nupur Tripathi</t>
  </si>
  <si>
    <t>20th February, 2026</t>
  </si>
  <si>
    <t>https://drive.google.com/file/d/1P9KiP-rUumTHPhiETZ7Yn4yM1ii7lIhS/view?usp=sharing</t>
  </si>
  <si>
    <t>Column1</t>
  </si>
  <si>
    <t>Column2</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</si>
</sst>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164" formatCode="d\ mmmm\ yyyy"/>
    <numFmt numFmtId="165" formatCode="mmm\-d"/>
    <numFmt numFmtId="166" formatCode="m/d/yy"/>
    <numFmt numFmtId="167" formatCode="mmmm\ yyyy"/>
    <numFmt numFmtId="168" formatCode="mmm\ d\,yyyy"/>
    <numFmt numFmtId="169" formatCode="dd\ mmmm\ yyyy"/>
    <numFmt numFmtId="170" formatCode="mmmm\ d"/>
    <numFmt numFmtId="171" formatCode="m\-d"/>
    <numFmt numFmtId="172" formatCode="mmm\.\ yyyy"/>
    <numFmt numFmtId="173" formatCode="mmm\ yyyy"/>
    <numFmt numFmtId="174" formatCode="d\ mmmm"/>
    <numFmt numFmtId="175" formatCode="d\-mmm\-yyyy"/>
    <numFmt numFmtId="176" formatCode="yyyy/m"/>
    <numFmt numFmtId="177" formatCode="mmm\ d"/>
    <numFmt numFmtId="178" formatCode="yyyy\-mm\-dd"/>
    <numFmt numFmtId="179" formatCode="yyyy/m/d"/>
    <numFmt numFmtId="180" formatCode="mmm\,\ yyyy"/>
    <numFmt numFmtId="181" formatCode="mmmm\-d"/>
    <numFmt numFmtId="182" formatCode="d\,\ mmmm\ yyyy"/>
    <numFmt numFmtId="183" formatCode="0.0"/>
  </numFmts>
  <fonts count="248">
    <font>
      <sz val="10"/>
      <color rgb="FF000000"/>
      <name val="Arial"/>
      <scheme val="minor"/>
    </font>
    <font>
      <sz val="10"/>
      <color theme="1"/>
      <name val="Arial"/>
      <scheme val="minor"/>
    </font>
    <font>
      <sz val="10"/>
      <color theme="1"/>
      <name val="Arial"/>
    </font>
    <font>
      <b/>
      <sz val="10"/>
      <color theme="1"/>
      <name val="Arial"/>
    </font>
    <font>
      <sz val="10"/>
      <color rgb="FF000000"/>
      <name val="Arial"/>
    </font>
    <font>
      <b/>
      <sz val="10"/>
      <color rgb="FF000000"/>
      <name val="Arial"/>
    </font>
    <font>
      <sz val="11"/>
      <color rgb="FF000000"/>
      <name val="Calibri"/>
    </font>
    <font>
      <b/>
      <sz val="10"/>
      <color rgb="FFFFFFFF"/>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scheme val="minor"/>
    </font>
    <font>
      <u/>
      <sz val="10"/>
      <color rgb="FF000000"/>
      <name val="Arial"/>
      <scheme val="minor"/>
    </font>
    <font>
      <u/>
      <sz val="10"/>
      <color rgb="FF000000"/>
      <name val="Arial"/>
      <scheme val="minor"/>
    </font>
    <font>
      <u/>
      <sz val="10"/>
      <color rgb="FF0000FF"/>
      <name val="Arial"/>
    </font>
    <font>
      <u/>
      <sz val="10"/>
      <color rgb="FF000000"/>
      <name val="Arial"/>
      <scheme val="minor"/>
    </font>
    <font>
      <u/>
      <sz val="10"/>
      <color rgb="FF000000"/>
      <name val="Arial"/>
    </font>
    <font>
      <u/>
      <sz val="10"/>
      <color rgb="FF000000"/>
      <name val="Arial"/>
      <scheme val="minor"/>
    </font>
    <font>
      <u/>
      <sz val="10"/>
      <color rgb="FF000000"/>
      <name val="Arial"/>
    </font>
    <font>
      <u/>
      <sz val="10"/>
      <color rgb="FF000000"/>
      <name val="Arial"/>
      <scheme val="minor"/>
    </font>
    <font>
      <b/>
      <sz val="10"/>
      <color rgb="FF000000"/>
      <name val="Arial"/>
      <scheme val="minor"/>
    </font>
    <font>
      <sz val="10"/>
      <color rgb="FFFFFFFF"/>
      <name val="Arial"/>
    </font>
    <font>
      <u/>
      <sz val="10"/>
      <color rgb="FF000000"/>
      <name val="Arial"/>
    </font>
    <font>
      <u/>
      <sz val="10"/>
      <color rgb="FF000000"/>
      <name val="Arial"/>
    </font>
    <font>
      <u/>
      <sz val="10"/>
      <color rgb="FF0000FF"/>
      <name val="Arial"/>
    </font>
    <font>
      <u/>
      <sz val="10"/>
      <color rgb="FF0000FF"/>
      <name val="Arial"/>
    </font>
    <font>
      <sz val="11"/>
      <color rgb="FF000000"/>
      <name val="Arial"/>
    </font>
    <font>
      <sz val="10"/>
      <color rgb="FFFFFFFF"/>
      <name val="Arial"/>
      <scheme val="minor"/>
    </font>
    <font>
      <sz val="10"/>
      <color theme="0"/>
      <name val="Arial"/>
      <scheme val="minor"/>
    </font>
    <font>
      <u/>
      <sz val="10"/>
      <color rgb="FF000000"/>
      <name val="Arial"/>
      <scheme val="minor"/>
    </font>
    <font>
      <u/>
      <sz val="10"/>
      <color rgb="FF000000"/>
      <name val="Arial"/>
      <scheme val="minor"/>
    </font>
    <font>
      <u/>
      <sz val="10"/>
      <color rgb="FF000000"/>
      <name val="Arial"/>
    </font>
    <font>
      <u/>
      <sz val="10"/>
      <color rgb="FF000000"/>
      <name val="Arial"/>
    </font>
    <font>
      <u/>
      <sz val="10"/>
      <color rgb="FF000000"/>
      <name val="Arial"/>
      <scheme val="minor"/>
    </font>
    <font>
      <u/>
      <sz val="10"/>
      <color rgb="FF000000"/>
      <name val="Arial"/>
      <scheme val="minor"/>
    </font>
    <font>
      <u/>
      <sz val="10"/>
      <color rgb="FF000000"/>
      <name val="Arial"/>
    </font>
    <font>
      <u/>
      <sz val="10"/>
      <color rgb="FF0000FF"/>
      <name val="Arial"/>
    </font>
    <font>
      <u/>
      <sz val="10"/>
      <color rgb="FF000000"/>
      <name val="Arial"/>
    </font>
    <font>
      <u/>
      <sz val="10"/>
      <color rgb="FF000000"/>
      <name val="Arial"/>
      <scheme val="minor"/>
    </font>
    <font>
      <u/>
      <sz val="10"/>
      <color rgb="FF000000"/>
      <name val="Arial"/>
      <scheme val="minor"/>
    </font>
    <font>
      <u/>
      <sz val="10"/>
      <color rgb="FF000000"/>
      <name val="Arial"/>
      <scheme val="minor"/>
    </font>
    <font>
      <sz val="10"/>
      <color rgb="FF222222"/>
      <name val="Arial"/>
    </font>
    <font>
      <sz val="8"/>
      <color rgb="FF000000"/>
      <name val="Tahoma"/>
    </font>
    <font>
      <u/>
      <sz val="10"/>
      <color rgb="FF0000FF"/>
      <name val="Arial"/>
    </font>
    <font>
      <u/>
      <sz val="10"/>
      <color rgb="FF000000"/>
      <name val="Arial"/>
      <scheme val="minor"/>
    </font>
    <font>
      <u/>
      <sz val="10"/>
      <color rgb="FF0000FF"/>
      <name val="Arial"/>
    </font>
    <font>
      <u/>
      <sz val="10"/>
      <color rgb="FF0000FF"/>
      <name val="Arial"/>
    </font>
    <font>
      <u/>
      <sz val="10"/>
      <color rgb="FF000000"/>
      <name val="Arial"/>
      <scheme val="minor"/>
    </font>
    <font>
      <u/>
      <sz val="10"/>
      <color rgb="FF000000"/>
      <name val="Arial"/>
      <scheme val="minor"/>
    </font>
    <font>
      <u/>
      <sz val="10"/>
      <color rgb="FF0000FF"/>
      <name val="Arial"/>
    </font>
    <font>
      <u/>
      <sz val="10"/>
      <color rgb="FF000000"/>
      <name val="Arial"/>
    </font>
    <font>
      <u/>
      <sz val="10"/>
      <color rgb="FF000000"/>
      <name val="Arial"/>
      <scheme val="minor"/>
    </font>
    <font>
      <u/>
      <sz val="10"/>
      <color rgb="FF000000"/>
      <name val="Arial"/>
      <scheme val="minor"/>
    </font>
    <font>
      <u/>
      <sz val="10"/>
      <color rgb="FF000000"/>
      <name val="Arial"/>
      <scheme val="minor"/>
    </font>
    <font>
      <u/>
      <sz val="10"/>
      <color rgb="FF000000"/>
      <name val="Arial"/>
    </font>
    <font>
      <u/>
      <sz val="10"/>
      <color rgb="FF0000FF"/>
      <name val="Arial"/>
    </font>
    <font>
      <u/>
      <sz val="10"/>
      <color rgb="FF000000"/>
      <name val="Arial"/>
      <scheme val="minor"/>
    </font>
    <font>
      <u/>
      <sz val="10"/>
      <color rgb="FF000000"/>
      <name val="Arial"/>
      <scheme val="minor"/>
    </font>
    <font>
      <u/>
      <sz val="10"/>
      <color rgb="FF000000"/>
      <name val="Arial"/>
    </font>
    <font>
      <u/>
      <sz val="10"/>
      <color rgb="FF000000"/>
      <name val="Arial"/>
    </font>
    <font>
      <sz val="8"/>
      <color rgb="FF000000"/>
      <name val="Arial"/>
    </font>
    <font>
      <sz val="12"/>
      <color rgb="FF1F1F1F"/>
      <name val="ElsevierSans"/>
    </font>
    <font>
      <u/>
      <sz val="10"/>
      <color rgb="FF0000FF"/>
      <name val="Arial"/>
    </font>
    <font>
      <u/>
      <sz val="10"/>
      <color rgb="FF0000FF"/>
      <name val="Arial"/>
    </font>
    <font>
      <u/>
      <sz val="10"/>
      <color rgb="FF0000FF"/>
      <name val="Arial"/>
    </font>
    <font>
      <u/>
      <sz val="10"/>
      <color rgb="FF000000"/>
      <name val="Arial"/>
    </font>
    <font>
      <u/>
      <sz val="10"/>
      <color rgb="FF000000"/>
      <name val="Arial"/>
    </font>
    <font>
      <u/>
      <sz val="9"/>
      <color rgb="FF282828"/>
      <name val="ThinSpaceFallback"/>
    </font>
    <font>
      <sz val="11"/>
      <color rgb="FF222222"/>
      <name val="Cambria"/>
    </font>
    <font>
      <sz val="11"/>
      <color rgb="FF222222"/>
      <name val="-apple-system"/>
    </font>
    <font>
      <u/>
      <sz val="12"/>
      <color rgb="FF222222"/>
      <name val="-apple-system"/>
    </font>
    <font>
      <u/>
      <sz val="10"/>
      <color rgb="FF222222"/>
      <name val="Arial"/>
    </font>
    <font>
      <sz val="10"/>
      <color rgb="FF000000"/>
      <name val="Arial"/>
    </font>
    <font>
      <sz val="11"/>
      <color rgb="FF303133"/>
      <name val="-apple-system"/>
    </font>
    <font>
      <u/>
      <sz val="11"/>
      <color rgb="FF606266"/>
      <name val="-apple-system"/>
    </font>
    <font>
      <u/>
      <sz val="10"/>
      <color rgb="FF0000FF"/>
      <name val="Arial"/>
    </font>
    <font>
      <u/>
      <sz val="10"/>
      <color rgb="FF000000"/>
      <name val="Arial"/>
      <scheme val="minor"/>
    </font>
    <font>
      <u/>
      <sz val="10"/>
      <color rgb="FF000000"/>
      <name val="Arial"/>
      <scheme val="minor"/>
    </font>
    <font>
      <u/>
      <sz val="10"/>
      <color rgb="FF0000FF"/>
      <name val="Arial"/>
    </font>
    <font>
      <u/>
      <sz val="10"/>
      <color rgb="FF000000"/>
      <name val="Arial"/>
      <scheme val="minor"/>
    </font>
    <font>
      <sz val="11"/>
      <color rgb="FF313131"/>
      <name val="&quot;Open Sans&quot;"/>
    </font>
    <font>
      <u/>
      <sz val="11"/>
      <color rgb="FF767676"/>
      <name val="&quot;Open Sans&quot;"/>
    </font>
    <font>
      <u/>
      <sz val="10"/>
      <color rgb="FF000000"/>
      <name val="Arial"/>
    </font>
    <font>
      <u/>
      <sz val="10"/>
      <color rgb="FF000000"/>
      <name val="Arial"/>
      <scheme val="minor"/>
    </font>
    <font>
      <sz val="10"/>
      <color theme="1"/>
      <name val="Arial"/>
    </font>
    <font>
      <u/>
      <sz val="10"/>
      <color rgb="FF0000FF"/>
      <name val="Roboto"/>
    </font>
    <font>
      <u/>
      <sz val="10"/>
      <color theme="1"/>
      <name val="Arial"/>
    </font>
    <font>
      <u/>
      <sz val="10"/>
      <color rgb="FF0000FF"/>
      <name val="Roboto"/>
    </font>
    <font>
      <u/>
      <sz val="10"/>
      <color rgb="FF0000FF"/>
      <name val="Roboto"/>
    </font>
    <font>
      <u/>
      <sz val="10"/>
      <color rgb="FF0000FF"/>
      <name val="Roboto"/>
    </font>
    <font>
      <sz val="10"/>
      <color rgb="FF000000"/>
      <name val="&quot;HelveticaNeue Regular&quot;"/>
    </font>
    <font>
      <u/>
      <sz val="10"/>
      <color rgb="FF000000"/>
      <name val="Arial"/>
    </font>
    <font>
      <u/>
      <sz val="10"/>
      <color rgb="FF000000"/>
      <name val="Arial"/>
      <scheme val="minor"/>
    </font>
    <font>
      <u/>
      <sz val="10"/>
      <color rgb="FF000000"/>
      <name val="Arial"/>
      <scheme val="minor"/>
    </font>
    <font>
      <u/>
      <sz val="10"/>
      <color rgb="FF000000"/>
      <name val="Arial"/>
    </font>
    <font>
      <u/>
      <sz val="10"/>
      <color rgb="FF0000FF"/>
      <name val="Arial"/>
    </font>
    <font>
      <u/>
      <sz val="10"/>
      <color rgb="FF000000"/>
      <name val="Arial"/>
    </font>
    <font>
      <sz val="10"/>
      <color rgb="FF000000"/>
      <name val="Roboto"/>
    </font>
    <font>
      <u/>
      <sz val="10"/>
      <color rgb="FF000000"/>
      <name val="Roboto"/>
    </font>
    <font>
      <u/>
      <sz val="10"/>
      <color rgb="FF000000"/>
      <name val="Arial"/>
    </font>
    <font>
      <u/>
      <sz val="10"/>
      <color rgb="FF000000"/>
      <name val="Roboto"/>
    </font>
    <font>
      <u/>
      <sz val="10"/>
      <color rgb="FF000000"/>
      <name val="Arial"/>
    </font>
    <font>
      <u/>
      <sz val="10"/>
      <color rgb="FF000000"/>
      <name val="Roboto"/>
    </font>
    <font>
      <u/>
      <sz val="10"/>
      <color rgb="FF000000"/>
      <name val="Roboto"/>
    </font>
    <font>
      <sz val="10"/>
      <color rgb="FF000000"/>
      <name val="&quot;Open Sans&quot;"/>
    </font>
    <font>
      <u/>
      <sz val="10"/>
      <color rgb="FF000000"/>
      <name val="Arial"/>
    </font>
    <font>
      <u/>
      <sz val="10"/>
      <color rgb="FF000000"/>
      <name val="Roboto"/>
    </font>
    <font>
      <u/>
      <sz val="10"/>
      <color rgb="FF000000"/>
      <name val="Roboto"/>
    </font>
    <font>
      <b/>
      <sz val="10"/>
      <color rgb="FF313131"/>
      <name val="-apple-system"/>
    </font>
    <font>
      <b/>
      <u/>
      <sz val="10"/>
      <color rgb="FF313131"/>
      <name val="-apple-system"/>
    </font>
    <font>
      <b/>
      <sz val="10"/>
      <color rgb="FF313131"/>
      <name val="Arial"/>
    </font>
    <font>
      <sz val="10"/>
      <color rgb="FFFF0000"/>
      <name val="Arial"/>
    </font>
    <font>
      <sz val="11"/>
      <color rgb="FF333333"/>
      <name val="Arial"/>
    </font>
    <font>
      <u/>
      <sz val="11"/>
      <color rgb="FF333333"/>
      <name val="Arial"/>
    </font>
    <font>
      <u/>
      <sz val="10"/>
      <color rgb="FF000000"/>
      <name val="Arial"/>
    </font>
    <font>
      <u/>
      <sz val="10"/>
      <color rgb="FF000000"/>
      <name val="Arial"/>
    </font>
    <font>
      <u/>
      <sz val="10"/>
      <color rgb="FF000000"/>
      <name val="Arial"/>
      <scheme val="minor"/>
    </font>
    <font>
      <i/>
      <sz val="10"/>
      <color rgb="FF000000"/>
      <name val="Arial"/>
      <scheme val="minor"/>
    </font>
    <font>
      <u/>
      <sz val="10"/>
      <color rgb="FF000000"/>
      <name val="Arial"/>
    </font>
    <font>
      <u/>
      <sz val="10"/>
      <color rgb="FF000000"/>
      <name val="Arial"/>
    </font>
    <font>
      <b/>
      <u/>
      <sz val="10"/>
      <color rgb="FF000000"/>
      <name val="Arial"/>
    </font>
    <font>
      <u/>
      <sz val="10"/>
      <color rgb="FF000000"/>
      <name val="Arial"/>
    </font>
    <font>
      <u/>
      <sz val="10"/>
      <color rgb="FF000000"/>
      <name val="Arial"/>
      <scheme val="minor"/>
    </font>
    <font>
      <u/>
      <sz val="10"/>
      <color rgb="FF0000FF"/>
      <name val="Arial"/>
    </font>
    <font>
      <sz val="10"/>
      <color rgb="FF000000"/>
      <name val="&quot;\0022Open Sans\0022&quot;"/>
    </font>
    <font>
      <u/>
      <sz val="10"/>
      <color rgb="FF000000"/>
      <name val="Roboto"/>
    </font>
    <font>
      <sz val="10"/>
      <color rgb="FF000000"/>
      <name val="Helvetica-Nue-Bold"/>
    </font>
    <font>
      <u/>
      <sz val="10"/>
      <color rgb="FF000000"/>
      <name val="Roboto"/>
    </font>
    <font>
      <sz val="10"/>
      <color rgb="FF073763"/>
      <name val="Verdana"/>
    </font>
    <font>
      <u/>
      <sz val="10"/>
      <color rgb="FF0000FF"/>
      <name val="Arial"/>
    </font>
    <font>
      <u/>
      <sz val="10"/>
      <color rgb="FF000000"/>
      <name val="Roboto"/>
    </font>
    <font>
      <u/>
      <sz val="10"/>
      <color rgb="FF000000"/>
      <name val="Arial"/>
    </font>
    <font>
      <sz val="10"/>
      <color rgb="FF000000"/>
      <name val="System-ui"/>
    </font>
    <font>
      <b/>
      <i/>
      <sz val="10"/>
      <color rgb="FF000000"/>
      <name val="Arial"/>
      <scheme val="minor"/>
    </font>
    <font>
      <u/>
      <sz val="10"/>
      <color rgb="FF0000FF"/>
      <name val="Arial"/>
    </font>
    <font>
      <sz val="11"/>
      <color rgb="FF202124"/>
      <name val="Roboto"/>
    </font>
    <font>
      <i/>
      <sz val="11"/>
      <color rgb="FF555555"/>
      <name val="Calibri"/>
    </font>
    <font>
      <b/>
      <sz val="13"/>
      <color rgb="FF000000"/>
      <name val="Calibri"/>
    </font>
    <font>
      <sz val="11"/>
      <color rgb="FF555555"/>
      <name val="Calibri"/>
    </font>
    <font>
      <u/>
      <sz val="10"/>
      <color rgb="FF0000FF"/>
      <name val="Arial"/>
    </font>
    <font>
      <i/>
      <u/>
      <sz val="10"/>
      <color rgb="FF000000"/>
      <name val="Arial"/>
    </font>
    <font>
      <i/>
      <u/>
      <sz val="10"/>
      <color rgb="FF000000"/>
      <name val="Arial"/>
    </font>
    <font>
      <u/>
      <sz val="10"/>
      <color rgb="FF0000FF"/>
      <name val="Arial"/>
    </font>
    <font>
      <u/>
      <sz val="12"/>
      <color rgb="FF222222"/>
      <name val="&quot;Merriweather Sans&quot;"/>
    </font>
    <font>
      <u/>
      <sz val="10"/>
      <color rgb="FF0000FF"/>
      <name val="Arial"/>
    </font>
    <font>
      <sz val="12"/>
      <color rgb="FF222222"/>
      <name val="&quot;Merriweather Sans&quot;"/>
    </font>
    <font>
      <u/>
      <sz val="10"/>
      <color rgb="FF0000FF"/>
      <name val="Arial"/>
    </font>
    <font>
      <sz val="12"/>
      <color rgb="FF222222"/>
      <name val="Arial"/>
    </font>
    <font>
      <u/>
      <sz val="10"/>
      <color rgb="FF0000FF"/>
      <name val="Arial"/>
    </font>
    <font>
      <u/>
      <sz val="10"/>
      <color rgb="FF0000FF"/>
      <name val="Arial"/>
    </font>
    <font>
      <u/>
      <sz val="10"/>
      <color theme="1"/>
      <name val="Arial"/>
      <scheme val="minor"/>
    </font>
    <font>
      <u/>
      <sz val="10"/>
      <color rgb="FF0000FF"/>
      <name val="Arial"/>
    </font>
    <font>
      <u/>
      <sz val="10"/>
      <color rgb="FF0000FF"/>
      <name val="Arial"/>
    </font>
    <font>
      <u/>
      <sz val="10"/>
      <color rgb="FF0000FF"/>
      <name val="Arial"/>
    </font>
    <font>
      <sz val="10"/>
      <color rgb="FF333333"/>
      <name val="&quot;HelveticaNeue Regular&quot;"/>
    </font>
    <font>
      <u/>
      <sz val="10"/>
      <color rgb="FF0000FF"/>
      <name val="Arial"/>
    </font>
    <font>
      <u/>
      <sz val="10"/>
      <color rgb="FF000000"/>
      <name val="Arial"/>
    </font>
    <font>
      <u/>
      <sz val="12"/>
      <color rgb="FF222222"/>
      <name val="&quot;Merriweather Sans&quot;"/>
    </font>
    <font>
      <u/>
      <sz val="10"/>
      <color rgb="FF000000"/>
      <name val="Arial"/>
    </font>
    <font>
      <sz val="10"/>
      <color rgb="FF333333"/>
      <name val="Arial"/>
    </font>
    <font>
      <sz val="12"/>
      <color rgb="FF000000"/>
      <name val="&quot;Merriweather Sans&quot;"/>
    </font>
    <font>
      <u/>
      <sz val="10"/>
      <color rgb="FF0000FF"/>
      <name val="Arial"/>
    </font>
    <font>
      <u/>
      <sz val="10"/>
      <color rgb="FF0000FF"/>
      <name val="Arial"/>
    </font>
    <font>
      <u/>
      <sz val="10"/>
      <color rgb="FF222222"/>
      <name val="Arial"/>
    </font>
    <font>
      <sz val="10"/>
      <color rgb="FFFFFFFF"/>
      <name val="Arial"/>
      <scheme val="minor"/>
    </font>
    <font>
      <sz val="10"/>
      <color rgb="FFFFFFFF"/>
      <name val="Arial"/>
    </font>
    <font>
      <sz val="11"/>
      <color rgb="FFFFFFFF"/>
      <name val="&quot;Garamond&quot;"/>
    </font>
    <font>
      <sz val="11"/>
      <color rgb="FFFFFFFF"/>
      <name val="Inter"/>
    </font>
    <font>
      <u/>
      <sz val="10"/>
      <color rgb="FFFFFFFF"/>
      <name val="Roboto"/>
    </font>
    <font>
      <sz val="10"/>
      <color rgb="FFFFFFFF"/>
      <name val="Roboto"/>
    </font>
    <font>
      <u/>
      <sz val="10"/>
      <color rgb="FF000000"/>
      <name val="Arial"/>
    </font>
    <font>
      <u/>
      <sz val="10"/>
      <color rgb="FF000000"/>
      <name val="Arial"/>
    </font>
    <font>
      <u/>
      <sz val="10"/>
      <color rgb="FF0000FF"/>
      <name val="Arial"/>
    </font>
    <font>
      <sz val="10"/>
      <color rgb="FF000000"/>
      <name val="&quot;Garamond&quot;"/>
    </font>
    <font>
      <u/>
      <sz val="10"/>
      <color rgb="FF0000FF"/>
      <name val="Arial"/>
    </font>
    <font>
      <u/>
      <sz val="10"/>
      <color rgb="FF0000FF"/>
      <name val="Roboto"/>
    </font>
    <font>
      <sz val="11"/>
      <color rgb="FF0D0D0D"/>
      <name val="&quot;Garamond&quot;"/>
    </font>
    <font>
      <sz val="11"/>
      <color rgb="FF212121"/>
      <name val="Inter"/>
    </font>
    <font>
      <sz val="10"/>
      <color theme="1"/>
      <name val="Arial"/>
      <scheme val="minor"/>
    </font>
    <font>
      <u/>
      <sz val="10"/>
      <color rgb="FFFFFFFF"/>
      <name val="Arial"/>
      <scheme val="minor"/>
    </font>
    <font>
      <u/>
      <sz val="10"/>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FF"/>
      <name val="Arial"/>
    </font>
    <font>
      <u/>
      <sz val="8"/>
      <color rgb="FF0000FF"/>
      <name val="Arial"/>
    </font>
    <font>
      <u/>
      <sz val="10"/>
      <color rgb="FF0000FF"/>
      <name val="Arial"/>
    </font>
    <font>
      <u/>
      <sz val="10"/>
      <color rgb="FF0000FF"/>
      <name val="Arial"/>
    </font>
    <font>
      <u/>
      <sz val="10"/>
      <color theme="1"/>
      <name val="Arial"/>
    </font>
    <font>
      <sz val="9"/>
      <color rgb="FF000000"/>
      <name val="Arial"/>
    </font>
    <font>
      <u/>
      <sz val="10"/>
      <color rgb="FF000000"/>
      <name val="Arial"/>
    </font>
    <font>
      <u/>
      <sz val="10"/>
      <color rgb="FF000000"/>
      <name val="Arial"/>
    </font>
    <font>
      <u/>
      <sz val="10"/>
      <color rgb="FF000000"/>
      <name val="Arial"/>
    </font>
    <font>
      <u/>
      <sz val="10"/>
      <color rgb="FF000000"/>
      <name val="Arial"/>
    </font>
    <font>
      <u/>
      <sz val="10"/>
      <color rgb="FF000000"/>
      <name val="Arial"/>
      <scheme val="minor"/>
    </font>
    <font>
      <u/>
      <sz val="10"/>
      <color rgb="FF000000"/>
      <name val="Arial"/>
    </font>
    <font>
      <u/>
      <sz val="9"/>
      <color rgb="FF000000"/>
      <name val="Arial"/>
    </font>
    <font>
      <u/>
      <sz val="10"/>
      <color rgb="FF000000"/>
      <name val="Arial"/>
    </font>
    <font>
      <u/>
      <sz val="11"/>
      <color rgb="FF000000"/>
      <name val="Arial"/>
    </font>
    <font>
      <u/>
      <sz val="11"/>
      <color rgb="FF000000"/>
      <name val="&quot;Open Sans&quot;"/>
    </font>
    <font>
      <b/>
      <sz val="10"/>
      <color rgb="FF1C1D1E"/>
      <name val="&quot;Open Sans&quot;"/>
    </font>
    <font>
      <sz val="11"/>
      <color rgb="FF000000"/>
      <name val="Inter"/>
    </font>
    <font>
      <u/>
      <sz val="11"/>
      <color rgb="FF000000"/>
      <name val="&quot;Open Sans&quot;"/>
    </font>
    <font>
      <u/>
      <sz val="10"/>
      <color rgb="FF000000"/>
      <name val="Arial"/>
    </font>
    <font>
      <sz val="14"/>
      <color rgb="FF000000"/>
      <name val="Arial"/>
    </font>
    <font>
      <u/>
      <sz val="10"/>
      <color rgb="FF000000"/>
      <name val="Arial"/>
    </font>
    <font>
      <u/>
      <sz val="10"/>
      <color rgb="FF000000"/>
      <name val="Arial"/>
    </font>
    <font>
      <u/>
      <sz val="10"/>
      <color rgb="FF000000"/>
      <name val="Arial"/>
    </font>
    <font>
      <sz val="10"/>
      <color rgb="FF434343"/>
      <name val="Arial"/>
      <scheme val="minor"/>
    </font>
    <font>
      <u/>
      <sz val="10"/>
      <color rgb="FF0000FF"/>
      <name val="Arial"/>
      <scheme val="minor"/>
    </font>
    <font>
      <u/>
      <sz val="10"/>
      <color rgb="FF0000FF"/>
      <name val="Arial"/>
      <scheme val="minor"/>
    </font>
    <font>
      <u/>
      <sz val="10"/>
      <color rgb="FF0000FF"/>
      <name val="Arial"/>
      <scheme val="minor"/>
    </font>
    <font>
      <sz val="10"/>
      <color rgb="FF000000"/>
      <name val="Arial"/>
    </font>
    <font>
      <u/>
      <sz val="10"/>
      <color rgb="FF0000FF"/>
      <name val="Arial"/>
    </font>
    <font>
      <u/>
      <sz val="10"/>
      <color rgb="FF0000FF"/>
      <name val="Arial"/>
    </font>
    <font>
      <sz val="10"/>
      <color rgb="FF222222"/>
      <name val="Arial"/>
      <scheme val="minor"/>
    </font>
    <font>
      <u/>
      <sz val="10"/>
      <color rgb="FF0000FF"/>
      <name val="Arial"/>
    </font>
    <font>
      <u/>
      <sz val="10"/>
      <color rgb="FF0000FF"/>
      <name val="Arial"/>
      <scheme val="minor"/>
    </font>
    <font>
      <u/>
      <sz val="10"/>
      <color rgb="FF0000FF"/>
      <name val="Arial"/>
      <scheme val="minor"/>
    </font>
    <font>
      <u/>
      <sz val="10"/>
      <color rgb="FF0000FF"/>
      <name val="Arial"/>
      <scheme val="minor"/>
    </font>
    <font>
      <u/>
      <sz val="10"/>
      <color rgb="FF0000FF"/>
      <name val="Arial"/>
      <scheme val="minor"/>
    </font>
    <font>
      <u/>
      <sz val="10"/>
      <color rgb="FF0000FF"/>
      <name val="Arial"/>
      <scheme val="minor"/>
    </font>
    <font>
      <sz val="10"/>
      <color rgb="FF000000"/>
      <name val="Arial"/>
      <scheme val="minor"/>
    </font>
    <font>
      <u/>
      <sz val="10"/>
      <color rgb="FF0000FF"/>
      <name val="Arial"/>
      <scheme val="minor"/>
    </font>
    <font>
      <u/>
      <sz val="10"/>
      <color rgb="FF0000FF"/>
      <name val="Arial"/>
      <scheme val="minor"/>
    </font>
    <font>
      <u/>
      <sz val="10"/>
      <color rgb="FF0000FF"/>
      <name val="Arial"/>
      <scheme val="minor"/>
    </font>
    <font>
      <u/>
      <sz val="10"/>
      <color rgb="FF0000FF"/>
      <name val="Arial"/>
      <scheme val="minor"/>
    </font>
    <font>
      <sz val="12"/>
      <color rgb="FF0D0D0D"/>
      <name val="&quot;Times New Roman&quot;"/>
    </font>
    <font>
      <u/>
      <sz val="10"/>
      <color rgb="FF0000FF"/>
      <name val="Arial"/>
      <scheme val="minor"/>
    </font>
    <font>
      <u/>
      <sz val="10"/>
      <color rgb="FF0000FF"/>
      <name val="Arial"/>
      <scheme val="minor"/>
    </font>
    <font>
      <u/>
      <sz val="10"/>
      <color rgb="FF0000FF"/>
      <name val="Arial"/>
      <scheme val="minor"/>
    </font>
    <font>
      <u/>
      <sz val="10"/>
      <color rgb="FF0000FF"/>
      <name val="Arial"/>
      <scheme val="minor"/>
    </font>
    <font>
      <u/>
      <sz val="10"/>
      <color rgb="FF1155CC"/>
      <name val="Arial"/>
    </font>
    <font>
      <b/>
      <sz val="10"/>
      <name val="Arial"/>
    </font>
    <font>
      <u/>
      <sz val="10"/>
      <name val="Arial"/>
    </font>
    <font>
      <u/>
      <sz val="12"/>
      <color rgb="FF1155CC"/>
      <name val="Arial"/>
      <scheme val="minor"/>
    </font>
    <font>
      <u/>
      <sz val="9"/>
      <color rgb="FF1155CC"/>
      <name val="Arial"/>
      <scheme val="minor"/>
    </font>
    <font>
      <u/>
      <sz val="11"/>
      <color rgb="FF1155CC"/>
      <name val="Arial"/>
      <scheme val="minor"/>
    </font>
    <font>
      <sz val="10"/>
      <color rgb="FF000000"/>
      <name val="Arial, sans-serif"/>
    </font>
    <font>
      <u/>
      <sz val="10"/>
      <color rgb="FF000000"/>
      <name val="Arial, sans-serif"/>
    </font>
    <font>
      <sz val="10"/>
      <color rgb="FF000000"/>
      <name val="Roboto, Arial, sans-serif"/>
    </font>
    <font>
      <b/>
      <u/>
      <sz val="15"/>
      <color rgb="FF1155CC"/>
      <name val="Muli, sans-serif"/>
    </font>
    <font>
      <u/>
      <sz val="11"/>
      <color rgb="FF1155CC"/>
      <name val="Arial"/>
    </font>
    <font>
      <sz val="11"/>
      <color rgb="FF000000"/>
      <name val="Arial"/>
      <scheme val="minor"/>
    </font>
    <font>
      <sz val="11"/>
      <color rgb="FF767676"/>
      <name val="Arial"/>
      <scheme val="minor"/>
    </font>
    <font>
      <sz val="10"/>
      <name val="Arial"/>
    </font>
  </fonts>
  <fills count="15">
    <fill>
      <patternFill patternType="none"/>
    </fill>
    <fill>
      <patternFill patternType="gray125"/>
    </fill>
    <fill>
      <patternFill patternType="solid">
        <fgColor rgb="FFFFFFFF"/>
        <bgColor rgb="FFFFFFFF"/>
      </patternFill>
    </fill>
    <fill>
      <patternFill patternType="solid">
        <fgColor rgb="FFF8F9FA"/>
        <bgColor rgb="FFF8F9FA"/>
      </patternFill>
    </fill>
    <fill>
      <patternFill patternType="solid">
        <fgColor theme="0"/>
        <bgColor theme="0"/>
      </patternFill>
    </fill>
    <fill>
      <patternFill patternType="solid">
        <fgColor rgb="FF00FF00"/>
        <bgColor rgb="FF00FF00"/>
      </patternFill>
    </fill>
    <fill>
      <patternFill patternType="solid">
        <fgColor rgb="FF5B3F86"/>
        <bgColor rgb="FF5B3F86"/>
      </patternFill>
    </fill>
    <fill>
      <patternFill patternType="solid">
        <fgColor rgb="FFFF9900"/>
        <bgColor rgb="FFFF9900"/>
      </patternFill>
    </fill>
    <fill>
      <patternFill patternType="solid">
        <fgColor rgb="FFFFFF00"/>
        <bgColor rgb="FFFFFF00"/>
      </patternFill>
    </fill>
    <fill>
      <patternFill patternType="solid">
        <fgColor rgb="FF4A86E8"/>
        <bgColor rgb="FF4A86E8"/>
      </patternFill>
    </fill>
    <fill>
      <patternFill patternType="solid">
        <fgColor rgb="FFFCFCFC"/>
        <bgColor rgb="FFFCFCFC"/>
      </patternFill>
    </fill>
    <fill>
      <patternFill patternType="solid">
        <fgColor rgb="FFF7F7F7"/>
        <bgColor rgb="FFF7F7F7"/>
      </patternFill>
    </fill>
    <fill>
      <patternFill patternType="solid">
        <fgColor rgb="FFFF0000"/>
        <bgColor rgb="FFFF0000"/>
      </patternFill>
    </fill>
    <fill>
      <patternFill patternType="solid">
        <fgColor rgb="FFF1F7FB"/>
        <bgColor rgb="FFF1F7FB"/>
      </patternFill>
    </fill>
    <fill>
      <patternFill patternType="solid">
        <fgColor rgb="FFFAFAFA"/>
        <bgColor rgb="FFFAFAFA"/>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5B3F86"/>
      </left>
      <right style="thin">
        <color rgb="FF5B3F86"/>
      </right>
      <top style="thin">
        <color rgb="FF442F65"/>
      </top>
      <bottom/>
      <diagonal/>
    </border>
    <border>
      <left style="thin">
        <color rgb="FF000000"/>
      </left>
      <right/>
      <top style="thin">
        <color rgb="FF000000"/>
      </top>
      <bottom style="thin">
        <color rgb="FF000000"/>
      </bottom>
      <diagonal/>
    </border>
  </borders>
  <cellStyleXfs count="1">
    <xf numFmtId="0" fontId="0" fillId="0" borderId="0"/>
  </cellStyleXfs>
  <cellXfs count="574">
    <xf numFmtId="0" fontId="0" fillId="0" borderId="0" xfId="0" applyFont="1" applyAlignment="1"/>
    <xf numFmtId="0" fontId="1" fillId="0" borderId="1" xfId="0" applyFont="1" applyBorder="1"/>
    <xf numFmtId="0" fontId="2" fillId="0" borderId="1" xfId="0" applyFont="1" applyBorder="1" applyAlignment="1"/>
    <xf numFmtId="0" fontId="1" fillId="0" borderId="1" xfId="0" applyFont="1" applyBorder="1" applyAlignment="1"/>
    <xf numFmtId="0" fontId="0" fillId="2" borderId="1" xfId="0" applyFont="1" applyFill="1" applyBorder="1" applyAlignment="1">
      <alignment horizontal="left" vertical="center" wrapText="1"/>
    </xf>
    <xf numFmtId="0" fontId="1" fillId="0" borderId="0" xfId="0" applyFont="1" applyAlignment="1"/>
    <xf numFmtId="0" fontId="7" fillId="6" borderId="0" xfId="0" applyFont="1" applyFill="1" applyAlignment="1">
      <alignment horizontal="left" vertical="center"/>
    </xf>
    <xf numFmtId="0" fontId="8" fillId="2" borderId="1" xfId="0" applyFont="1" applyFill="1" applyBorder="1" applyAlignment="1">
      <alignment horizontal="left" vertical="center" wrapText="1"/>
    </xf>
    <xf numFmtId="0" fontId="0" fillId="2" borderId="1" xfId="0" applyFont="1" applyFill="1" applyBorder="1" applyAlignment="1">
      <alignment horizontal="left" vertical="center" wrapText="1"/>
    </xf>
    <xf numFmtId="0" fontId="0" fillId="3" borderId="1" xfId="0" applyFont="1" applyFill="1" applyBorder="1" applyAlignment="1">
      <alignment horizontal="left" vertical="center" wrapText="1"/>
    </xf>
    <xf numFmtId="0" fontId="9" fillId="3" borderId="1" xfId="0" applyFont="1" applyFill="1" applyBorder="1" applyAlignment="1">
      <alignment horizontal="left" vertical="center" wrapText="1"/>
    </xf>
    <xf numFmtId="0" fontId="0" fillId="3" borderId="1" xfId="0" applyFont="1" applyFill="1" applyBorder="1" applyAlignment="1">
      <alignment horizontal="left" vertical="center" wrapText="1"/>
    </xf>
    <xf numFmtId="0" fontId="10" fillId="2" borderId="1" xfId="0" applyFont="1" applyFill="1" applyBorder="1" applyAlignment="1">
      <alignment horizontal="left" vertical="center" wrapText="1"/>
    </xf>
    <xf numFmtId="0" fontId="11" fillId="3" borderId="1" xfId="0" applyFont="1" applyFill="1" applyBorder="1" applyAlignment="1">
      <alignment horizontal="left" vertical="center" wrapText="1"/>
    </xf>
    <xf numFmtId="0" fontId="12" fillId="3" borderId="1" xfId="0" applyFont="1" applyFill="1" applyBorder="1" applyAlignment="1">
      <alignment horizontal="left" vertical="center" wrapText="1"/>
    </xf>
    <xf numFmtId="0" fontId="13" fillId="2" borderId="1" xfId="0" applyFont="1" applyFill="1" applyBorder="1" applyAlignment="1">
      <alignment horizontal="left" vertical="center" wrapText="1"/>
    </xf>
    <xf numFmtId="0" fontId="0" fillId="3" borderId="1" xfId="0" applyFont="1" applyFill="1" applyBorder="1" applyAlignment="1">
      <alignment horizontal="left" vertical="center" wrapText="1"/>
    </xf>
    <xf numFmtId="0" fontId="0" fillId="2" borderId="1" xfId="0" applyFont="1" applyFill="1" applyBorder="1" applyAlignment="1">
      <alignment horizontal="left" vertical="center" wrapText="1"/>
    </xf>
    <xf numFmtId="0" fontId="0" fillId="3" borderId="1" xfId="0" applyFont="1" applyFill="1" applyBorder="1" applyAlignment="1">
      <alignment horizontal="left" vertical="center" wrapText="1"/>
    </xf>
    <xf numFmtId="164" fontId="0" fillId="3" borderId="1" xfId="0" applyNumberFormat="1" applyFont="1" applyFill="1" applyBorder="1" applyAlignment="1">
      <alignment horizontal="left" vertical="center" wrapText="1"/>
    </xf>
    <xf numFmtId="165" fontId="0" fillId="2" borderId="1" xfId="0" applyNumberFormat="1" applyFont="1" applyFill="1" applyBorder="1" applyAlignment="1">
      <alignment horizontal="left" vertical="center" wrapText="1"/>
    </xf>
    <xf numFmtId="0" fontId="0" fillId="3" borderId="1" xfId="0" applyFont="1" applyFill="1" applyBorder="1" applyAlignment="1">
      <alignment horizontal="left" vertical="center" wrapText="1"/>
    </xf>
    <xf numFmtId="0" fontId="14" fillId="2" borderId="1" xfId="0" applyFont="1" applyFill="1" applyBorder="1" applyAlignment="1">
      <alignment horizontal="left" vertical="center" wrapText="1"/>
    </xf>
    <xf numFmtId="0" fontId="2" fillId="2" borderId="1" xfId="0" applyFont="1" applyFill="1" applyBorder="1" applyAlignment="1">
      <alignment wrapText="1"/>
    </xf>
    <xf numFmtId="164" fontId="0" fillId="2" borderId="1" xfId="0" applyNumberFormat="1" applyFont="1" applyFill="1" applyBorder="1" applyAlignment="1">
      <alignment horizontal="left" vertical="center" wrapText="1"/>
    </xf>
    <xf numFmtId="0" fontId="0" fillId="2" borderId="1" xfId="0" applyFont="1" applyFill="1" applyBorder="1" applyAlignment="1">
      <alignment horizontal="left" vertical="center" wrapText="1"/>
    </xf>
    <xf numFmtId="0" fontId="0" fillId="2" borderId="1" xfId="0" applyFont="1" applyFill="1" applyBorder="1" applyAlignment="1">
      <alignment horizontal="left" vertical="center" wrapText="1"/>
    </xf>
    <xf numFmtId="0" fontId="0" fillId="5" borderId="1" xfId="0" applyFont="1" applyFill="1" applyBorder="1" applyAlignment="1">
      <alignment horizontal="left" vertical="center" wrapText="1"/>
    </xf>
    <xf numFmtId="0" fontId="0" fillId="4" borderId="1" xfId="0" applyFont="1" applyFill="1" applyBorder="1" applyAlignment="1">
      <alignment horizontal="left" vertical="center" wrapText="1"/>
    </xf>
    <xf numFmtId="0" fontId="16" fillId="3" borderId="1" xfId="0" applyFont="1" applyFill="1" applyBorder="1" applyAlignment="1">
      <alignment horizontal="left" vertical="center" wrapText="1"/>
    </xf>
    <xf numFmtId="0" fontId="0" fillId="0" borderId="1" xfId="0" applyFont="1" applyBorder="1" applyAlignment="1">
      <alignment horizontal="left" vertical="center" wrapText="1"/>
    </xf>
    <xf numFmtId="0" fontId="17" fillId="0" borderId="1" xfId="0" applyFont="1" applyBorder="1" applyAlignment="1">
      <alignment horizontal="left" vertical="center" wrapText="1"/>
    </xf>
    <xf numFmtId="0" fontId="18" fillId="0" borderId="1" xfId="0" applyFont="1" applyBorder="1" applyAlignment="1">
      <alignment horizontal="left" vertical="center" wrapText="1"/>
    </xf>
    <xf numFmtId="0" fontId="0" fillId="0" borderId="1" xfId="0" applyFont="1" applyBorder="1" applyAlignment="1">
      <alignment horizontal="left" vertical="center" wrapText="1"/>
    </xf>
    <xf numFmtId="0" fontId="19" fillId="0" borderId="1" xfId="0" applyFont="1" applyBorder="1" applyAlignment="1">
      <alignment horizontal="left" vertical="center" wrapText="1"/>
    </xf>
    <xf numFmtId="0" fontId="0" fillId="0" borderId="1" xfId="0" applyFont="1" applyBorder="1" applyAlignment="1">
      <alignment horizontal="left" vertical="center" wrapText="1"/>
    </xf>
    <xf numFmtId="0" fontId="20" fillId="0" borderId="1" xfId="0" applyFont="1" applyBorder="1" applyAlignment="1">
      <alignment horizontal="left" vertical="center" wrapText="1"/>
    </xf>
    <xf numFmtId="0" fontId="21" fillId="2" borderId="1" xfId="0" applyFont="1" applyFill="1" applyBorder="1" applyAlignment="1">
      <alignment horizontal="left" vertical="center" wrapText="1"/>
    </xf>
    <xf numFmtId="0" fontId="0" fillId="0" borderId="1" xfId="0" applyFont="1" applyBorder="1" applyAlignment="1">
      <alignment horizontal="left" vertical="center" wrapText="1"/>
    </xf>
    <xf numFmtId="0" fontId="0" fillId="2" borderId="1" xfId="0" applyFont="1" applyFill="1" applyBorder="1" applyAlignment="1">
      <alignment horizontal="left" vertical="center" wrapText="1"/>
    </xf>
    <xf numFmtId="0" fontId="23" fillId="0" borderId="1" xfId="0" applyFont="1" applyBorder="1" applyAlignment="1">
      <alignment horizontal="left" vertical="center" wrapText="1"/>
    </xf>
    <xf numFmtId="0" fontId="24" fillId="0" borderId="1" xfId="0" applyFont="1" applyBorder="1" applyAlignment="1">
      <alignment horizontal="left" vertical="center" wrapText="1"/>
    </xf>
    <xf numFmtId="164" fontId="0" fillId="0" borderId="1" xfId="0" applyNumberFormat="1" applyFont="1" applyBorder="1" applyAlignment="1">
      <alignment horizontal="left" vertical="center" wrapText="1"/>
    </xf>
    <xf numFmtId="0" fontId="21" fillId="3" borderId="1" xfId="0" applyFont="1" applyFill="1" applyBorder="1" applyAlignment="1">
      <alignment horizontal="left" vertical="center" wrapText="1"/>
    </xf>
    <xf numFmtId="0" fontId="25" fillId="3" borderId="1" xfId="0" applyFont="1" applyFill="1" applyBorder="1" applyAlignment="1">
      <alignment horizontal="left" vertical="center" wrapText="1"/>
    </xf>
    <xf numFmtId="0" fontId="26" fillId="2" borderId="1" xfId="0" applyFont="1" applyFill="1" applyBorder="1" applyAlignment="1">
      <alignment horizontal="left" vertical="center" wrapText="1"/>
    </xf>
    <xf numFmtId="0" fontId="1" fillId="2" borderId="1" xfId="0" applyFont="1" applyFill="1" applyBorder="1" applyAlignment="1"/>
    <xf numFmtId="0" fontId="1" fillId="0" borderId="0" xfId="0" applyFont="1" applyAlignment="1">
      <alignment wrapText="1"/>
    </xf>
    <xf numFmtId="0" fontId="1" fillId="0" borderId="0" xfId="0" applyFont="1" applyAlignment="1">
      <alignment horizontal="left"/>
    </xf>
    <xf numFmtId="0" fontId="28" fillId="6" borderId="1" xfId="0" applyFont="1" applyFill="1" applyBorder="1" applyAlignment="1">
      <alignment horizontal="left" vertical="center" wrapText="1"/>
    </xf>
    <xf numFmtId="0" fontId="29" fillId="6" borderId="1" xfId="0" applyFont="1" applyFill="1" applyBorder="1" applyAlignment="1">
      <alignment horizontal="left" vertical="center" wrapText="1"/>
    </xf>
    <xf numFmtId="49" fontId="28" fillId="6" borderId="1" xfId="0" applyNumberFormat="1" applyFont="1" applyFill="1" applyBorder="1" applyAlignment="1">
      <alignment horizontal="left" vertical="center" wrapText="1"/>
    </xf>
    <xf numFmtId="0" fontId="28" fillId="6" borderId="0" xfId="0" applyFont="1" applyFill="1" applyAlignment="1">
      <alignment horizontal="left" vertical="center" wrapText="1"/>
    </xf>
    <xf numFmtId="167" fontId="21" fillId="2" borderId="1" xfId="0" applyNumberFormat="1" applyFont="1" applyFill="1" applyBorder="1" applyAlignment="1">
      <alignment horizontal="left" vertical="center" wrapText="1"/>
    </xf>
    <xf numFmtId="0" fontId="30" fillId="2" borderId="1" xfId="0" applyFont="1" applyFill="1" applyBorder="1" applyAlignment="1">
      <alignment horizontal="left" vertical="center" wrapText="1"/>
    </xf>
    <xf numFmtId="0" fontId="31" fillId="3" borderId="1" xfId="0" applyFont="1" applyFill="1" applyBorder="1" applyAlignment="1">
      <alignment horizontal="left" vertical="center" wrapText="1"/>
    </xf>
    <xf numFmtId="0" fontId="0" fillId="2" borderId="1" xfId="0" applyFont="1" applyFill="1" applyBorder="1" applyAlignment="1">
      <alignment horizontal="left" vertical="center" wrapText="1"/>
    </xf>
    <xf numFmtId="168" fontId="0" fillId="2" borderId="1" xfId="0" applyNumberFormat="1" applyFont="1" applyFill="1" applyBorder="1" applyAlignment="1">
      <alignment horizontal="left" vertical="center" wrapText="1"/>
    </xf>
    <xf numFmtId="169" fontId="0" fillId="3" borderId="1" xfId="0" applyNumberFormat="1" applyFont="1" applyFill="1" applyBorder="1" applyAlignment="1">
      <alignment horizontal="left" vertical="center" wrapText="1"/>
    </xf>
    <xf numFmtId="0" fontId="0" fillId="7" borderId="1" xfId="0" applyFont="1" applyFill="1" applyBorder="1" applyAlignment="1">
      <alignment horizontal="left" vertical="center" wrapText="1"/>
    </xf>
    <xf numFmtId="0" fontId="32" fillId="7" borderId="1" xfId="0" applyFont="1" applyFill="1" applyBorder="1" applyAlignment="1">
      <alignment horizontal="left" vertical="center" wrapText="1"/>
    </xf>
    <xf numFmtId="0" fontId="0" fillId="7" borderId="1" xfId="0" applyFont="1" applyFill="1" applyBorder="1" applyAlignment="1">
      <alignment horizontal="left" vertical="center" wrapText="1"/>
    </xf>
    <xf numFmtId="170" fontId="0" fillId="7" borderId="1" xfId="0" applyNumberFormat="1" applyFont="1" applyFill="1" applyBorder="1" applyAlignment="1">
      <alignment horizontal="left" vertical="center" wrapText="1"/>
    </xf>
    <xf numFmtId="0" fontId="33" fillId="7" borderId="1" xfId="0" applyFont="1" applyFill="1" applyBorder="1" applyAlignment="1">
      <alignment horizontal="left" vertical="center" wrapText="1"/>
    </xf>
    <xf numFmtId="0" fontId="34" fillId="7" borderId="1" xfId="0" applyFont="1" applyFill="1" applyBorder="1" applyAlignment="1">
      <alignment horizontal="left" vertical="center" wrapText="1"/>
    </xf>
    <xf numFmtId="0" fontId="35" fillId="7" borderId="1" xfId="0" applyFont="1" applyFill="1" applyBorder="1" applyAlignment="1">
      <alignment horizontal="left" vertical="center" wrapText="1"/>
    </xf>
    <xf numFmtId="0" fontId="0" fillId="8" borderId="1" xfId="0" applyFont="1" applyFill="1" applyBorder="1" applyAlignment="1">
      <alignment horizontal="left" vertical="center" wrapText="1"/>
    </xf>
    <xf numFmtId="0" fontId="0" fillId="8" borderId="1" xfId="0" applyFont="1" applyFill="1" applyBorder="1" applyAlignment="1">
      <alignment horizontal="left" vertical="center" wrapText="1"/>
    </xf>
    <xf numFmtId="171" fontId="0" fillId="8" borderId="1" xfId="0" applyNumberFormat="1" applyFont="1" applyFill="1" applyBorder="1" applyAlignment="1">
      <alignment horizontal="left" vertical="center" wrapText="1"/>
    </xf>
    <xf numFmtId="167" fontId="0" fillId="8" borderId="1" xfId="0" applyNumberFormat="1" applyFont="1" applyFill="1" applyBorder="1" applyAlignment="1">
      <alignment horizontal="left" vertical="center" wrapText="1"/>
    </xf>
    <xf numFmtId="0" fontId="36" fillId="8" borderId="1" xfId="0" applyFont="1" applyFill="1" applyBorder="1" applyAlignment="1">
      <alignment horizontal="left" vertical="center" wrapText="1"/>
    </xf>
    <xf numFmtId="0" fontId="0" fillId="8" borderId="1" xfId="0" applyFont="1" applyFill="1" applyBorder="1" applyAlignment="1">
      <alignment horizontal="left" vertical="center" wrapText="1"/>
    </xf>
    <xf numFmtId="0" fontId="37" fillId="2" borderId="1" xfId="0" applyFont="1" applyFill="1" applyBorder="1" applyAlignment="1">
      <alignment horizontal="center" wrapText="1"/>
    </xf>
    <xf numFmtId="0" fontId="0" fillId="2" borderId="1" xfId="0" applyFont="1" applyFill="1" applyBorder="1" applyAlignment="1">
      <alignment horizontal="left" vertical="center" wrapText="1"/>
    </xf>
    <xf numFmtId="0" fontId="0" fillId="3" borderId="3" xfId="0" applyFont="1" applyFill="1" applyBorder="1" applyAlignment="1">
      <alignment horizontal="left" vertical="center" wrapText="1"/>
    </xf>
    <xf numFmtId="169" fontId="0" fillId="2" borderId="1" xfId="0" applyNumberFormat="1" applyFont="1" applyFill="1" applyBorder="1" applyAlignment="1">
      <alignment horizontal="left" vertical="center" wrapText="1"/>
    </xf>
    <xf numFmtId="0" fontId="0" fillId="8" borderId="1" xfId="0" applyFont="1" applyFill="1" applyBorder="1" applyAlignment="1">
      <alignment horizontal="left" vertical="center" wrapText="1"/>
    </xf>
    <xf numFmtId="0" fontId="38" fillId="8" borderId="1" xfId="0" applyFont="1" applyFill="1" applyBorder="1" applyAlignment="1">
      <alignment horizontal="left" vertical="center" wrapText="1"/>
    </xf>
    <xf numFmtId="0" fontId="39" fillId="8" borderId="1" xfId="0" applyFont="1" applyFill="1" applyBorder="1" applyAlignment="1">
      <alignment horizontal="left" vertical="center" wrapText="1"/>
    </xf>
    <xf numFmtId="0" fontId="0" fillId="8" borderId="1" xfId="0" applyFont="1" applyFill="1" applyBorder="1" applyAlignment="1">
      <alignment horizontal="left" vertical="center" wrapText="1"/>
    </xf>
    <xf numFmtId="172" fontId="0" fillId="8" borderId="1" xfId="0" applyNumberFormat="1" applyFont="1" applyFill="1" applyBorder="1" applyAlignment="1">
      <alignment horizontal="left" vertical="center" wrapText="1"/>
    </xf>
    <xf numFmtId="0" fontId="0" fillId="8" borderId="1" xfId="0" applyFont="1" applyFill="1" applyBorder="1" applyAlignment="1">
      <alignment horizontal="left" vertical="center" wrapText="1"/>
    </xf>
    <xf numFmtId="0" fontId="40" fillId="8" borderId="1" xfId="0" applyFont="1" applyFill="1" applyBorder="1" applyAlignment="1">
      <alignment horizontal="left" vertical="center" wrapText="1"/>
    </xf>
    <xf numFmtId="0" fontId="41" fillId="8" borderId="1" xfId="0" applyFont="1" applyFill="1" applyBorder="1" applyAlignment="1">
      <alignment horizontal="left" vertical="center" wrapText="1"/>
    </xf>
    <xf numFmtId="0" fontId="42" fillId="2" borderId="0" xfId="0" applyFont="1" applyFill="1" applyAlignment="1">
      <alignment wrapText="1"/>
    </xf>
    <xf numFmtId="0" fontId="4" fillId="3" borderId="0" xfId="0" applyFont="1" applyFill="1" applyAlignment="1">
      <alignment wrapText="1"/>
    </xf>
    <xf numFmtId="0" fontId="43" fillId="2" borderId="0" xfId="0" applyFont="1" applyFill="1" applyAlignment="1"/>
    <xf numFmtId="0" fontId="4" fillId="2" borderId="0" xfId="0" applyFont="1" applyFill="1" applyAlignment="1">
      <alignment wrapText="1"/>
    </xf>
    <xf numFmtId="0" fontId="44" fillId="3" borderId="1" xfId="0" applyFont="1" applyFill="1" applyBorder="1" applyAlignment="1">
      <alignment horizontal="left"/>
    </xf>
    <xf numFmtId="173" fontId="0" fillId="2" borderId="1" xfId="0" applyNumberFormat="1" applyFont="1" applyFill="1" applyBorder="1" applyAlignment="1">
      <alignment horizontal="left" vertical="center" wrapText="1"/>
    </xf>
    <xf numFmtId="0" fontId="45" fillId="2" borderId="1" xfId="0" applyFont="1" applyFill="1" applyBorder="1" applyAlignment="1">
      <alignment horizontal="left" vertical="center" wrapText="1"/>
    </xf>
    <xf numFmtId="0" fontId="46" fillId="2" borderId="1" xfId="0" applyFont="1" applyFill="1" applyBorder="1" applyAlignment="1">
      <alignment horizontal="left"/>
    </xf>
    <xf numFmtId="0" fontId="0" fillId="3" borderId="1" xfId="0" applyFont="1" applyFill="1" applyBorder="1" applyAlignment="1">
      <alignment horizontal="left" vertical="center" wrapText="1"/>
    </xf>
    <xf numFmtId="16" fontId="0" fillId="2" borderId="1" xfId="0" applyNumberFormat="1" applyFont="1" applyFill="1" applyBorder="1" applyAlignment="1">
      <alignment horizontal="left" vertical="center" wrapText="1"/>
    </xf>
    <xf numFmtId="16" fontId="0" fillId="8" borderId="1" xfId="0" applyNumberFormat="1" applyFont="1" applyFill="1" applyBorder="1" applyAlignment="1">
      <alignment horizontal="left" vertical="center" wrapText="1"/>
    </xf>
    <xf numFmtId="0" fontId="0" fillId="8" borderId="1" xfId="0" applyFont="1" applyFill="1" applyBorder="1" applyAlignment="1">
      <alignment horizontal="left" vertical="center" wrapText="1"/>
    </xf>
    <xf numFmtId="174" fontId="0" fillId="2" borderId="1" xfId="0" applyNumberFormat="1" applyFont="1" applyFill="1" applyBorder="1" applyAlignment="1">
      <alignment horizontal="left" vertical="center" wrapText="1"/>
    </xf>
    <xf numFmtId="0" fontId="4" fillId="2" borderId="1" xfId="0" applyFont="1" applyFill="1" applyBorder="1" applyAlignment="1">
      <alignment horizontal="left"/>
    </xf>
    <xf numFmtId="164" fontId="21" fillId="2" borderId="1" xfId="0" applyNumberFormat="1" applyFont="1" applyFill="1" applyBorder="1" applyAlignment="1">
      <alignment horizontal="left" vertical="center" wrapText="1"/>
    </xf>
    <xf numFmtId="171" fontId="0" fillId="2" borderId="1" xfId="0" applyNumberFormat="1" applyFont="1" applyFill="1" applyBorder="1" applyAlignment="1">
      <alignment horizontal="left" vertical="center" wrapText="1"/>
    </xf>
    <xf numFmtId="171" fontId="0" fillId="3" borderId="1" xfId="0" applyNumberFormat="1" applyFont="1" applyFill="1" applyBorder="1" applyAlignment="1">
      <alignment horizontal="left" vertical="center" wrapText="1"/>
    </xf>
    <xf numFmtId="175" fontId="0" fillId="3" borderId="1" xfId="0" applyNumberFormat="1" applyFont="1" applyFill="1" applyBorder="1" applyAlignment="1">
      <alignment horizontal="left" vertical="center" wrapText="1"/>
    </xf>
    <xf numFmtId="167" fontId="0" fillId="2" borderId="1" xfId="0" applyNumberFormat="1" applyFont="1" applyFill="1" applyBorder="1" applyAlignment="1">
      <alignment horizontal="left" vertical="center" wrapText="1"/>
    </xf>
    <xf numFmtId="0" fontId="0" fillId="7" borderId="1" xfId="0" applyFont="1" applyFill="1" applyBorder="1" applyAlignment="1">
      <alignment horizontal="left" vertical="center" wrapText="1"/>
    </xf>
    <xf numFmtId="167" fontId="0" fillId="3" borderId="1" xfId="0" applyNumberFormat="1" applyFont="1" applyFill="1" applyBorder="1" applyAlignment="1">
      <alignment horizontal="left" vertical="center" wrapText="1"/>
    </xf>
    <xf numFmtId="173" fontId="0" fillId="5" borderId="1" xfId="0" applyNumberFormat="1" applyFont="1" applyFill="1" applyBorder="1" applyAlignment="1">
      <alignment horizontal="left" vertical="center" wrapText="1"/>
    </xf>
    <xf numFmtId="0" fontId="47" fillId="5" borderId="1" xfId="0" applyFont="1" applyFill="1" applyBorder="1" applyAlignment="1">
      <alignment horizontal="left" vertical="center" wrapText="1"/>
    </xf>
    <xf numFmtId="0" fontId="48" fillId="5" borderId="1" xfId="0" applyFont="1" applyFill="1" applyBorder="1" applyAlignment="1">
      <alignment horizontal="left" vertical="center" wrapText="1"/>
    </xf>
    <xf numFmtId="0" fontId="0" fillId="5" borderId="1" xfId="0" applyFont="1" applyFill="1" applyBorder="1" applyAlignment="1">
      <alignment horizontal="left" vertical="center" wrapText="1"/>
    </xf>
    <xf numFmtId="0" fontId="49" fillId="5" borderId="1" xfId="0" applyFont="1" applyFill="1" applyBorder="1" applyAlignment="1">
      <alignment horizontal="left" vertical="center" wrapText="1"/>
    </xf>
    <xf numFmtId="166" fontId="0" fillId="3" borderId="1" xfId="0" applyNumberFormat="1" applyFont="1" applyFill="1" applyBorder="1" applyAlignment="1">
      <alignment horizontal="left" vertical="center" wrapText="1"/>
    </xf>
    <xf numFmtId="0" fontId="21" fillId="8" borderId="1" xfId="0" applyFont="1" applyFill="1" applyBorder="1" applyAlignment="1">
      <alignment horizontal="left" vertical="center" wrapText="1"/>
    </xf>
    <xf numFmtId="0" fontId="0" fillId="2" borderId="1" xfId="0" applyFont="1" applyFill="1" applyBorder="1" applyAlignment="1">
      <alignment horizontal="left" vertical="center" wrapText="1"/>
    </xf>
    <xf numFmtId="0" fontId="0" fillId="2" borderId="1" xfId="0" applyFont="1" applyFill="1" applyBorder="1" applyAlignment="1">
      <alignment horizontal="left" vertical="center" wrapText="1"/>
    </xf>
    <xf numFmtId="176" fontId="50" fillId="3" borderId="1" xfId="0" applyNumberFormat="1" applyFont="1" applyFill="1" applyBorder="1" applyAlignment="1">
      <alignment horizontal="left"/>
    </xf>
    <xf numFmtId="0" fontId="0" fillId="9" borderId="1" xfId="0" applyFont="1" applyFill="1" applyBorder="1" applyAlignment="1">
      <alignment horizontal="left" vertical="center" wrapText="1"/>
    </xf>
    <xf numFmtId="0" fontId="0" fillId="9" borderId="1" xfId="0" applyFont="1" applyFill="1" applyBorder="1" applyAlignment="1">
      <alignment horizontal="left" vertical="center" wrapText="1"/>
    </xf>
    <xf numFmtId="167" fontId="0" fillId="9" borderId="1" xfId="0" applyNumberFormat="1" applyFont="1" applyFill="1" applyBorder="1" applyAlignment="1">
      <alignment horizontal="left" vertical="center" wrapText="1"/>
    </xf>
    <xf numFmtId="0" fontId="51" fillId="9" borderId="1" xfId="0" applyFont="1" applyFill="1" applyBorder="1" applyAlignment="1">
      <alignment horizontal="left" vertical="center" wrapText="1"/>
    </xf>
    <xf numFmtId="0" fontId="52" fillId="9" borderId="1" xfId="0" applyFont="1" applyFill="1" applyBorder="1" applyAlignment="1">
      <alignment horizontal="left" vertical="center" wrapText="1"/>
    </xf>
    <xf numFmtId="0" fontId="0" fillId="9" borderId="1" xfId="0" applyFont="1" applyFill="1" applyBorder="1" applyAlignment="1">
      <alignment horizontal="left" vertical="center" wrapText="1"/>
    </xf>
    <xf numFmtId="0" fontId="53" fillId="9" borderId="1" xfId="0" applyFont="1" applyFill="1" applyBorder="1" applyAlignment="1">
      <alignment horizontal="left" vertical="center" wrapText="1"/>
    </xf>
    <xf numFmtId="0" fontId="0" fillId="9" borderId="1" xfId="0" applyFont="1" applyFill="1" applyBorder="1" applyAlignment="1">
      <alignment horizontal="left" vertical="center" wrapText="1"/>
    </xf>
    <xf numFmtId="0" fontId="4" fillId="3" borderId="1" xfId="0" applyFont="1" applyFill="1" applyBorder="1" applyAlignment="1">
      <alignment horizontal="left"/>
    </xf>
    <xf numFmtId="177" fontId="0" fillId="7" borderId="1" xfId="0" applyNumberFormat="1" applyFont="1" applyFill="1" applyBorder="1" applyAlignment="1">
      <alignment horizontal="left" vertical="center" wrapText="1"/>
    </xf>
    <xf numFmtId="0" fontId="21" fillId="7" borderId="1" xfId="0" applyFont="1" applyFill="1" applyBorder="1" applyAlignment="1">
      <alignment horizontal="left" vertical="center" wrapText="1"/>
    </xf>
    <xf numFmtId="173" fontId="0" fillId="3" borderId="1" xfId="0" applyNumberFormat="1" applyFont="1" applyFill="1" applyBorder="1" applyAlignment="1">
      <alignment horizontal="left" vertical="center" wrapText="1"/>
    </xf>
    <xf numFmtId="0" fontId="54" fillId="3" borderId="1" xfId="0" applyFont="1" applyFill="1" applyBorder="1" applyAlignment="1">
      <alignment horizontal="left" vertical="center" wrapText="1"/>
    </xf>
    <xf numFmtId="0" fontId="0" fillId="10" borderId="1" xfId="0" applyFont="1" applyFill="1" applyBorder="1" applyAlignment="1">
      <alignment horizontal="left" vertical="center" wrapText="1"/>
    </xf>
    <xf numFmtId="0" fontId="55" fillId="10" borderId="1" xfId="0" applyFont="1" applyFill="1" applyBorder="1" applyAlignment="1">
      <alignment horizontal="left" vertical="center" wrapText="1"/>
    </xf>
    <xf numFmtId="178" fontId="0" fillId="2" borderId="1" xfId="0" applyNumberFormat="1" applyFont="1" applyFill="1" applyBorder="1" applyAlignment="1">
      <alignment horizontal="left" vertical="center" wrapText="1"/>
    </xf>
    <xf numFmtId="171" fontId="0" fillId="7" borderId="1" xfId="0" applyNumberFormat="1" applyFont="1" applyFill="1" applyBorder="1" applyAlignment="1">
      <alignment horizontal="left" vertical="center" wrapText="1"/>
    </xf>
    <xf numFmtId="164" fontId="3" fillId="2" borderId="1" xfId="0" applyNumberFormat="1" applyFont="1" applyFill="1" applyBorder="1" applyAlignment="1">
      <alignment wrapText="1"/>
    </xf>
    <xf numFmtId="0" fontId="2" fillId="2" borderId="1" xfId="0" applyFont="1" applyFill="1" applyBorder="1" applyAlignment="1">
      <alignment wrapText="1"/>
    </xf>
    <xf numFmtId="0" fontId="56" fillId="2" borderId="1" xfId="0" applyFont="1" applyFill="1" applyBorder="1" applyAlignment="1">
      <alignment wrapText="1"/>
    </xf>
    <xf numFmtId="0" fontId="57" fillId="7" borderId="1" xfId="0" applyFont="1" applyFill="1" applyBorder="1" applyAlignment="1">
      <alignment horizontal="left" vertical="center" wrapText="1"/>
    </xf>
    <xf numFmtId="0" fontId="58" fillId="7" borderId="1" xfId="0" applyFont="1" applyFill="1" applyBorder="1" applyAlignment="1">
      <alignment horizontal="left" vertical="center" wrapText="1"/>
    </xf>
    <xf numFmtId="0" fontId="59" fillId="10" borderId="1" xfId="0" applyFont="1" applyFill="1" applyBorder="1" applyAlignment="1">
      <alignment horizontal="left" vertical="center" wrapText="1"/>
    </xf>
    <xf numFmtId="171" fontId="0" fillId="2" borderId="1" xfId="0" applyNumberFormat="1" applyFont="1" applyFill="1" applyBorder="1" applyAlignment="1">
      <alignment horizontal="left" vertical="center" wrapText="1"/>
    </xf>
    <xf numFmtId="0" fontId="60" fillId="2" borderId="1" xfId="0" applyFont="1" applyFill="1" applyBorder="1" applyAlignment="1">
      <alignment horizontal="left" vertical="center" wrapText="1"/>
    </xf>
    <xf numFmtId="0" fontId="61" fillId="7" borderId="1" xfId="0" applyFont="1" applyFill="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horizontal="center"/>
    </xf>
    <xf numFmtId="171" fontId="1" fillId="0" borderId="1" xfId="0" applyNumberFormat="1" applyFont="1" applyBorder="1" applyAlignment="1">
      <alignment horizontal="center"/>
    </xf>
    <xf numFmtId="0" fontId="62" fillId="0" borderId="1" xfId="0" applyFont="1" applyBorder="1" applyAlignment="1"/>
    <xf numFmtId="0" fontId="63" fillId="0" borderId="1" xfId="0" applyFont="1" applyBorder="1" applyAlignment="1"/>
    <xf numFmtId="0" fontId="64" fillId="0" borderId="1" xfId="0" applyFont="1" applyBorder="1" applyAlignment="1">
      <alignment wrapText="1"/>
    </xf>
    <xf numFmtId="0" fontId="1" fillId="0" borderId="1" xfId="0" applyFont="1" applyBorder="1" applyAlignment="1">
      <alignment horizontal="center" wrapText="1"/>
    </xf>
    <xf numFmtId="0" fontId="1" fillId="2" borderId="1" xfId="0" applyFont="1" applyFill="1" applyBorder="1" applyAlignment="1">
      <alignment vertical="center" wrapText="1"/>
    </xf>
    <xf numFmtId="0" fontId="1" fillId="0" borderId="0" xfId="0" applyFont="1" applyAlignment="1">
      <alignment wrapText="1"/>
    </xf>
    <xf numFmtId="0" fontId="0" fillId="2" borderId="0" xfId="0" applyFont="1" applyFill="1" applyAlignment="1">
      <alignment horizontal="left" vertical="center" wrapText="1"/>
    </xf>
    <xf numFmtId="0" fontId="0" fillId="2" borderId="0" xfId="0" applyFont="1" applyFill="1" applyAlignment="1">
      <alignment horizontal="left" vertical="center" wrapText="1"/>
    </xf>
    <xf numFmtId="0" fontId="21" fillId="2" borderId="0" xfId="0" applyFont="1" applyFill="1" applyAlignment="1">
      <alignment horizontal="left" vertical="center" wrapText="1"/>
    </xf>
    <xf numFmtId="0" fontId="65" fillId="0" borderId="0" xfId="0" applyFont="1" applyAlignment="1"/>
    <xf numFmtId="0" fontId="0" fillId="2" borderId="0" xfId="0" applyFont="1" applyFill="1" applyAlignment="1">
      <alignment horizontal="left" vertical="center" wrapText="1"/>
    </xf>
    <xf numFmtId="0" fontId="66" fillId="2" borderId="0" xfId="0" applyFont="1" applyFill="1" applyAlignment="1">
      <alignment horizontal="left" vertical="center" wrapText="1"/>
    </xf>
    <xf numFmtId="0" fontId="67" fillId="2" borderId="0" xfId="0" applyFont="1" applyFill="1" applyAlignment="1">
      <alignment horizontal="left" vertical="center" wrapText="1"/>
    </xf>
    <xf numFmtId="0" fontId="68" fillId="11" borderId="0" xfId="0" applyFont="1" applyFill="1" applyAlignment="1"/>
    <xf numFmtId="0" fontId="69" fillId="2" borderId="0" xfId="0" applyFont="1" applyFill="1" applyAlignment="1"/>
    <xf numFmtId="0" fontId="70" fillId="2" borderId="0" xfId="0" applyFont="1" applyFill="1" applyAlignment="1"/>
    <xf numFmtId="0" fontId="71" fillId="2" borderId="0" xfId="0" applyFont="1" applyFill="1" applyAlignment="1"/>
    <xf numFmtId="0" fontId="70" fillId="2" borderId="0" xfId="0" applyFont="1" applyFill="1" applyAlignment="1"/>
    <xf numFmtId="0" fontId="72" fillId="2" borderId="0" xfId="0" applyFont="1" applyFill="1" applyAlignment="1">
      <alignment wrapText="1"/>
    </xf>
    <xf numFmtId="0" fontId="73" fillId="0" borderId="1" xfId="0" applyFont="1" applyBorder="1" applyAlignment="1">
      <alignment horizontal="left" vertical="center" wrapText="1"/>
    </xf>
    <xf numFmtId="0" fontId="73" fillId="0" borderId="1" xfId="0" applyFont="1" applyBorder="1" applyAlignment="1">
      <alignment horizontal="left" vertical="center" wrapText="1"/>
    </xf>
    <xf numFmtId="0" fontId="73" fillId="0" borderId="0" xfId="0" applyFont="1" applyAlignment="1">
      <alignment horizontal="left" vertical="center" wrapText="1"/>
    </xf>
    <xf numFmtId="0" fontId="1" fillId="0" borderId="0" xfId="0" applyFont="1" applyAlignment="1">
      <alignment wrapText="1"/>
    </xf>
    <xf numFmtId="0" fontId="74" fillId="2" borderId="0" xfId="0" applyFont="1" applyFill="1" applyAlignment="1">
      <alignment horizontal="left"/>
    </xf>
    <xf numFmtId="0" fontId="75" fillId="2" borderId="0" xfId="0" applyFont="1" applyFill="1" applyAlignment="1">
      <alignment horizontal="left"/>
    </xf>
    <xf numFmtId="171" fontId="0" fillId="0" borderId="1" xfId="0" applyNumberFormat="1" applyFont="1" applyBorder="1" applyAlignment="1">
      <alignment horizontal="left" vertical="center" wrapText="1"/>
    </xf>
    <xf numFmtId="173" fontId="0" fillId="0" borderId="1" xfId="0" applyNumberFormat="1" applyFont="1" applyBorder="1" applyAlignment="1">
      <alignment horizontal="left" vertical="center" wrapText="1"/>
    </xf>
    <xf numFmtId="0" fontId="0" fillId="0" borderId="1" xfId="0" applyFont="1" applyBorder="1" applyAlignment="1">
      <alignment horizontal="left" vertical="center" wrapText="1"/>
    </xf>
    <xf numFmtId="0" fontId="76" fillId="0" borderId="1" xfId="0" applyFont="1" applyBorder="1" applyAlignment="1">
      <alignment horizontal="left" vertical="center" wrapText="1"/>
    </xf>
    <xf numFmtId="0" fontId="77" fillId="0" borderId="1" xfId="0" applyFont="1" applyBorder="1" applyAlignment="1">
      <alignment horizontal="left" vertical="center" wrapText="1"/>
    </xf>
    <xf numFmtId="0" fontId="78" fillId="0" borderId="1" xfId="0" applyFont="1" applyBorder="1" applyAlignment="1">
      <alignment horizontal="left" vertical="center" wrapText="1"/>
    </xf>
    <xf numFmtId="171" fontId="0" fillId="0" borderId="1" xfId="0" applyNumberFormat="1" applyFont="1" applyBorder="1" applyAlignment="1">
      <alignment horizontal="left" vertical="center" wrapText="1"/>
    </xf>
    <xf numFmtId="0" fontId="0" fillId="0" borderId="1" xfId="0" applyFont="1" applyBorder="1" applyAlignment="1">
      <alignment horizontal="left" vertical="center" wrapText="1"/>
    </xf>
    <xf numFmtId="0" fontId="79" fillId="0" borderId="0" xfId="0" applyFont="1" applyAlignment="1"/>
    <xf numFmtId="0" fontId="0" fillId="0" borderId="1" xfId="0" applyFont="1" applyBorder="1" applyAlignment="1">
      <alignment horizontal="left" vertical="center" wrapText="1"/>
    </xf>
    <xf numFmtId="0" fontId="80" fillId="0" borderId="1" xfId="0" applyFont="1" applyBorder="1" applyAlignment="1">
      <alignment horizontal="left" vertical="center" wrapText="1"/>
    </xf>
    <xf numFmtId="0" fontId="0" fillId="0" borderId="0" xfId="0" applyFont="1" applyAlignment="1">
      <alignment horizontal="left" vertical="center" wrapText="1"/>
    </xf>
    <xf numFmtId="171" fontId="0" fillId="0" borderId="0" xfId="0" applyNumberFormat="1" applyFont="1" applyAlignment="1">
      <alignment horizontal="left" vertical="center" wrapText="1"/>
    </xf>
    <xf numFmtId="167" fontId="0" fillId="2" borderId="0" xfId="0" applyNumberFormat="1" applyFont="1" applyFill="1" applyAlignment="1">
      <alignment horizontal="left" vertical="center" wrapText="1"/>
    </xf>
    <xf numFmtId="0" fontId="0" fillId="0" borderId="0" xfId="0" applyFont="1" applyAlignment="1">
      <alignment horizontal="left" vertical="center" wrapText="1"/>
    </xf>
    <xf numFmtId="0" fontId="81" fillId="2" borderId="0" xfId="0" applyFont="1" applyFill="1" applyAlignment="1">
      <alignment horizontal="center"/>
    </xf>
    <xf numFmtId="0" fontId="82" fillId="2" borderId="0" xfId="0" applyFont="1" applyFill="1" applyAlignment="1"/>
    <xf numFmtId="0" fontId="83" fillId="0" borderId="0" xfId="0" applyFont="1" applyAlignment="1">
      <alignment horizontal="left" vertical="center" wrapText="1"/>
    </xf>
    <xf numFmtId="0" fontId="84" fillId="0" borderId="0" xfId="0" applyFont="1" applyAlignment="1">
      <alignment horizontal="left" vertical="center" wrapText="1"/>
    </xf>
    <xf numFmtId="0" fontId="0" fillId="0" borderId="0" xfId="0" applyFont="1" applyAlignment="1">
      <alignment horizontal="left" vertical="center" wrapText="1"/>
    </xf>
    <xf numFmtId="0" fontId="1" fillId="0" borderId="0" xfId="0" applyFont="1" applyAlignment="1">
      <alignment horizontal="center"/>
    </xf>
    <xf numFmtId="0" fontId="1" fillId="0" borderId="0" xfId="0" applyFont="1" applyAlignment="1">
      <alignment horizontal="left" wrapText="1"/>
    </xf>
    <xf numFmtId="0" fontId="28" fillId="0" borderId="1" xfId="0" applyFont="1" applyBorder="1" applyAlignment="1">
      <alignment horizontal="left" vertical="center" wrapText="1"/>
    </xf>
    <xf numFmtId="0" fontId="28" fillId="0" borderId="1" xfId="0" applyFont="1" applyBorder="1" applyAlignment="1">
      <alignment horizontal="left" vertical="center" wrapText="1"/>
    </xf>
    <xf numFmtId="0" fontId="28" fillId="6" borderId="1" xfId="0" applyFont="1" applyFill="1" applyBorder="1" applyAlignment="1">
      <alignment horizontal="left" vertical="center" wrapText="1"/>
    </xf>
    <xf numFmtId="14" fontId="28" fillId="6" borderId="1" xfId="0" applyNumberFormat="1" applyFont="1" applyFill="1" applyBorder="1" applyAlignment="1">
      <alignment horizontal="left" vertical="center" wrapText="1"/>
    </xf>
    <xf numFmtId="0" fontId="28" fillId="6" borderId="1" xfId="0" applyFont="1" applyFill="1" applyBorder="1" applyAlignment="1">
      <alignment horizontal="left" vertical="center" wrapText="1"/>
    </xf>
    <xf numFmtId="0" fontId="73" fillId="2" borderId="1" xfId="0" applyFont="1" applyFill="1" applyBorder="1" applyAlignment="1">
      <alignment horizontal="left" vertical="center" wrapText="1"/>
    </xf>
    <xf numFmtId="0" fontId="73" fillId="2" borderId="1" xfId="0" applyFont="1" applyFill="1" applyBorder="1" applyAlignment="1">
      <alignment horizontal="left" vertical="center" wrapText="1"/>
    </xf>
    <xf numFmtId="0" fontId="73" fillId="2" borderId="1" xfId="0" applyFont="1" applyFill="1" applyBorder="1" applyAlignment="1">
      <alignment horizontal="left" vertical="center" wrapText="1"/>
    </xf>
    <xf numFmtId="173" fontId="0" fillId="0" borderId="1" xfId="0" applyNumberFormat="1" applyFont="1" applyBorder="1" applyAlignment="1">
      <alignment horizontal="left" vertical="center" wrapText="1"/>
    </xf>
    <xf numFmtId="0" fontId="85" fillId="0" borderId="1" xfId="0" applyFont="1" applyBorder="1" applyAlignment="1">
      <alignment vertical="center" wrapText="1"/>
    </xf>
    <xf numFmtId="0" fontId="85" fillId="0" borderId="1" xfId="0" applyFont="1" applyBorder="1" applyAlignment="1">
      <alignment vertical="center" wrapText="1"/>
    </xf>
    <xf numFmtId="0" fontId="85" fillId="0" borderId="1" xfId="0" applyFont="1" applyBorder="1" applyAlignment="1">
      <alignment vertical="center"/>
    </xf>
    <xf numFmtId="0" fontId="85" fillId="0" borderId="1" xfId="0" applyFont="1" applyBorder="1" applyAlignment="1">
      <alignment vertical="center"/>
    </xf>
    <xf numFmtId="0" fontId="86" fillId="0" borderId="1" xfId="0" applyFont="1" applyBorder="1" applyAlignment="1">
      <alignment vertical="center" wrapText="1"/>
    </xf>
    <xf numFmtId="0" fontId="87" fillId="0" borderId="1" xfId="0" applyFont="1" applyBorder="1" applyAlignment="1">
      <alignment vertical="center" wrapText="1"/>
    </xf>
    <xf numFmtId="0" fontId="85" fillId="0" borderId="1" xfId="0" applyFont="1" applyBorder="1" applyAlignment="1">
      <alignment horizontal="left" vertical="center"/>
    </xf>
    <xf numFmtId="0" fontId="85" fillId="0" borderId="1" xfId="0" applyFont="1" applyBorder="1" applyAlignment="1">
      <alignment vertical="center"/>
    </xf>
    <xf numFmtId="0" fontId="4" fillId="0" borderId="1" xfId="0" applyFont="1" applyBorder="1" applyAlignment="1"/>
    <xf numFmtId="0" fontId="4" fillId="0" borderId="1" xfId="0" applyFont="1" applyBorder="1" applyAlignment="1">
      <alignment horizontal="center"/>
    </xf>
    <xf numFmtId="0" fontId="4" fillId="0" borderId="1" xfId="0" applyFont="1" applyBorder="1" applyAlignment="1">
      <alignment horizontal="center"/>
    </xf>
    <xf numFmtId="0" fontId="2" fillId="0" borderId="1" xfId="0" applyFont="1" applyBorder="1" applyAlignment="1">
      <alignment wrapText="1"/>
    </xf>
    <xf numFmtId="0" fontId="88" fillId="0" borderId="1" xfId="0" applyFont="1" applyBorder="1" applyAlignment="1">
      <alignment vertical="center" wrapText="1"/>
    </xf>
    <xf numFmtId="0" fontId="89" fillId="0" borderId="1" xfId="0" applyFont="1" applyBorder="1" applyAlignment="1">
      <alignment horizontal="left" vertical="center"/>
    </xf>
    <xf numFmtId="0" fontId="90" fillId="0" borderId="1" xfId="0" applyFont="1" applyBorder="1" applyAlignment="1">
      <alignment vertical="center"/>
    </xf>
    <xf numFmtId="0" fontId="91" fillId="2" borderId="1" xfId="0" applyFont="1" applyFill="1" applyBorder="1" applyAlignment="1">
      <alignment horizontal="left" vertical="center" wrapText="1"/>
    </xf>
    <xf numFmtId="0" fontId="91" fillId="2" borderId="1" xfId="0" applyFont="1" applyFill="1" applyBorder="1" applyAlignment="1">
      <alignment horizontal="left" vertical="center" wrapText="1"/>
    </xf>
    <xf numFmtId="0" fontId="91" fillId="5" borderId="1" xfId="0" applyFont="1" applyFill="1" applyBorder="1" applyAlignment="1">
      <alignment horizontal="left" vertical="center" wrapText="1"/>
    </xf>
    <xf numFmtId="0" fontId="92" fillId="2" borderId="1" xfId="0" applyFont="1" applyFill="1" applyBorder="1" applyAlignment="1">
      <alignment horizontal="left" vertical="center" wrapText="1"/>
    </xf>
    <xf numFmtId="0" fontId="0" fillId="12" borderId="1" xfId="0" applyFont="1" applyFill="1" applyBorder="1" applyAlignment="1">
      <alignment horizontal="left" vertical="center" wrapText="1"/>
    </xf>
    <xf numFmtId="0" fontId="93" fillId="12" borderId="1" xfId="0" applyFont="1" applyFill="1" applyBorder="1" applyAlignment="1">
      <alignment horizontal="left" vertical="center" wrapText="1"/>
    </xf>
    <xf numFmtId="0" fontId="94" fillId="12" borderId="1" xfId="0" applyFont="1" applyFill="1" applyBorder="1" applyAlignment="1">
      <alignment horizontal="left" vertical="center" wrapText="1"/>
    </xf>
    <xf numFmtId="0" fontId="0" fillId="12" borderId="1" xfId="0" applyFont="1" applyFill="1" applyBorder="1" applyAlignment="1">
      <alignment horizontal="left" vertical="center" wrapText="1"/>
    </xf>
    <xf numFmtId="0" fontId="0" fillId="0" borderId="1" xfId="0" applyFont="1" applyBorder="1" applyAlignment="1">
      <alignment horizontal="left" vertical="center" wrapText="1"/>
    </xf>
    <xf numFmtId="171" fontId="0" fillId="0" borderId="1" xfId="0" applyNumberFormat="1" applyFont="1" applyBorder="1" applyAlignment="1">
      <alignment horizontal="left" vertical="center" wrapText="1"/>
    </xf>
    <xf numFmtId="174" fontId="0" fillId="0" borderId="1" xfId="0" applyNumberFormat="1" applyFont="1" applyBorder="1" applyAlignment="1">
      <alignment horizontal="left" vertical="center" wrapText="1"/>
    </xf>
    <xf numFmtId="0" fontId="0" fillId="0" borderId="1" xfId="0" applyFont="1" applyBorder="1" applyAlignment="1">
      <alignment horizontal="left" vertical="center" wrapText="1"/>
    </xf>
    <xf numFmtId="0" fontId="0" fillId="0" borderId="1" xfId="0" applyFont="1" applyBorder="1" applyAlignment="1">
      <alignment horizontal="left" vertical="center" wrapText="1"/>
    </xf>
    <xf numFmtId="0" fontId="0" fillId="0" borderId="1" xfId="0" applyFont="1" applyBorder="1" applyAlignment="1">
      <alignment horizontal="left" vertical="center" wrapText="1"/>
    </xf>
    <xf numFmtId="171" fontId="0" fillId="12" borderId="1" xfId="0" applyNumberFormat="1" applyFont="1" applyFill="1" applyBorder="1" applyAlignment="1">
      <alignment horizontal="left" vertical="center" wrapText="1"/>
    </xf>
    <xf numFmtId="0" fontId="95" fillId="12" borderId="1" xfId="0" applyFont="1" applyFill="1" applyBorder="1" applyAlignment="1">
      <alignment horizontal="left" vertical="center" wrapText="1"/>
    </xf>
    <xf numFmtId="0" fontId="0" fillId="12" borderId="1" xfId="0" applyFont="1" applyFill="1" applyBorder="1" applyAlignment="1">
      <alignment horizontal="left" vertical="center" wrapText="1"/>
    </xf>
    <xf numFmtId="179" fontId="0" fillId="2" borderId="1" xfId="0" applyNumberFormat="1" applyFont="1" applyFill="1" applyBorder="1" applyAlignment="1">
      <alignment horizontal="left" vertical="center" wrapText="1"/>
    </xf>
    <xf numFmtId="167" fontId="0" fillId="0" borderId="1" xfId="0" applyNumberFormat="1" applyFont="1" applyBorder="1" applyAlignment="1">
      <alignment horizontal="left" vertical="center" wrapText="1"/>
    </xf>
    <xf numFmtId="0" fontId="96" fillId="12" borderId="1" xfId="0" applyFont="1" applyFill="1" applyBorder="1" applyAlignment="1">
      <alignment horizontal="left" vertical="center" wrapText="1"/>
    </xf>
    <xf numFmtId="0" fontId="97" fillId="0" borderId="1" xfId="0" applyFont="1" applyBorder="1" applyAlignment="1">
      <alignment horizontal="left" vertical="center" wrapText="1"/>
    </xf>
    <xf numFmtId="0" fontId="98" fillId="0" borderId="1" xfId="0" applyFont="1" applyBorder="1" applyAlignment="1">
      <alignment horizontal="left" vertical="center" wrapText="1"/>
    </xf>
    <xf numFmtId="0" fontId="99" fillId="0" borderId="1" xfId="0" applyFont="1" applyBorder="1" applyAlignment="1">
      <alignment horizontal="left" vertical="center" wrapText="1"/>
    </xf>
    <xf numFmtId="0" fontId="100" fillId="0" borderId="1" xfId="0" applyFont="1" applyBorder="1" applyAlignment="1">
      <alignment horizontal="left" vertical="center" wrapText="1"/>
    </xf>
    <xf numFmtId="0" fontId="73" fillId="0" borderId="1" xfId="0" applyFont="1" applyBorder="1" applyAlignment="1">
      <alignment horizontal="left" vertical="center" wrapText="1"/>
    </xf>
    <xf numFmtId="0" fontId="73" fillId="0" borderId="1" xfId="0" applyFont="1" applyBorder="1" applyAlignment="1">
      <alignment horizontal="left" vertical="center" wrapText="1"/>
    </xf>
    <xf numFmtId="171" fontId="73" fillId="0" borderId="1" xfId="0" applyNumberFormat="1" applyFont="1" applyBorder="1" applyAlignment="1">
      <alignment horizontal="left" vertical="center" wrapText="1"/>
    </xf>
    <xf numFmtId="0" fontId="73" fillId="0" borderId="1" xfId="0" applyFont="1" applyBorder="1" applyAlignment="1">
      <alignment horizontal="left" vertical="center" wrapText="1"/>
    </xf>
    <xf numFmtId="0" fontId="101" fillId="2" borderId="1" xfId="0" applyFont="1" applyFill="1" applyBorder="1" applyAlignment="1">
      <alignment horizontal="left" vertical="center" wrapText="1"/>
    </xf>
    <xf numFmtId="0" fontId="102" fillId="0" borderId="1" xfId="0" applyFont="1" applyBorder="1" applyAlignment="1">
      <alignment horizontal="left" vertical="center" wrapText="1"/>
    </xf>
    <xf numFmtId="0" fontId="103" fillId="0" borderId="1" xfId="0" applyFont="1" applyBorder="1" applyAlignment="1">
      <alignment horizontal="left" vertical="center" wrapText="1"/>
    </xf>
    <xf numFmtId="0" fontId="104" fillId="0" borderId="1" xfId="0" applyFont="1" applyBorder="1" applyAlignment="1">
      <alignment horizontal="left" vertical="center" wrapText="1"/>
    </xf>
    <xf numFmtId="0" fontId="73" fillId="5" borderId="1" xfId="0" applyFont="1" applyFill="1" applyBorder="1" applyAlignment="1">
      <alignment horizontal="left" vertical="center" wrapText="1"/>
    </xf>
    <xf numFmtId="0" fontId="73" fillId="0" borderId="1" xfId="0" applyFont="1" applyBorder="1" applyAlignment="1">
      <alignment horizontal="left" vertical="center" wrapText="1"/>
    </xf>
    <xf numFmtId="164" fontId="105" fillId="2" borderId="1" xfId="0" applyNumberFormat="1" applyFont="1" applyFill="1" applyBorder="1" applyAlignment="1">
      <alignment horizontal="left" vertical="center" wrapText="1"/>
    </xf>
    <xf numFmtId="0" fontId="73" fillId="0" borderId="1" xfId="0" applyFont="1" applyBorder="1" applyAlignment="1">
      <alignment horizontal="left" vertical="center" wrapText="1"/>
    </xf>
    <xf numFmtId="0" fontId="73" fillId="2" borderId="1" xfId="0" applyFont="1" applyFill="1" applyBorder="1" applyAlignment="1">
      <alignment horizontal="left" vertical="center" wrapText="1"/>
    </xf>
    <xf numFmtId="0" fontId="73" fillId="12" borderId="1" xfId="0" applyFont="1" applyFill="1" applyBorder="1" applyAlignment="1">
      <alignment horizontal="left" vertical="center" wrapText="1"/>
    </xf>
    <xf numFmtId="0" fontId="73" fillId="12" borderId="1" xfId="0" applyFont="1" applyFill="1" applyBorder="1" applyAlignment="1">
      <alignment horizontal="left" vertical="center" wrapText="1"/>
    </xf>
    <xf numFmtId="0" fontId="73" fillId="0" borderId="1" xfId="0" applyFont="1" applyBorder="1" applyAlignment="1">
      <alignment horizontal="left" vertical="center" wrapText="1"/>
    </xf>
    <xf numFmtId="0" fontId="73" fillId="5" borderId="1" xfId="0" applyFont="1" applyFill="1" applyBorder="1" applyAlignment="1">
      <alignment horizontal="left" vertical="center" wrapText="1"/>
    </xf>
    <xf numFmtId="0" fontId="73" fillId="0" borderId="1" xfId="0" applyFont="1" applyBorder="1" applyAlignment="1">
      <alignment horizontal="left" vertical="center" wrapText="1"/>
    </xf>
    <xf numFmtId="0" fontId="106" fillId="0" borderId="1" xfId="0" applyFont="1" applyBorder="1" applyAlignment="1">
      <alignment horizontal="left" vertical="center" wrapText="1"/>
    </xf>
    <xf numFmtId="0" fontId="107" fillId="0" borderId="1" xfId="0" applyFont="1" applyBorder="1" applyAlignment="1">
      <alignment horizontal="left" vertical="center" wrapText="1"/>
    </xf>
    <xf numFmtId="0" fontId="73" fillId="0" borderId="1" xfId="0" applyFont="1" applyBorder="1" applyAlignment="1">
      <alignment horizontal="left" vertical="center" wrapText="1"/>
    </xf>
    <xf numFmtId="171" fontId="0" fillId="2" borderId="1" xfId="0" applyNumberFormat="1" applyFont="1" applyFill="1" applyBorder="1" applyAlignment="1">
      <alignment horizontal="left" vertical="center" wrapText="1"/>
    </xf>
    <xf numFmtId="180" fontId="0" fillId="2" borderId="1" xfId="0" applyNumberFormat="1" applyFont="1" applyFill="1" applyBorder="1" applyAlignment="1">
      <alignment horizontal="left" vertical="center" wrapText="1"/>
    </xf>
    <xf numFmtId="0" fontId="73" fillId="6" borderId="1" xfId="0" applyFont="1" applyFill="1" applyBorder="1" applyAlignment="1">
      <alignment horizontal="left" vertical="center" wrapText="1"/>
    </xf>
    <xf numFmtId="0" fontId="108" fillId="0" borderId="1" xfId="0" applyFont="1" applyBorder="1" applyAlignment="1">
      <alignment horizontal="left" vertical="center" wrapText="1"/>
    </xf>
    <xf numFmtId="0" fontId="109" fillId="0" borderId="1" xfId="0" applyFont="1" applyBorder="1" applyAlignment="1"/>
    <xf numFmtId="0" fontId="110" fillId="0" borderId="1" xfId="0" applyFont="1" applyBorder="1" applyAlignment="1">
      <alignment wrapText="1"/>
    </xf>
    <xf numFmtId="0" fontId="111" fillId="0" borderId="1" xfId="0" applyFont="1" applyBorder="1" applyAlignment="1"/>
    <xf numFmtId="0" fontId="112" fillId="0" borderId="1" xfId="0" applyFont="1" applyBorder="1" applyAlignment="1">
      <alignment vertical="center" wrapText="1"/>
    </xf>
    <xf numFmtId="0" fontId="113" fillId="2" borderId="1" xfId="0" applyFont="1" applyFill="1" applyBorder="1" applyAlignment="1">
      <alignment vertical="center" wrapText="1"/>
    </xf>
    <xf numFmtId="0" fontId="114" fillId="2" borderId="1" xfId="0" applyFont="1" applyFill="1" applyBorder="1" applyAlignment="1">
      <alignment vertical="center" wrapText="1"/>
    </xf>
    <xf numFmtId="0" fontId="113" fillId="2" borderId="1" xfId="0" applyFont="1" applyFill="1" applyBorder="1" applyAlignment="1">
      <alignment horizontal="left" vertical="center" wrapText="1"/>
    </xf>
    <xf numFmtId="0" fontId="115" fillId="0" borderId="1" xfId="0" applyFont="1" applyBorder="1" applyAlignment="1">
      <alignment horizontal="left" vertical="center" wrapText="1"/>
    </xf>
    <xf numFmtId="0" fontId="116" fillId="0" borderId="1" xfId="0" applyFont="1" applyBorder="1" applyAlignment="1">
      <alignment horizontal="left" vertical="center" wrapText="1"/>
    </xf>
    <xf numFmtId="0" fontId="42" fillId="2" borderId="0" xfId="0" applyFont="1" applyFill="1" applyAlignment="1"/>
    <xf numFmtId="0" fontId="117" fillId="0" borderId="1" xfId="0" applyFont="1" applyBorder="1" applyAlignment="1">
      <alignment horizontal="left" vertical="center" wrapText="1"/>
    </xf>
    <xf numFmtId="0" fontId="0" fillId="2" borderId="0" xfId="0" applyFont="1" applyFill="1" applyAlignment="1">
      <alignment horizontal="left" vertical="center" wrapText="1"/>
    </xf>
    <xf numFmtId="0" fontId="0" fillId="3" borderId="0" xfId="0" applyFont="1" applyFill="1" applyAlignment="1">
      <alignment horizontal="left" vertical="center" wrapText="1"/>
    </xf>
    <xf numFmtId="0" fontId="118" fillId="2" borderId="0" xfId="0" applyFont="1" applyFill="1" applyAlignment="1">
      <alignment horizontal="left" vertical="center" wrapText="1"/>
    </xf>
    <xf numFmtId="0" fontId="119" fillId="12" borderId="1" xfId="0" applyFont="1" applyFill="1" applyBorder="1" applyAlignment="1">
      <alignment horizontal="left" vertical="center" wrapText="1"/>
    </xf>
    <xf numFmtId="0" fontId="73" fillId="3" borderId="1" xfId="0" applyFont="1" applyFill="1" applyBorder="1" applyAlignment="1">
      <alignment horizontal="left" vertical="center" wrapText="1"/>
    </xf>
    <xf numFmtId="0" fontId="0" fillId="6" borderId="1" xfId="0" applyFont="1" applyFill="1" applyBorder="1" applyAlignment="1">
      <alignment horizontal="left" vertical="center" wrapText="1"/>
    </xf>
    <xf numFmtId="0" fontId="120" fillId="6" borderId="1" xfId="0" applyFont="1" applyFill="1" applyBorder="1" applyAlignment="1">
      <alignment horizontal="left" vertical="center" wrapText="1"/>
    </xf>
    <xf numFmtId="0" fontId="73" fillId="2" borderId="1" xfId="0" applyFont="1" applyFill="1" applyBorder="1" applyAlignment="1">
      <alignment horizontal="left" vertical="center" wrapText="1"/>
    </xf>
    <xf numFmtId="0" fontId="0" fillId="13" borderId="1" xfId="0" applyFont="1" applyFill="1" applyBorder="1" applyAlignment="1">
      <alignment horizontal="left" vertical="center" wrapText="1"/>
    </xf>
    <xf numFmtId="0" fontId="121" fillId="0" borderId="1" xfId="0" applyFont="1" applyBorder="1" applyAlignment="1">
      <alignment horizontal="left" vertical="center" wrapText="1"/>
    </xf>
    <xf numFmtId="0" fontId="122" fillId="13" borderId="1" xfId="0" applyFont="1" applyFill="1" applyBorder="1" applyAlignment="1">
      <alignment horizontal="left" vertical="center" wrapText="1"/>
    </xf>
    <xf numFmtId="0" fontId="0" fillId="6" borderId="1" xfId="0" applyFont="1" applyFill="1" applyBorder="1" applyAlignment="1">
      <alignment horizontal="left" vertical="center" wrapText="1"/>
    </xf>
    <xf numFmtId="0" fontId="123" fillId="0" borderId="0" xfId="0" applyFont="1" applyAlignment="1">
      <alignment horizontal="left" vertical="center" wrapText="1"/>
    </xf>
    <xf numFmtId="167" fontId="73" fillId="0" borderId="1" xfId="0" applyNumberFormat="1" applyFont="1" applyBorder="1" applyAlignment="1">
      <alignment horizontal="left" vertical="center" wrapText="1"/>
    </xf>
    <xf numFmtId="0" fontId="124" fillId="0" borderId="0" xfId="0" applyFont="1" applyAlignment="1">
      <alignment wrapText="1"/>
    </xf>
    <xf numFmtId="0" fontId="1" fillId="0" borderId="1" xfId="0" applyFont="1" applyBorder="1" applyAlignment="1">
      <alignment wrapText="1"/>
    </xf>
    <xf numFmtId="171" fontId="0" fillId="0" borderId="1" xfId="0" applyNumberFormat="1" applyFont="1" applyBorder="1" applyAlignment="1">
      <alignment horizontal="left" vertical="center" wrapText="1"/>
    </xf>
    <xf numFmtId="0" fontId="125" fillId="2" borderId="1" xfId="0" applyFont="1" applyFill="1" applyBorder="1" applyAlignment="1">
      <alignment horizontal="left" vertical="center" wrapText="1"/>
    </xf>
    <xf numFmtId="0" fontId="126" fillId="2" borderId="1" xfId="0" applyFont="1" applyFill="1" applyBorder="1" applyAlignment="1">
      <alignment horizontal="left" vertical="center" wrapText="1"/>
    </xf>
    <xf numFmtId="0" fontId="127" fillId="2" borderId="1" xfId="0" applyFont="1" applyFill="1" applyBorder="1" applyAlignment="1">
      <alignment horizontal="left" vertical="center" wrapText="1"/>
    </xf>
    <xf numFmtId="0" fontId="128" fillId="3" borderId="1" xfId="0" applyFont="1" applyFill="1" applyBorder="1" applyAlignment="1">
      <alignment horizontal="left" vertical="center" wrapText="1"/>
    </xf>
    <xf numFmtId="0" fontId="129" fillId="2" borderId="0" xfId="0" applyFont="1" applyFill="1" applyAlignment="1"/>
    <xf numFmtId="0" fontId="130" fillId="0" borderId="1" xfId="0" applyFont="1" applyBorder="1" applyAlignment="1">
      <alignment horizontal="left" vertical="center" wrapText="1"/>
    </xf>
    <xf numFmtId="0" fontId="131"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132" fillId="2" borderId="1" xfId="0" applyFont="1" applyFill="1" applyBorder="1" applyAlignment="1">
      <alignment horizontal="left" vertical="center" wrapText="1"/>
    </xf>
    <xf numFmtId="0" fontId="133" fillId="0" borderId="1" xfId="0" applyFont="1" applyBorder="1" applyAlignment="1">
      <alignment horizontal="left" vertical="center" wrapText="1"/>
    </xf>
    <xf numFmtId="0" fontId="73" fillId="0" borderId="1" xfId="0" applyFont="1" applyBorder="1" applyAlignment="1">
      <alignment horizontal="left" vertical="center" wrapText="1"/>
    </xf>
    <xf numFmtId="0" fontId="134" fillId="2" borderId="1" xfId="0" applyFont="1" applyFill="1" applyBorder="1" applyAlignment="1">
      <alignment horizontal="left" vertical="center" wrapText="1"/>
    </xf>
    <xf numFmtId="0" fontId="118" fillId="2" borderId="1" xfId="0" applyFont="1" applyFill="1" applyBorder="1" applyAlignment="1">
      <alignment horizontal="left" vertical="center" wrapText="1"/>
    </xf>
    <xf numFmtId="0" fontId="135" fillId="2" borderId="0" xfId="0" applyFont="1" applyFill="1" applyAlignment="1">
      <alignment wrapText="1"/>
    </xf>
    <xf numFmtId="0" fontId="0" fillId="2" borderId="1" xfId="0" applyFont="1" applyFill="1" applyBorder="1" applyAlignment="1">
      <alignment horizontal="left" vertical="center" wrapText="1"/>
    </xf>
    <xf numFmtId="0" fontId="0" fillId="2" borderId="1" xfId="0" applyFont="1" applyFill="1" applyBorder="1" applyAlignment="1">
      <alignment horizontal="left" vertical="center" wrapText="1"/>
    </xf>
    <xf numFmtId="0" fontId="0" fillId="2" borderId="0" xfId="0" applyFont="1" applyFill="1" applyAlignment="1">
      <alignment horizontal="left" vertical="center" wrapText="1"/>
    </xf>
    <xf numFmtId="0" fontId="0" fillId="0" borderId="0" xfId="0" applyFont="1" applyAlignment="1">
      <alignment horizontal="left" vertical="center" wrapText="1"/>
    </xf>
    <xf numFmtId="0" fontId="0" fillId="0" borderId="0" xfId="0" applyFont="1" applyAlignment="1">
      <alignment horizontal="left" vertical="center" wrapText="1"/>
    </xf>
    <xf numFmtId="0" fontId="0" fillId="0" borderId="0" xfId="0" applyFont="1" applyAlignment="1">
      <alignment horizontal="left" vertical="center" wrapText="1"/>
    </xf>
    <xf numFmtId="0" fontId="136" fillId="2" borderId="1" xfId="0" applyFont="1" applyFill="1" applyBorder="1" applyAlignment="1"/>
    <xf numFmtId="0" fontId="1" fillId="0" borderId="1" xfId="0" applyFont="1" applyBorder="1" applyAlignment="1"/>
    <xf numFmtId="0" fontId="137" fillId="2" borderId="0" xfId="0" applyFont="1" applyFill="1" applyAlignment="1">
      <alignment wrapText="1"/>
    </xf>
    <xf numFmtId="0" fontId="1" fillId="0" borderId="0" xfId="0" applyFont="1" applyAlignment="1"/>
    <xf numFmtId="0" fontId="1" fillId="0" borderId="0" xfId="0" applyFont="1" applyAlignment="1">
      <alignment vertical="center" wrapText="1"/>
    </xf>
    <xf numFmtId="0" fontId="138" fillId="14" borderId="0" xfId="0" applyFont="1" applyFill="1" applyAlignment="1">
      <alignment wrapText="1"/>
    </xf>
    <xf numFmtId="0" fontId="139" fillId="14" borderId="0" xfId="0" applyFont="1" applyFill="1" applyAlignment="1"/>
    <xf numFmtId="173" fontId="1" fillId="0" borderId="0" xfId="0" applyNumberFormat="1" applyFont="1" applyAlignment="1"/>
    <xf numFmtId="0" fontId="139" fillId="2" borderId="0" xfId="0" applyFont="1" applyFill="1" applyAlignment="1"/>
    <xf numFmtId="0" fontId="140" fillId="0" borderId="0" xfId="0" applyFont="1" applyAlignment="1">
      <alignment wrapText="1"/>
    </xf>
    <xf numFmtId="0" fontId="1" fillId="0" borderId="0" xfId="0" applyFont="1" applyAlignment="1">
      <alignment wrapText="1"/>
    </xf>
    <xf numFmtId="0" fontId="118" fillId="2" borderId="1" xfId="0" applyFont="1" applyFill="1" applyBorder="1" applyAlignment="1">
      <alignment horizontal="left" vertical="center" wrapText="1"/>
    </xf>
    <xf numFmtId="0" fontId="141" fillId="2" borderId="1" xfId="0" applyFont="1" applyFill="1" applyBorder="1" applyAlignment="1">
      <alignment horizontal="left" vertical="center" wrapText="1"/>
    </xf>
    <xf numFmtId="0" fontId="142" fillId="2" borderId="1" xfId="0" applyFont="1" applyFill="1" applyBorder="1" applyAlignment="1">
      <alignment horizontal="left" vertical="center" wrapText="1"/>
    </xf>
    <xf numFmtId="0" fontId="6" fillId="2" borderId="1" xfId="0" applyFont="1" applyFill="1" applyBorder="1" applyAlignment="1">
      <alignment vertical="center"/>
    </xf>
    <xf numFmtId="181" fontId="0" fillId="0" borderId="1" xfId="0" applyNumberFormat="1" applyFont="1" applyBorder="1" applyAlignment="1">
      <alignment horizontal="left" vertical="center" wrapText="1"/>
    </xf>
    <xf numFmtId="0" fontId="6" fillId="2" borderId="1" xfId="0" applyFont="1" applyFill="1" applyBorder="1" applyAlignment="1"/>
    <xf numFmtId="0" fontId="143" fillId="0" borderId="1" xfId="0" applyFont="1" applyBorder="1" applyAlignment="1">
      <alignment wrapText="1"/>
    </xf>
    <xf numFmtId="0" fontId="1" fillId="0" borderId="1" xfId="0" applyFont="1" applyBorder="1" applyAlignment="1"/>
    <xf numFmtId="0" fontId="136" fillId="2" borderId="1" xfId="0" applyFont="1" applyFill="1" applyBorder="1" applyAlignment="1"/>
    <xf numFmtId="0" fontId="144" fillId="2" borderId="1" xfId="0" applyFont="1" applyFill="1" applyBorder="1" applyAlignment="1"/>
    <xf numFmtId="0" fontId="145" fillId="0" borderId="1" xfId="0" applyFont="1" applyBorder="1" applyAlignment="1"/>
    <xf numFmtId="0" fontId="136" fillId="2" borderId="1" xfId="0" applyFont="1" applyFill="1" applyBorder="1" applyAlignment="1">
      <alignment wrapText="1"/>
    </xf>
    <xf numFmtId="0" fontId="1" fillId="0" borderId="1" xfId="0" applyFont="1" applyBorder="1" applyAlignment="1">
      <alignment wrapText="1"/>
    </xf>
    <xf numFmtId="0" fontId="1" fillId="0" borderId="1" xfId="0" applyFont="1" applyBorder="1" applyAlignment="1">
      <alignment vertical="center" wrapText="1"/>
    </xf>
    <xf numFmtId="0" fontId="146" fillId="2" borderId="1" xfId="0" applyFont="1" applyFill="1" applyBorder="1" applyAlignment="1"/>
    <xf numFmtId="0" fontId="1" fillId="0" borderId="1" xfId="0" applyFont="1" applyBorder="1" applyAlignment="1">
      <alignment wrapText="1"/>
    </xf>
    <xf numFmtId="0" fontId="1" fillId="0" borderId="1" xfId="0" applyFont="1" applyBorder="1" applyAlignment="1">
      <alignment wrapText="1"/>
    </xf>
    <xf numFmtId="0" fontId="147" fillId="0" borderId="1" xfId="0" applyFont="1" applyBorder="1" applyAlignment="1">
      <alignment wrapText="1"/>
    </xf>
    <xf numFmtId="0" fontId="148" fillId="2" borderId="1" xfId="0" applyFont="1" applyFill="1" applyBorder="1" applyAlignment="1"/>
    <xf numFmtId="0" fontId="136" fillId="2" borderId="1" xfId="0" applyFont="1" applyFill="1" applyBorder="1" applyAlignment="1">
      <alignment wrapText="1"/>
    </xf>
    <xf numFmtId="0" fontId="146" fillId="2" borderId="1" xfId="0" applyFont="1" applyFill="1" applyBorder="1" applyAlignment="1"/>
    <xf numFmtId="0" fontId="1" fillId="0" borderId="1" xfId="0" applyFont="1" applyBorder="1" applyAlignment="1">
      <alignment wrapText="1"/>
    </xf>
    <xf numFmtId="0" fontId="1" fillId="0" borderId="1" xfId="0" applyFont="1" applyBorder="1"/>
    <xf numFmtId="0" fontId="1" fillId="0" borderId="1" xfId="0" applyFont="1" applyBorder="1" applyAlignment="1">
      <alignment vertical="center"/>
    </xf>
    <xf numFmtId="0" fontId="1" fillId="0" borderId="1" xfId="0" applyFont="1" applyBorder="1" applyAlignment="1">
      <alignment vertical="center"/>
    </xf>
    <xf numFmtId="167" fontId="1" fillId="0" borderId="1" xfId="0" applyNumberFormat="1" applyFont="1" applyBorder="1" applyAlignment="1">
      <alignment vertical="center"/>
    </xf>
    <xf numFmtId="0" fontId="149" fillId="0" borderId="1" xfId="0" applyFont="1" applyBorder="1" applyAlignment="1">
      <alignment vertical="center"/>
    </xf>
    <xf numFmtId="0" fontId="150" fillId="0" borderId="1" xfId="0" applyFont="1" applyBorder="1" applyAlignment="1">
      <alignment vertical="center"/>
    </xf>
    <xf numFmtId="0" fontId="151" fillId="0" borderId="1" xfId="0" applyFont="1" applyBorder="1" applyAlignment="1">
      <alignment vertical="center" wrapText="1"/>
    </xf>
    <xf numFmtId="0" fontId="152" fillId="0" borderId="1" xfId="0" applyFont="1" applyBorder="1" applyAlignment="1">
      <alignment vertical="center" wrapText="1"/>
    </xf>
    <xf numFmtId="0" fontId="1" fillId="0" borderId="1" xfId="0" applyFont="1" applyBorder="1" applyAlignment="1">
      <alignment vertical="center"/>
    </xf>
    <xf numFmtId="0" fontId="153" fillId="0" borderId="1" xfId="0" applyFont="1" applyBorder="1" applyAlignment="1">
      <alignment horizontal="center" vertical="center" wrapText="1"/>
    </xf>
    <xf numFmtId="0" fontId="73" fillId="2" borderId="0" xfId="0" applyFont="1" applyFill="1" applyAlignment="1">
      <alignment horizontal="left" vertical="center" wrapText="1"/>
    </xf>
    <xf numFmtId="0" fontId="1" fillId="0" borderId="0" xfId="0" applyFont="1" applyAlignment="1">
      <alignment vertical="center"/>
    </xf>
    <xf numFmtId="0" fontId="1" fillId="0" borderId="0" xfId="0" applyFont="1" applyAlignment="1">
      <alignment vertical="center"/>
    </xf>
    <xf numFmtId="0" fontId="0" fillId="2" borderId="1" xfId="0" applyFont="1" applyFill="1" applyBorder="1" applyAlignment="1">
      <alignment horizontal="left" vertical="center" wrapText="1"/>
    </xf>
    <xf numFmtId="0" fontId="0" fillId="2" borderId="0" xfId="0" applyFont="1" applyFill="1" applyAlignment="1">
      <alignment horizontal="left" vertical="center" wrapText="1"/>
    </xf>
    <xf numFmtId="0" fontId="154" fillId="0" borderId="1" xfId="0" applyFont="1" applyBorder="1" applyAlignment="1">
      <alignment wrapText="1"/>
    </xf>
    <xf numFmtId="171" fontId="155" fillId="2" borderId="0" xfId="0" applyNumberFormat="1" applyFont="1" applyFill="1" applyAlignment="1"/>
    <xf numFmtId="0" fontId="156" fillId="2" borderId="0" xfId="0" applyFont="1" applyFill="1" applyAlignment="1">
      <alignment horizontal="left" vertical="center" wrapText="1"/>
    </xf>
    <xf numFmtId="0" fontId="157" fillId="2" borderId="0" xfId="0" applyFont="1" applyFill="1" applyAlignment="1">
      <alignment horizontal="left" vertical="center" wrapText="1"/>
    </xf>
    <xf numFmtId="0" fontId="1" fillId="0" borderId="0" xfId="0" applyFont="1" applyAlignment="1">
      <alignment wrapText="1"/>
    </xf>
    <xf numFmtId="0" fontId="1" fillId="0" borderId="0" xfId="0" applyFont="1" applyAlignment="1"/>
    <xf numFmtId="0" fontId="42" fillId="2" borderId="1" xfId="0" applyFont="1" applyFill="1" applyBorder="1" applyAlignment="1"/>
    <xf numFmtId="0" fontId="158" fillId="2" borderId="0" xfId="0" applyFont="1" applyFill="1" applyAlignment="1"/>
    <xf numFmtId="0" fontId="155" fillId="2" borderId="0" xfId="0" applyFont="1" applyFill="1" applyAlignment="1"/>
    <xf numFmtId="0" fontId="42" fillId="2" borderId="0" xfId="0" applyFont="1" applyFill="1" applyAlignment="1"/>
    <xf numFmtId="0" fontId="159" fillId="0" borderId="0" xfId="0" applyFont="1" applyAlignment="1">
      <alignment horizontal="left" vertical="center" wrapText="1"/>
    </xf>
    <xf numFmtId="0" fontId="42" fillId="2" borderId="1" xfId="0" applyFont="1" applyFill="1" applyBorder="1" applyAlignment="1">
      <alignment wrapText="1"/>
    </xf>
    <xf numFmtId="0" fontId="146" fillId="2" borderId="1" xfId="0" applyFont="1" applyFill="1" applyBorder="1" applyAlignment="1">
      <alignment wrapText="1"/>
    </xf>
    <xf numFmtId="0" fontId="42" fillId="2" borderId="1" xfId="0" applyFont="1" applyFill="1" applyBorder="1" applyAlignment="1">
      <alignment vertical="center" wrapText="1"/>
    </xf>
    <xf numFmtId="171" fontId="160" fillId="2" borderId="1" xfId="0" applyNumberFormat="1" applyFont="1" applyFill="1" applyBorder="1" applyAlignment="1"/>
    <xf numFmtId="0" fontId="42" fillId="2" borderId="1" xfId="0" applyFont="1" applyFill="1" applyBorder="1" applyAlignment="1"/>
    <xf numFmtId="0" fontId="161" fillId="2" borderId="0" xfId="0" applyFont="1" applyFill="1" applyAlignment="1"/>
    <xf numFmtId="0" fontId="42" fillId="2" borderId="0" xfId="0" applyFont="1" applyFill="1" applyAlignment="1">
      <alignment wrapText="1"/>
    </xf>
    <xf numFmtId="0" fontId="161" fillId="2" borderId="0" xfId="0" applyFont="1" applyFill="1" applyAlignment="1">
      <alignment wrapText="1"/>
    </xf>
    <xf numFmtId="0" fontId="42" fillId="2" borderId="0" xfId="0" applyFont="1" applyFill="1" applyAlignment="1">
      <alignment vertical="center" wrapText="1"/>
    </xf>
    <xf numFmtId="0" fontId="162" fillId="2" borderId="1" xfId="0" applyFont="1" applyFill="1" applyBorder="1" applyAlignment="1">
      <alignment horizontal="left" vertical="center" wrapText="1"/>
    </xf>
    <xf numFmtId="0" fontId="163" fillId="0" borderId="0" xfId="0" applyFont="1" applyAlignment="1">
      <alignment wrapText="1"/>
    </xf>
    <xf numFmtId="0" fontId="164" fillId="2" borderId="0" xfId="0" applyFont="1" applyFill="1" applyAlignment="1">
      <alignment vertical="center" wrapText="1"/>
    </xf>
    <xf numFmtId="0" fontId="1" fillId="0" borderId="0" xfId="0" applyFont="1" applyAlignment="1">
      <alignment horizontal="center" vertical="center"/>
    </xf>
    <xf numFmtId="0" fontId="1" fillId="0" borderId="0" xfId="0" applyFont="1" applyAlignment="1">
      <alignment vertical="center" wrapText="1"/>
    </xf>
    <xf numFmtId="0" fontId="165" fillId="6" borderId="1" xfId="0" applyFont="1" applyFill="1" applyBorder="1" applyAlignment="1"/>
    <xf numFmtId="0" fontId="166" fillId="6" borderId="1" xfId="0" applyFont="1" applyFill="1" applyBorder="1" applyAlignment="1">
      <alignment horizontal="left" vertical="center"/>
    </xf>
    <xf numFmtId="0" fontId="166" fillId="6" borderId="1" xfId="0" applyFont="1" applyFill="1" applyBorder="1" applyAlignment="1">
      <alignment horizontal="left" vertical="center" wrapText="1"/>
    </xf>
    <xf numFmtId="0" fontId="167" fillId="6" borderId="1" xfId="0" applyFont="1" applyFill="1" applyBorder="1" applyAlignment="1">
      <alignment horizontal="left" vertical="center" wrapText="1"/>
    </xf>
    <xf numFmtId="0" fontId="166" fillId="6" borderId="1" xfId="0" applyFont="1" applyFill="1" applyBorder="1" applyAlignment="1">
      <alignment vertical="center" wrapText="1"/>
    </xf>
    <xf numFmtId="0" fontId="168" fillId="6" borderId="1" xfId="0" applyFont="1" applyFill="1" applyBorder="1" applyAlignment="1">
      <alignment horizontal="left" wrapText="1"/>
    </xf>
    <xf numFmtId="0" fontId="166" fillId="6" borderId="1" xfId="0" applyFont="1" applyFill="1" applyBorder="1" applyAlignment="1">
      <alignment horizontal="left" vertical="center"/>
    </xf>
    <xf numFmtId="0" fontId="167" fillId="6" borderId="1" xfId="0" applyFont="1" applyFill="1" applyBorder="1" applyAlignment="1"/>
    <xf numFmtId="0" fontId="166" fillId="6" borderId="1" xfId="0" applyFont="1" applyFill="1" applyBorder="1" applyAlignment="1">
      <alignment vertical="center"/>
    </xf>
    <xf numFmtId="0" fontId="166" fillId="6" borderId="1" xfId="0" applyFont="1" applyFill="1" applyBorder="1" applyAlignment="1">
      <alignment vertical="center"/>
    </xf>
    <xf numFmtId="0" fontId="166" fillId="6" borderId="1" xfId="0" applyFont="1" applyFill="1" applyBorder="1" applyAlignment="1">
      <alignment vertical="center" wrapText="1"/>
    </xf>
    <xf numFmtId="0" fontId="169" fillId="6" borderId="1" xfId="0" applyFont="1" applyFill="1" applyBorder="1" applyAlignment="1">
      <alignment horizontal="center" vertical="center" wrapText="1"/>
    </xf>
    <xf numFmtId="0" fontId="165" fillId="6" borderId="0" xfId="0" applyFont="1" applyFill="1"/>
    <xf numFmtId="0" fontId="170" fillId="6" borderId="0" xfId="0" applyFont="1" applyFill="1" applyAlignment="1">
      <alignment horizontal="left" vertical="center" wrapText="1"/>
    </xf>
    <xf numFmtId="0" fontId="165" fillId="0" borderId="0" xfId="0" applyFont="1"/>
    <xf numFmtId="0" fontId="1" fillId="2" borderId="0" xfId="0" applyFont="1" applyFill="1"/>
    <xf numFmtId="0" fontId="171" fillId="2" borderId="1" xfId="0" applyFont="1" applyFill="1" applyBorder="1" applyAlignment="1">
      <alignment horizontal="left" vertical="center" wrapText="1"/>
    </xf>
    <xf numFmtId="0" fontId="0" fillId="2" borderId="1" xfId="0" applyFont="1" applyFill="1" applyBorder="1" applyAlignment="1">
      <alignment horizontal="left" vertical="center" wrapText="1"/>
    </xf>
    <xf numFmtId="0" fontId="0" fillId="3" borderId="1" xfId="0" applyFont="1" applyFill="1" applyBorder="1" applyAlignment="1">
      <alignment horizontal="left" vertical="center" wrapText="1"/>
    </xf>
    <xf numFmtId="0" fontId="172" fillId="0" borderId="1" xfId="0" applyFont="1" applyBorder="1" applyAlignment="1">
      <alignment horizontal="left" vertical="center" wrapText="1"/>
    </xf>
    <xf numFmtId="3" fontId="0" fillId="0" borderId="1" xfId="0" applyNumberFormat="1" applyFont="1" applyBorder="1" applyAlignment="1">
      <alignment horizontal="left" vertical="center" wrapText="1"/>
    </xf>
    <xf numFmtId="0" fontId="0" fillId="2" borderId="1" xfId="0" applyFont="1" applyFill="1" applyBorder="1" applyAlignment="1">
      <alignment horizontal="center" vertical="center" wrapText="1"/>
    </xf>
    <xf numFmtId="0" fontId="0" fillId="3" borderId="1" xfId="0" applyFont="1" applyFill="1" applyBorder="1" applyAlignment="1">
      <alignment horizontal="center" vertical="center" wrapText="1"/>
    </xf>
    <xf numFmtId="0" fontId="81" fillId="2" borderId="0" xfId="0" applyFont="1" applyFill="1" applyAlignment="1">
      <alignment wrapText="1"/>
    </xf>
    <xf numFmtId="0" fontId="173" fillId="3" borderId="0" xfId="0" applyFont="1" applyFill="1" applyAlignment="1">
      <alignment wrapText="1"/>
    </xf>
    <xf numFmtId="0" fontId="73" fillId="2" borderId="1" xfId="0" applyFont="1" applyFill="1" applyBorder="1" applyAlignment="1">
      <alignment horizontal="center" vertical="center" wrapText="1"/>
    </xf>
    <xf numFmtId="0" fontId="174" fillId="2" borderId="1" xfId="0" applyFont="1" applyFill="1" applyBorder="1" applyAlignment="1">
      <alignment horizontal="left" vertical="center" wrapText="1"/>
    </xf>
    <xf numFmtId="0" fontId="73" fillId="2" borderId="1" xfId="0" applyFont="1" applyFill="1" applyBorder="1" applyAlignment="1">
      <alignment horizontal="left" vertical="center" wrapText="1"/>
    </xf>
    <xf numFmtId="0" fontId="81" fillId="2" borderId="1" xfId="0" applyFont="1" applyFill="1" applyBorder="1" applyAlignment="1">
      <alignment wrapText="1"/>
    </xf>
    <xf numFmtId="0" fontId="175" fillId="2" borderId="1" xfId="0" applyFont="1" applyFill="1" applyBorder="1" applyAlignment="1">
      <alignment vertical="center" wrapText="1"/>
    </xf>
    <xf numFmtId="0" fontId="73" fillId="2" borderId="1" xfId="0" applyFont="1" applyFill="1" applyBorder="1" applyAlignment="1">
      <alignment horizontal="left" vertical="center" wrapText="1"/>
    </xf>
    <xf numFmtId="0" fontId="176" fillId="0" borderId="1" xfId="0" applyFont="1" applyBorder="1" applyAlignment="1">
      <alignment horizontal="center" vertical="center" wrapText="1"/>
    </xf>
    <xf numFmtId="0" fontId="85" fillId="0" borderId="1" xfId="0" applyFont="1" applyBorder="1" applyAlignment="1">
      <alignment horizontal="left" vertical="center" wrapText="1"/>
    </xf>
    <xf numFmtId="0" fontId="177" fillId="0" borderId="1" xfId="0" applyFont="1" applyBorder="1" applyAlignment="1">
      <alignment horizontal="left" vertical="center" wrapText="1"/>
    </xf>
    <xf numFmtId="0" fontId="178" fillId="2" borderId="1" xfId="0" applyFont="1" applyFill="1" applyBorder="1" applyAlignment="1">
      <alignment horizontal="left" wrapText="1"/>
    </xf>
    <xf numFmtId="0" fontId="85" fillId="0" borderId="1" xfId="0" applyFont="1" applyBorder="1" applyAlignment="1">
      <alignment horizontal="left" vertical="center"/>
    </xf>
    <xf numFmtId="0" fontId="177" fillId="0" borderId="1" xfId="0" applyFont="1" applyBorder="1" applyAlignment="1"/>
    <xf numFmtId="0" fontId="85" fillId="0" borderId="1" xfId="0" applyFont="1" applyBorder="1" applyAlignment="1">
      <alignment vertical="center"/>
    </xf>
    <xf numFmtId="0" fontId="179" fillId="0" borderId="1" xfId="0" applyFont="1" applyBorder="1" applyAlignment="1">
      <alignment horizontal="left" vertical="center" wrapText="1"/>
    </xf>
    <xf numFmtId="0" fontId="179" fillId="0" borderId="1" xfId="0" applyFont="1" applyBorder="1" applyAlignment="1">
      <alignment horizontal="left" vertical="center" wrapText="1"/>
    </xf>
    <xf numFmtId="0" fontId="28" fillId="6" borderId="1" xfId="0" applyFont="1" applyFill="1" applyBorder="1" applyAlignment="1">
      <alignment horizontal="left" vertical="center" wrapText="1"/>
    </xf>
    <xf numFmtId="0" fontId="180" fillId="6" borderId="1" xfId="0" applyFont="1" applyFill="1" applyBorder="1" applyAlignment="1">
      <alignment horizontal="left" vertical="center" wrapText="1"/>
    </xf>
    <xf numFmtId="0" fontId="22" fillId="0" borderId="0" xfId="0" applyFont="1" applyAlignment="1">
      <alignment vertical="center"/>
    </xf>
    <xf numFmtId="0" fontId="181" fillId="2" borderId="1" xfId="0" applyFont="1" applyFill="1" applyBorder="1" applyAlignment="1">
      <alignment horizontal="left" vertical="center" wrapText="1"/>
    </xf>
    <xf numFmtId="0" fontId="4" fillId="0" borderId="0" xfId="0" applyFont="1"/>
    <xf numFmtId="0" fontId="182" fillId="3"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27" fillId="2" borderId="1" xfId="0" applyFont="1" applyFill="1" applyBorder="1" applyAlignment="1">
      <alignment horizontal="left" vertical="center" wrapText="1"/>
    </xf>
    <xf numFmtId="0" fontId="183" fillId="2" borderId="1" xfId="0" applyFont="1" applyFill="1" applyBorder="1" applyAlignment="1">
      <alignment horizontal="left" vertical="center" wrapText="1"/>
    </xf>
    <xf numFmtId="0" fontId="27" fillId="2" borderId="1" xfId="0" applyFont="1" applyFill="1" applyBorder="1" applyAlignment="1">
      <alignment horizontal="left" vertical="center" wrapText="1"/>
    </xf>
    <xf numFmtId="0" fontId="184" fillId="2" borderId="1" xfId="0" applyFont="1" applyFill="1" applyBorder="1" applyAlignment="1">
      <alignment horizontal="left" vertical="center" wrapText="1"/>
    </xf>
    <xf numFmtId="0" fontId="185" fillId="2" borderId="1" xfId="0" applyFont="1" applyFill="1" applyBorder="1" applyAlignment="1">
      <alignment horizontal="left" vertical="center" wrapText="1"/>
    </xf>
    <xf numFmtId="2" fontId="0" fillId="2" borderId="1" xfId="0" applyNumberFormat="1" applyFont="1" applyFill="1" applyBorder="1" applyAlignment="1">
      <alignment horizontal="left" vertical="center" wrapText="1"/>
    </xf>
    <xf numFmtId="0" fontId="186" fillId="3" borderId="0" xfId="0" applyFont="1" applyFill="1" applyAlignment="1"/>
    <xf numFmtId="0" fontId="187" fillId="2" borderId="0" xfId="0" applyFont="1" applyFill="1" applyAlignment="1">
      <alignment horizontal="left"/>
    </xf>
    <xf numFmtId="0" fontId="2" fillId="12" borderId="1" xfId="0" applyFont="1" applyFill="1" applyBorder="1" applyAlignment="1">
      <alignment vertical="center" wrapText="1"/>
    </xf>
    <xf numFmtId="0" fontId="2" fillId="12" borderId="1" xfId="0" applyFont="1" applyFill="1" applyBorder="1" applyAlignment="1">
      <alignment vertical="center" wrapText="1"/>
    </xf>
    <xf numFmtId="0" fontId="2" fillId="12" borderId="1" xfId="0" applyFont="1" applyFill="1" applyBorder="1" applyAlignment="1">
      <alignment horizontal="left" vertical="center" wrapText="1"/>
    </xf>
    <xf numFmtId="0" fontId="2" fillId="12" borderId="1" xfId="0" applyFont="1" applyFill="1" applyBorder="1" applyAlignment="1">
      <alignment vertical="center" wrapText="1"/>
    </xf>
    <xf numFmtId="0" fontId="188" fillId="12" borderId="1" xfId="0" applyFont="1" applyFill="1" applyBorder="1" applyAlignment="1">
      <alignment vertical="center" wrapText="1"/>
    </xf>
    <xf numFmtId="0" fontId="189" fillId="12" borderId="1" xfId="0" applyFont="1" applyFill="1" applyBorder="1" applyAlignment="1">
      <alignment vertical="center" wrapText="1"/>
    </xf>
    <xf numFmtId="0" fontId="2" fillId="12" borderId="1" xfId="0" applyFont="1" applyFill="1" applyBorder="1" applyAlignment="1">
      <alignment horizontal="left" vertical="center" wrapText="1"/>
    </xf>
    <xf numFmtId="0" fontId="190" fillId="12" borderId="1" xfId="0" applyFont="1" applyFill="1" applyBorder="1" applyAlignment="1">
      <alignment vertical="center" wrapText="1"/>
    </xf>
    <xf numFmtId="0" fontId="2" fillId="12" borderId="1" xfId="0" applyFont="1" applyFill="1" applyBorder="1" applyAlignment="1">
      <alignment horizontal="left" vertical="center" wrapText="1"/>
    </xf>
    <xf numFmtId="0" fontId="2" fillId="12" borderId="1" xfId="0" applyFont="1" applyFill="1" applyBorder="1" applyAlignment="1">
      <alignment vertical="center"/>
    </xf>
    <xf numFmtId="0" fontId="2" fillId="12" borderId="0" xfId="0" applyFont="1" applyFill="1" applyAlignment="1">
      <alignment vertical="center"/>
    </xf>
    <xf numFmtId="0" fontId="4" fillId="3" borderId="1" xfId="0" applyFont="1" applyFill="1" applyBorder="1" applyAlignment="1">
      <alignment vertical="center" wrapText="1"/>
    </xf>
    <xf numFmtId="0" fontId="191" fillId="3" borderId="1" xfId="0" applyFont="1" applyFill="1" applyBorder="1" applyAlignment="1">
      <alignment vertical="center" wrapText="1"/>
    </xf>
    <xf numFmtId="0" fontId="73" fillId="3" borderId="1" xfId="0" applyFont="1" applyFill="1" applyBorder="1" applyAlignment="1">
      <alignment vertical="center" wrapText="1"/>
    </xf>
    <xf numFmtId="0" fontId="192" fillId="3" borderId="1" xfId="0" applyFont="1" applyFill="1" applyBorder="1" applyAlignment="1">
      <alignment vertical="center" wrapText="1"/>
    </xf>
    <xf numFmtId="0" fontId="193" fillId="3" borderId="1" xfId="0" applyFont="1" applyFill="1" applyBorder="1" applyAlignment="1">
      <alignment vertical="center" wrapText="1"/>
    </xf>
    <xf numFmtId="0" fontId="194" fillId="3" borderId="1" xfId="0" applyFont="1" applyFill="1" applyBorder="1" applyAlignment="1">
      <alignment vertical="center"/>
    </xf>
    <xf numFmtId="0" fontId="4" fillId="0" borderId="1" xfId="0" applyFont="1" applyBorder="1"/>
    <xf numFmtId="0" fontId="4" fillId="0" borderId="1" xfId="0" applyFont="1" applyBorder="1" applyAlignment="1">
      <alignment wrapText="1"/>
    </xf>
    <xf numFmtId="0" fontId="191" fillId="2" borderId="1" xfId="0" applyFont="1" applyFill="1" applyBorder="1" applyAlignment="1">
      <alignment vertical="center" wrapText="1"/>
    </xf>
    <xf numFmtId="0" fontId="73" fillId="2" borderId="1" xfId="0" applyFont="1" applyFill="1" applyBorder="1" applyAlignment="1">
      <alignment wrapText="1"/>
    </xf>
    <xf numFmtId="0" fontId="195" fillId="12" borderId="1" xfId="0" applyFont="1" applyFill="1" applyBorder="1" applyAlignment="1">
      <alignment vertical="center" wrapText="1"/>
    </xf>
    <xf numFmtId="0" fontId="2" fillId="0" borderId="1" xfId="0" applyFont="1" applyBorder="1" applyAlignment="1">
      <alignment wrapText="1"/>
    </xf>
    <xf numFmtId="0" fontId="73" fillId="0" borderId="1" xfId="0" applyFont="1" applyBorder="1" applyAlignment="1">
      <alignment horizontal="center" vertical="center" wrapText="1"/>
    </xf>
    <xf numFmtId="0" fontId="73" fillId="0" borderId="1" xfId="0" applyFont="1" applyBorder="1" applyAlignment="1">
      <alignment vertical="center" wrapText="1"/>
    </xf>
    <xf numFmtId="0" fontId="27" fillId="2" borderId="1" xfId="0" applyFont="1" applyFill="1" applyBorder="1" applyAlignment="1">
      <alignment wrapText="1"/>
    </xf>
    <xf numFmtId="0" fontId="196" fillId="3" borderId="1" xfId="0" applyFont="1" applyFill="1" applyBorder="1" applyAlignment="1">
      <alignment horizontal="left" vertical="center" wrapText="1"/>
    </xf>
    <xf numFmtId="0" fontId="73" fillId="0" borderId="1" xfId="0" applyFont="1" applyBorder="1" applyAlignment="1">
      <alignment vertical="center" wrapText="1"/>
    </xf>
    <xf numFmtId="0" fontId="73" fillId="0" borderId="1" xfId="0" applyFont="1" applyBorder="1" applyAlignment="1">
      <alignment vertical="center"/>
    </xf>
    <xf numFmtId="0" fontId="197" fillId="0" borderId="1" xfId="0" applyFont="1" applyBorder="1" applyAlignment="1">
      <alignment vertical="center"/>
    </xf>
    <xf numFmtId="0" fontId="198" fillId="2" borderId="1" xfId="0" applyFont="1" applyFill="1" applyBorder="1" applyAlignment="1">
      <alignment vertical="center" wrapText="1"/>
    </xf>
    <xf numFmtId="0" fontId="199" fillId="0" borderId="1" xfId="0" applyFont="1" applyBorder="1" applyAlignment="1">
      <alignment horizontal="center" vertical="center" wrapText="1"/>
    </xf>
    <xf numFmtId="0" fontId="200" fillId="2" borderId="1" xfId="0" applyFont="1" applyFill="1" applyBorder="1" applyAlignment="1">
      <alignment wrapText="1"/>
    </xf>
    <xf numFmtId="0" fontId="73" fillId="0" borderId="1" xfId="0" applyFont="1" applyBorder="1" applyAlignment="1">
      <alignment vertical="center"/>
    </xf>
    <xf numFmtId="0" fontId="4" fillId="2" borderId="1" xfId="0" applyFont="1" applyFill="1" applyBorder="1" applyAlignment="1">
      <alignment wrapText="1"/>
    </xf>
    <xf numFmtId="0" fontId="201" fillId="2" borderId="0" xfId="0" applyFont="1" applyFill="1" applyAlignment="1">
      <alignment wrapText="1"/>
    </xf>
    <xf numFmtId="0" fontId="202" fillId="2" borderId="0" xfId="0" applyFont="1" applyFill="1" applyAlignment="1">
      <alignment wrapText="1"/>
    </xf>
    <xf numFmtId="0" fontId="203" fillId="2" borderId="0" xfId="0" applyFont="1" applyFill="1" applyAlignment="1">
      <alignment wrapText="1"/>
    </xf>
    <xf numFmtId="0" fontId="4" fillId="3" borderId="1" xfId="0" applyFont="1" applyFill="1" applyBorder="1" applyAlignment="1">
      <alignment wrapText="1"/>
    </xf>
    <xf numFmtId="0" fontId="204" fillId="2" borderId="0" xfId="0" applyFont="1" applyFill="1" applyAlignment="1"/>
    <xf numFmtId="0" fontId="202" fillId="2" borderId="0" xfId="0" applyFont="1" applyFill="1" applyAlignment="1"/>
    <xf numFmtId="0" fontId="73" fillId="0" borderId="1" xfId="0" applyFont="1" applyBorder="1" applyAlignment="1">
      <alignment horizontal="center" vertical="center" wrapText="1"/>
    </xf>
    <xf numFmtId="0" fontId="205" fillId="0" borderId="1" xfId="0" applyFont="1" applyBorder="1" applyAlignment="1">
      <alignment vertical="center" wrapText="1"/>
    </xf>
    <xf numFmtId="0" fontId="73" fillId="2" borderId="1" xfId="0" applyFont="1" applyFill="1" applyBorder="1" applyAlignment="1">
      <alignment horizontal="left" wrapText="1"/>
    </xf>
    <xf numFmtId="0" fontId="206" fillId="2" borderId="1" xfId="0" applyFont="1" applyFill="1" applyBorder="1" applyAlignment="1">
      <alignment wrapText="1"/>
    </xf>
    <xf numFmtId="0" fontId="207" fillId="2" borderId="1" xfId="0" applyFont="1" applyFill="1" applyBorder="1" applyAlignment="1">
      <alignment wrapText="1"/>
    </xf>
    <xf numFmtId="0" fontId="27" fillId="2" borderId="1" xfId="0" applyFont="1" applyFill="1" applyBorder="1" applyAlignment="1">
      <alignment wrapText="1"/>
    </xf>
    <xf numFmtId="0" fontId="208" fillId="0" borderId="1" xfId="0" applyFont="1" applyBorder="1" applyAlignment="1">
      <alignment vertical="center" wrapText="1"/>
    </xf>
    <xf numFmtId="0" fontId="4" fillId="0" borderId="0" xfId="0" applyFont="1" applyAlignment="1">
      <alignment wrapText="1"/>
    </xf>
    <xf numFmtId="0" fontId="73" fillId="2" borderId="0" xfId="0" applyFont="1" applyFill="1" applyAlignment="1">
      <alignment horizontal="left" wrapText="1"/>
    </xf>
    <xf numFmtId="0" fontId="206" fillId="2" borderId="0" xfId="0" applyFont="1" applyFill="1" applyAlignment="1">
      <alignment wrapText="1"/>
    </xf>
    <xf numFmtId="0" fontId="73" fillId="2" borderId="0" xfId="0" applyFont="1" applyFill="1" applyAlignment="1">
      <alignment wrapText="1"/>
    </xf>
    <xf numFmtId="0" fontId="209" fillId="2" borderId="0" xfId="0" applyFont="1" applyFill="1" applyAlignment="1">
      <alignment wrapText="1"/>
    </xf>
    <xf numFmtId="0" fontId="2" fillId="0" borderId="0" xfId="0" applyFont="1" applyAlignment="1">
      <alignment wrapText="1"/>
    </xf>
    <xf numFmtId="0" fontId="27" fillId="2" borderId="0" xfId="0" applyFont="1" applyFill="1" applyAlignment="1">
      <alignment wrapText="1"/>
    </xf>
    <xf numFmtId="0" fontId="27" fillId="2" borderId="0" xfId="0" applyFont="1" applyFill="1" applyAlignment="1">
      <alignment wrapText="1"/>
    </xf>
    <xf numFmtId="0" fontId="28" fillId="6" borderId="2" xfId="0" applyFont="1" applyFill="1" applyBorder="1" applyAlignment="1">
      <alignment horizontal="left" vertical="center" wrapText="1"/>
    </xf>
    <xf numFmtId="0" fontId="28" fillId="6" borderId="2" xfId="0" applyFont="1" applyFill="1" applyBorder="1" applyAlignment="1">
      <alignment horizontal="left" vertical="center" wrapText="1"/>
    </xf>
    <xf numFmtId="0" fontId="0" fillId="2" borderId="1" xfId="0" applyFont="1" applyFill="1" applyBorder="1" applyAlignment="1">
      <alignment horizontal="left" vertical="center" wrapText="1"/>
    </xf>
    <xf numFmtId="0" fontId="210" fillId="2" borderId="1" xfId="0" applyFont="1" applyFill="1" applyBorder="1" applyAlignment="1">
      <alignment horizontal="left" vertical="center" wrapText="1"/>
    </xf>
    <xf numFmtId="0" fontId="179" fillId="2" borderId="1" xfId="0" applyFont="1" applyFill="1" applyBorder="1" applyAlignment="1">
      <alignment horizontal="left" vertical="center" wrapText="1"/>
    </xf>
    <xf numFmtId="182" fontId="179" fillId="2" borderId="1" xfId="0" applyNumberFormat="1" applyFont="1" applyFill="1" applyBorder="1" applyAlignment="1">
      <alignment horizontal="left" vertical="center" wrapText="1"/>
    </xf>
    <xf numFmtId="0" fontId="211" fillId="2" borderId="1" xfId="0" applyFont="1" applyFill="1" applyBorder="1" applyAlignment="1">
      <alignment horizontal="left" vertical="center" wrapText="1"/>
    </xf>
    <xf numFmtId="0" fontId="212" fillId="2" borderId="0" xfId="0" applyFont="1" applyFill="1" applyAlignment="1">
      <alignment horizontal="left" vertical="center" wrapText="1"/>
    </xf>
    <xf numFmtId="0" fontId="179" fillId="3" borderId="1" xfId="0" applyFont="1" applyFill="1" applyBorder="1" applyAlignment="1">
      <alignment horizontal="left" vertical="center" wrapText="1"/>
    </xf>
    <xf numFmtId="173" fontId="179" fillId="3" borderId="1" xfId="0" applyNumberFormat="1" applyFont="1" applyFill="1" applyBorder="1" applyAlignment="1">
      <alignment horizontal="left" vertical="center" wrapText="1"/>
    </xf>
    <xf numFmtId="0" fontId="179" fillId="3" borderId="1" xfId="0" applyFont="1" applyFill="1" applyBorder="1" applyAlignment="1">
      <alignment horizontal="left" vertical="center" wrapText="1"/>
    </xf>
    <xf numFmtId="0" fontId="213" fillId="3" borderId="1" xfId="0" applyFont="1" applyFill="1" applyBorder="1" applyAlignment="1">
      <alignment horizontal="left" vertical="center" wrapText="1"/>
    </xf>
    <xf numFmtId="0" fontId="179" fillId="3" borderId="1" xfId="0" applyFont="1" applyFill="1" applyBorder="1" applyAlignment="1">
      <alignment horizontal="left" vertical="center" wrapText="1"/>
    </xf>
    <xf numFmtId="0" fontId="179" fillId="2" borderId="1" xfId="0" applyFont="1" applyFill="1" applyBorder="1" applyAlignment="1">
      <alignment horizontal="left" vertical="center" wrapText="1"/>
    </xf>
    <xf numFmtId="182" fontId="179" fillId="3" borderId="1" xfId="0" applyNumberFormat="1" applyFont="1" applyFill="1" applyBorder="1" applyAlignment="1">
      <alignment horizontal="left" vertical="center" wrapText="1"/>
    </xf>
    <xf numFmtId="0" fontId="214" fillId="3" borderId="1" xfId="0" applyFont="1" applyFill="1" applyBorder="1" applyAlignment="1">
      <alignment horizontal="left" vertical="center" wrapText="1"/>
    </xf>
    <xf numFmtId="0" fontId="179" fillId="2" borderId="1" xfId="0" applyFont="1" applyFill="1" applyBorder="1" applyAlignment="1">
      <alignment horizontal="left" vertical="center" wrapText="1"/>
    </xf>
    <xf numFmtId="0" fontId="215" fillId="2" borderId="1" xfId="0" applyFont="1" applyFill="1" applyBorder="1" applyAlignment="1">
      <alignment horizontal="left" vertical="center" wrapText="1"/>
    </xf>
    <xf numFmtId="0" fontId="179" fillId="2" borderId="1" xfId="0" applyFont="1" applyFill="1" applyBorder="1" applyAlignment="1">
      <alignment horizontal="left" vertical="center" wrapText="1"/>
    </xf>
    <xf numFmtId="0" fontId="1" fillId="2" borderId="0" xfId="0" applyFont="1" applyFill="1" applyAlignment="1">
      <alignment horizontal="left"/>
    </xf>
    <xf numFmtId="0" fontId="179" fillId="2" borderId="1" xfId="0" applyFont="1" applyFill="1" applyBorder="1" applyAlignment="1">
      <alignment horizontal="left" vertical="center" wrapText="1"/>
    </xf>
    <xf numFmtId="167" fontId="179" fillId="2" borderId="1" xfId="0" applyNumberFormat="1" applyFont="1" applyFill="1" applyBorder="1" applyAlignment="1">
      <alignment horizontal="left" vertical="center" wrapText="1"/>
    </xf>
    <xf numFmtId="0" fontId="179" fillId="8" borderId="1" xfId="0" applyFont="1" applyFill="1" applyBorder="1" applyAlignment="1">
      <alignment horizontal="left" vertical="center" wrapText="1"/>
    </xf>
    <xf numFmtId="0" fontId="216" fillId="8" borderId="1" xfId="0" applyFont="1" applyFill="1" applyBorder="1" applyAlignment="1">
      <alignment horizontal="left" vertical="center" wrapText="1"/>
    </xf>
    <xf numFmtId="0" fontId="179" fillId="8" borderId="1" xfId="0" applyFont="1" applyFill="1" applyBorder="1" applyAlignment="1">
      <alignment horizontal="left" vertical="center" wrapText="1"/>
    </xf>
    <xf numFmtId="0" fontId="179" fillId="8" borderId="1" xfId="0" applyFont="1" applyFill="1" applyBorder="1" applyAlignment="1">
      <alignment horizontal="left" vertical="center" wrapText="1"/>
    </xf>
    <xf numFmtId="0" fontId="1" fillId="8" borderId="0" xfId="0" applyFont="1" applyFill="1"/>
    <xf numFmtId="0" fontId="217" fillId="3" borderId="1" xfId="0" applyFont="1" applyFill="1" applyBorder="1" applyAlignment="1">
      <alignment horizontal="left" vertical="center" wrapText="1"/>
    </xf>
    <xf numFmtId="0" fontId="218" fillId="3" borderId="1" xfId="0" applyFont="1" applyFill="1" applyBorder="1" applyAlignment="1">
      <alignment horizontal="left" vertical="center" wrapText="1"/>
    </xf>
    <xf numFmtId="0" fontId="217" fillId="2" borderId="1" xfId="0" applyFont="1" applyFill="1" applyBorder="1" applyAlignment="1">
      <alignment horizontal="left" vertical="center" wrapText="1"/>
    </xf>
    <xf numFmtId="183" fontId="179" fillId="2" borderId="1" xfId="0" applyNumberFormat="1" applyFont="1" applyFill="1" applyBorder="1" applyAlignment="1">
      <alignment horizontal="left" vertical="center" wrapText="1"/>
    </xf>
    <xf numFmtId="0" fontId="219" fillId="3" borderId="1" xfId="0" applyFont="1" applyFill="1" applyBorder="1" applyAlignment="1">
      <alignment horizontal="left" vertical="center" wrapText="1"/>
    </xf>
    <xf numFmtId="0" fontId="220" fillId="3" borderId="1" xfId="0" applyFont="1" applyFill="1" applyBorder="1" applyAlignment="1">
      <alignment horizontal="left" vertical="center" wrapText="1"/>
    </xf>
    <xf numFmtId="173" fontId="179" fillId="2" borderId="1" xfId="0" applyNumberFormat="1" applyFont="1" applyFill="1" applyBorder="1" applyAlignment="1">
      <alignment horizontal="left" vertical="center" wrapText="1"/>
    </xf>
    <xf numFmtId="1" fontId="221" fillId="2" borderId="1" xfId="0" applyNumberFormat="1" applyFont="1" applyFill="1" applyBorder="1" applyAlignment="1">
      <alignment horizontal="left" vertical="center" wrapText="1"/>
    </xf>
    <xf numFmtId="0" fontId="222" fillId="2" borderId="1" xfId="0" applyFont="1" applyFill="1" applyBorder="1" applyAlignment="1">
      <alignment horizontal="left" vertical="center" wrapText="1"/>
    </xf>
    <xf numFmtId="167" fontId="179" fillId="3" borderId="1" xfId="0" applyNumberFormat="1" applyFont="1" applyFill="1" applyBorder="1" applyAlignment="1">
      <alignment horizontal="left" vertical="center" wrapText="1"/>
    </xf>
    <xf numFmtId="0" fontId="179" fillId="12" borderId="1" xfId="0" applyFont="1" applyFill="1" applyBorder="1" applyAlignment="1">
      <alignment horizontal="left" vertical="center" wrapText="1"/>
    </xf>
    <xf numFmtId="0" fontId="217" fillId="12" borderId="1" xfId="0" applyFont="1" applyFill="1" applyBorder="1" applyAlignment="1">
      <alignment horizontal="left" vertical="center" wrapText="1"/>
    </xf>
    <xf numFmtId="0" fontId="223" fillId="12" borderId="1" xfId="0" applyFont="1" applyFill="1" applyBorder="1" applyAlignment="1">
      <alignment horizontal="left" vertical="center" wrapText="1"/>
    </xf>
    <xf numFmtId="0" fontId="179" fillId="12" borderId="1" xfId="0" applyFont="1" applyFill="1" applyBorder="1" applyAlignment="1">
      <alignment horizontal="left" vertical="center" wrapText="1"/>
    </xf>
    <xf numFmtId="0" fontId="1" fillId="12" borderId="0" xfId="0" applyFont="1" applyFill="1"/>
    <xf numFmtId="183" fontId="179" fillId="3" borderId="1" xfId="0" applyNumberFormat="1" applyFont="1" applyFill="1" applyBorder="1" applyAlignment="1">
      <alignment horizontal="left" vertical="center" wrapText="1"/>
    </xf>
    <xf numFmtId="0" fontId="224" fillId="2" borderId="1" xfId="0" applyFont="1" applyFill="1" applyBorder="1" applyAlignment="1">
      <alignment horizontal="left" vertical="center" wrapText="1"/>
    </xf>
    <xf numFmtId="0" fontId="179" fillId="3" borderId="1" xfId="0" applyFont="1" applyFill="1" applyBorder="1" applyAlignment="1">
      <alignment horizontal="left" vertical="center" wrapText="1"/>
    </xf>
    <xf numFmtId="0" fontId="179" fillId="3" borderId="1" xfId="0" applyFont="1" applyFill="1" applyBorder="1" applyAlignment="1">
      <alignment horizontal="left" vertical="center" wrapText="1"/>
    </xf>
    <xf numFmtId="0" fontId="179" fillId="0" borderId="1" xfId="0" applyFont="1" applyBorder="1" applyAlignment="1">
      <alignment horizontal="left" vertical="center" wrapText="1"/>
    </xf>
    <xf numFmtId="0" fontId="179" fillId="0" borderId="1" xfId="0" applyFont="1" applyBorder="1" applyAlignment="1">
      <alignment horizontal="left" vertical="center" wrapText="1"/>
    </xf>
    <xf numFmtId="0" fontId="225" fillId="0" borderId="1" xfId="0" applyFont="1" applyBorder="1" applyAlignment="1">
      <alignment horizontal="left" vertical="center" wrapText="1"/>
    </xf>
    <xf numFmtId="0" fontId="179" fillId="0" borderId="1" xfId="0" applyFont="1" applyBorder="1" applyAlignment="1">
      <alignment horizontal="left" vertical="center" wrapText="1"/>
    </xf>
    <xf numFmtId="0" fontId="226" fillId="0" borderId="1" xfId="0" applyFont="1" applyBorder="1" applyAlignment="1">
      <alignment horizontal="left" vertical="center" wrapText="1"/>
    </xf>
    <xf numFmtId="0" fontId="227" fillId="0" borderId="1" xfId="0" applyFont="1" applyBorder="1" applyAlignment="1">
      <alignment horizontal="left" vertical="center" wrapText="1"/>
    </xf>
    <xf numFmtId="183" fontId="228" fillId="0" borderId="1" xfId="0" applyNumberFormat="1" applyFont="1" applyBorder="1" applyAlignment="1">
      <alignment horizontal="left" vertical="center" wrapText="1"/>
    </xf>
    <xf numFmtId="15" fontId="0" fillId="2" borderId="1" xfId="0" applyNumberFormat="1" applyFont="1" applyFill="1" applyBorder="1" applyAlignment="1">
      <alignment horizontal="left" vertical="center" wrapText="1"/>
    </xf>
    <xf numFmtId="0" fontId="1" fillId="2" borderId="0" xfId="0" applyFont="1" applyFill="1" applyAlignment="1">
      <alignment wrapText="1"/>
    </xf>
    <xf numFmtId="0" fontId="1" fillId="3" borderId="0" xfId="0" applyFont="1" applyFill="1" applyAlignment="1">
      <alignment wrapText="1"/>
    </xf>
    <xf numFmtId="0" fontId="1" fillId="3" borderId="0" xfId="0" applyFont="1" applyFill="1" applyAlignment="1">
      <alignment vertical="center"/>
    </xf>
    <xf numFmtId="0" fontId="1" fillId="3" borderId="1" xfId="0" applyFont="1" applyFill="1" applyBorder="1" applyAlignment="1"/>
    <xf numFmtId="0" fontId="229" fillId="3" borderId="1" xfId="0" applyFont="1" applyFill="1" applyBorder="1" applyAlignment="1">
      <alignment wrapText="1"/>
    </xf>
    <xf numFmtId="0" fontId="229" fillId="3" borderId="1" xfId="0" applyFont="1" applyFill="1" applyBorder="1" applyAlignment="1"/>
    <xf numFmtId="183" fontId="179" fillId="3" borderId="1" xfId="0" applyNumberFormat="1" applyFont="1" applyFill="1" applyBorder="1" applyAlignment="1">
      <alignment horizontal="left" vertical="center" wrapText="1"/>
    </xf>
    <xf numFmtId="0" fontId="230" fillId="3" borderId="1" xfId="0" applyFont="1" applyFill="1" applyBorder="1" applyAlignment="1">
      <alignment horizontal="left" vertical="center" wrapText="1"/>
    </xf>
    <xf numFmtId="0" fontId="229" fillId="2" borderId="0" xfId="0" applyFont="1" applyFill="1" applyAlignment="1">
      <alignment wrapText="1"/>
    </xf>
    <xf numFmtId="0" fontId="229" fillId="2" borderId="0" xfId="0" applyFont="1" applyFill="1" applyAlignment="1"/>
    <xf numFmtId="0" fontId="179" fillId="2" borderId="0" xfId="0" applyFont="1" applyFill="1" applyAlignment="1">
      <alignment horizontal="left" vertical="center" wrapText="1"/>
    </xf>
    <xf numFmtId="0" fontId="231" fillId="2" borderId="0" xfId="0" applyFont="1" applyFill="1" applyAlignment="1">
      <alignment horizontal="left" vertical="center" wrapText="1"/>
    </xf>
    <xf numFmtId="0" fontId="229" fillId="3" borderId="0" xfId="0" applyFont="1" applyFill="1" applyAlignment="1">
      <alignment wrapText="1"/>
    </xf>
    <xf numFmtId="0" fontId="229" fillId="3" borderId="0" xfId="0" applyFont="1" applyFill="1" applyAlignment="1"/>
    <xf numFmtId="0" fontId="179" fillId="3" borderId="0" xfId="0" applyFont="1" applyFill="1" applyAlignment="1">
      <alignment horizontal="left" vertical="center" wrapText="1"/>
    </xf>
    <xf numFmtId="0" fontId="232" fillId="3" borderId="0" xfId="0" applyFont="1" applyFill="1" applyAlignment="1">
      <alignment horizontal="left" vertical="center" wrapText="1"/>
    </xf>
    <xf numFmtId="0" fontId="179" fillId="2" borderId="1" xfId="0" applyFont="1" applyFill="1" applyBorder="1" applyAlignment="1">
      <alignment horizontal="left" vertical="center" wrapText="1"/>
    </xf>
    <xf numFmtId="0" fontId="4" fillId="3" borderId="1" xfId="0" applyFont="1" applyFill="1" applyBorder="1" applyAlignment="1">
      <alignment horizontal="left" vertical="center"/>
    </xf>
    <xf numFmtId="0" fontId="85" fillId="3" borderId="1" xfId="0" applyFont="1" applyFill="1" applyBorder="1" applyAlignment="1">
      <alignment vertical="center" wrapText="1"/>
    </xf>
    <xf numFmtId="0" fontId="85" fillId="3" borderId="1" xfId="0" applyFont="1" applyFill="1" applyBorder="1" applyAlignment="1">
      <alignment vertical="center"/>
    </xf>
    <xf numFmtId="0" fontId="233" fillId="3" borderId="1" xfId="0" applyFont="1" applyFill="1" applyBorder="1" applyAlignment="1">
      <alignment horizontal="left" vertical="center" wrapText="1"/>
    </xf>
    <xf numFmtId="0" fontId="4" fillId="2" borderId="1" xfId="0" applyFont="1" applyFill="1" applyBorder="1" applyAlignment="1">
      <alignment horizontal="left" vertical="center"/>
    </xf>
    <xf numFmtId="0" fontId="4" fillId="0" borderId="1" xfId="0" applyFont="1" applyBorder="1" applyAlignment="1">
      <alignment horizontal="left" vertical="center"/>
    </xf>
    <xf numFmtId="0" fontId="0" fillId="0" borderId="0" xfId="0"/>
  </cellXfs>
  <cellStyles count="1">
    <cellStyle name="Normal" xfId="0" builtinId="0"/>
  </cellStyles>
  <dxfs count="50">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s>
  <tableStyles count="24">
    <tableStyle name="Departments-style" pivot="0" count="2">
      <tableStyleElement type="firstRowStripe" dxfId="49"/>
      <tableStyleElement type="secondRowStripe" dxfId="48"/>
    </tableStyle>
    <tableStyle name="Journal-style" pivot="0" count="2">
      <tableStyleElement type="firstRowStripe" dxfId="47"/>
      <tableStyleElement type="secondRowStripe" dxfId="46"/>
    </tableStyle>
    <tableStyle name="Journal-style 2" pivot="0" count="2">
      <tableStyleElement type="firstRowStripe" dxfId="45"/>
      <tableStyleElement type="secondRowStripe" dxfId="44"/>
    </tableStyle>
    <tableStyle name="Journal-style 3" pivot="0" count="2">
      <tableStyleElement type="firstRowStripe" dxfId="43"/>
      <tableStyleElement type="secondRowStripe" dxfId="42"/>
    </tableStyle>
    <tableStyle name="Journal-style 4" pivot="0" count="2">
      <tableStyleElement type="firstRowStripe" dxfId="41"/>
      <tableStyleElement type="secondRowStripe" dxfId="40"/>
    </tableStyle>
    <tableStyle name="Journal-style 5" pivot="0" count="2">
      <tableStyleElement type="firstRowStripe" dxfId="39"/>
      <tableStyleElement type="secondRowStripe" dxfId="38"/>
    </tableStyle>
    <tableStyle name="Conference -style" pivot="0" count="3">
      <tableStyleElement type="headerRow" dxfId="37"/>
      <tableStyleElement type="firstRowStripe" dxfId="36"/>
      <tableStyleElement type="secondRowStripe" dxfId="35"/>
    </tableStyle>
    <tableStyle name="Conference -style 2" pivot="0" count="2">
      <tableStyleElement type="firstRowStripe" dxfId="34"/>
      <tableStyleElement type="secondRowStripe" dxfId="33"/>
    </tableStyle>
    <tableStyle name="Conference -style 3" pivot="0" count="2">
      <tableStyleElement type="firstRowStripe" dxfId="32"/>
      <tableStyleElement type="secondRowStripe" dxfId="31"/>
    </tableStyle>
    <tableStyle name="Conference -style 4" pivot="0" count="2">
      <tableStyleElement type="firstRowStripe" dxfId="30"/>
      <tableStyleElement type="secondRowStripe" dxfId="29"/>
    </tableStyle>
    <tableStyle name="Conference -style 5" pivot="0" count="2">
      <tableStyleElement type="firstRowStripe" dxfId="28"/>
      <tableStyleElement type="secondRowStripe" dxfId="27"/>
    </tableStyle>
    <tableStyle name="Conference -style 6" pivot="0" count="2">
      <tableStyleElement type="firstRowStripe" dxfId="26"/>
      <tableStyleElement type="secondRowStripe" dxfId="25"/>
    </tableStyle>
    <tableStyle name="Conference -style 7" pivot="0" count="2">
      <tableStyleElement type="firstRowStripe" dxfId="24"/>
      <tableStyleElement type="secondRowStripe" dxfId="23"/>
    </tableStyle>
    <tableStyle name="Conference -style 8" pivot="0" count="2">
      <tableStyleElement type="firstRowStripe" dxfId="22"/>
      <tableStyleElement type="secondRowStripe" dxfId="21"/>
    </tableStyle>
    <tableStyle name="Conference -style 9" pivot="0" count="2">
      <tableStyleElement type="firstRowStripe" dxfId="20"/>
      <tableStyleElement type="secondRowStripe" dxfId="19"/>
    </tableStyle>
    <tableStyle name="Patent-style" pivot="0" count="2">
      <tableStyleElement type="firstRowStripe" dxfId="18"/>
      <tableStyleElement type="secondRowStripe" dxfId="17"/>
    </tableStyle>
    <tableStyle name="Conference Organised-style" pivot="0" count="3">
      <tableStyleElement type="headerRow" dxfId="16"/>
      <tableStyleElement type="firstRowStripe" dxfId="15"/>
      <tableStyleElement type="secondRowStripe" dxfId="14"/>
    </tableStyle>
    <tableStyle name="Conference Organised-style 2" pivot="0" count="2">
      <tableStyleElement type="firstRowStripe" dxfId="13"/>
      <tableStyleElement type="secondRowStripe" dxfId="12"/>
    </tableStyle>
    <tableStyle name="Conference Organised-style 3" pivot="0" count="2">
      <tableStyleElement type="firstRowStripe" dxfId="11"/>
      <tableStyleElement type="secondRowStripe" dxfId="10"/>
    </tableStyle>
    <tableStyle name="Conference Organised-style 4" pivot="0" count="2">
      <tableStyleElement type="firstRowStripe" dxfId="9"/>
      <tableStyleElement type="secondRowStripe" dxfId="8"/>
    </tableStyle>
    <tableStyle name="Any other Scientific Achivement-style" pivot="0" count="2">
      <tableStyleElement type="firstRowStripe" dxfId="7"/>
      <tableStyleElement type="secondRowStripe" dxfId="6"/>
    </tableStyle>
    <tableStyle name="Any other Scientific Achivement-style 2" pivot="0" count="2">
      <tableStyleElement type="firstRowStripe" dxfId="5"/>
      <tableStyleElement type="secondRowStripe" dxfId="4"/>
    </tableStyle>
    <tableStyle name="Any other Scientific Achivement-style 3" pivot="0" count="2">
      <tableStyleElement type="firstRowStripe" dxfId="3"/>
      <tableStyleElement type="secondRowStripe" dxfId="2"/>
    </tableStyle>
    <tableStyle name="Any other Scientific Achivement-style 4" pivot="0" count="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5" Type="http://schemas.openxmlformats.org/officeDocument/2006/relationships/worksheet" Target="worksheets/sheet5.xml"/><Relationship Id="rId19" Type="http://schemas.openxmlformats.org/officeDocument/2006/relationships/styles" Target="styles.xml"/><Relationship Id="rId4" Type="http://schemas.openxmlformats.org/officeDocument/2006/relationships/worksheet" Target="worksheets/sheet4.xml"/></Relationships>
</file>

<file path=xl/tables/table1.xml><?xml version="1.0" encoding="utf-8"?>
<table xmlns="http://schemas.openxmlformats.org/spreadsheetml/2006/main" id="2" name="Table_2" displayName="Table_2" ref="F66:Z71" headerRowCount="0">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StyleInfo name="Journal-style" showFirstColumn="1" showLastColumn="1" showRowStripes="1" showColumnStripes="0"/>
</table>
</file>

<file path=xl/tables/table2.xml><?xml version="1.0" encoding="utf-8"?>
<table xmlns="http://schemas.openxmlformats.org/spreadsheetml/2006/main" id="3" name="Table_3" displayName="Table_3" ref="B72:E73" headerRowCount="0">
  <tableColumns count="4">
    <tableColumn id="1" name="Column1"/>
    <tableColumn id="2" name="Column2"/>
    <tableColumn id="3" name="Column3"/>
    <tableColumn id="4" name="Column4"/>
  </tableColumns>
  <tableStyleInfo name="Journal-style 2" showFirstColumn="1" showLastColumn="1" showRowStripes="1" showColumnStripes="0"/>
</table>
</file>

<file path=xl/tables/table3.xml><?xml version="1.0" encoding="utf-8"?>
<table xmlns="http://schemas.openxmlformats.org/spreadsheetml/2006/main" id="4" name="Table_4" displayName="Table_4" ref="F72:Z73" headerRowCount="0">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StyleInfo name="Journal-style 3" showFirstColumn="1" showLastColumn="1" showRowStripes="1" showColumnStripes="0"/>
</table>
</file>

<file path=xl/tables/table4.xml><?xml version="1.0" encoding="utf-8"?>
<table xmlns="http://schemas.openxmlformats.org/spreadsheetml/2006/main" id="5" name="Table_5" displayName="Table_5" ref="A74:Z74" headerRowCount="0">
  <tableColumns count="26">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s>
  <tableStyleInfo name="Journal-style 4" showFirstColumn="1" showLastColumn="1" showRowStripes="1" showColumnStripes="0"/>
</table>
</file>

<file path=xl/tables/table5.xml><?xml version="1.0" encoding="utf-8"?>
<table xmlns="http://schemas.openxmlformats.org/spreadsheetml/2006/main" id="6" name="Table_6" displayName="Table_6" ref="A75:Z76" headerRowCount="0">
  <tableColumns count="26">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s>
  <tableStyleInfo name="Journal-style 5" showFirstColumn="1" showLastColumn="1" showRowStripes="1" showColumnStripes="0"/>
</table>
</file>

<file path=xl/tables/table6.xml><?xml version="1.0" encoding="utf-8"?>
<table xmlns="http://schemas.openxmlformats.org/spreadsheetml/2006/main" id="7" name="Table_7" displayName="Table_7" ref="A1:X114">
  <tableColumns count="24">
    <tableColumn id="1" name="Salutation"/>
    <tableColumn id="2" name="Name of the Faculty"/>
    <tableColumn id="3" name="IILMU Faculty ID"/>
    <tableColumn id="4" name="Designation"/>
    <tableColumn id="5" name="Name of the Department"/>
    <tableColumn id="6" name="Name of the Conference"/>
    <tableColumn id="7" name="Type of the Conference"/>
    <tableColumn id="8" name="Indexing of Conference Publication [Scopus/WoS]"/>
    <tableColumn id="9" name="Publisher of the Conference Proceedings"/>
    <tableColumn id="10" name="Conference Organizer"/>
    <tableColumn id="11" name="Role of yourself in conference"/>
    <tableColumn id="12" name="Name of the Authors"/>
    <tableColumn id="13" name="Title of the Paper"/>
    <tableColumn id="14" name="Page Number"/>
    <tableColumn id="15" name="Month  of Publication"/>
    <tableColumn id="16" name="Year of Publication"/>
    <tableColumn id="17" name="Are you the Corresponding Author"/>
    <tableColumn id="18" name="DOI"/>
    <tableColumn id="19" name="Published Paper Online Link"/>
    <tableColumn id="20" name="Upload Conference Certificate"/>
    <tableColumn id="21" name="Upload the full paper published in the conference"/>
    <tableColumn id="22" name="Upload Certificate of Attendee / Panelist / Session Chair / Keynote Speaker"/>
    <tableColumn id="23" name="Column1"/>
    <tableColumn id="24" name="Column2"/>
  </tableColumns>
  <tableStyleInfo name="Conference -style" showFirstColumn="1" showLastColumn="1" showRowStripes="1" showColumnStripes="0"/>
</table>
</file>

<file path=xl/tables/table7.xml><?xml version="1.0" encoding="utf-8"?>
<table xmlns="http://schemas.openxmlformats.org/spreadsheetml/2006/main" id="8" name="Table_8" displayName="Table_8" ref="A115:E120" headerRowCount="0">
  <tableColumns count="5">
    <tableColumn id="1" name="Column1"/>
    <tableColumn id="2" name="Column2"/>
    <tableColumn id="3" name="Column3"/>
    <tableColumn id="4" name="Column4"/>
    <tableColumn id="5" name="Column5"/>
  </tableColumns>
  <tableStyleInfo name="Conference -style 2" showFirstColumn="1" showLastColumn="1" showRowStripes="1" showColumnStripes="0"/>
</table>
</file>

<file path=xl/tables/table8.xml><?xml version="1.0" encoding="utf-8"?>
<table xmlns="http://schemas.openxmlformats.org/spreadsheetml/2006/main" id="9" name="Table_9" displayName="Table_9" ref="F119:W120" headerRowCount="0">
  <tableColumns count="18">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s>
  <tableStyleInfo name="Conference -style 3" showFirstColumn="1" showLastColumn="1" showRowStripes="1" showColumnStripes="0"/>
</table>
</file>

<file path=xl/tables/table9.xml><?xml version="1.0" encoding="utf-8"?>
<table xmlns="http://schemas.openxmlformats.org/spreadsheetml/2006/main" id="10" name="Table_10" displayName="Table_10" ref="A121:X123" headerRowCount="0">
  <tableColumns count="2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s>
  <tableStyleInfo name="Conference -style 4" showFirstColumn="1" showLastColumn="1" showRowStripes="1" showColumnStripes="0"/>
</table>
</file>

<file path=xl/tables/table10.xml><?xml version="1.0" encoding="utf-8"?>
<table xmlns="http://schemas.openxmlformats.org/spreadsheetml/2006/main" id="11" name="Table_11" displayName="Table_11" ref="A124:X132" headerRowCount="0">
  <tableColumns count="2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s>
  <tableStyleInfo name="Conference -style 5" showFirstColumn="1" showLastColumn="1" showRowStripes="1" showColumnStripes="0"/>
</table>
</file>

<file path=xl/tables/table11.xml><?xml version="1.0" encoding="utf-8"?>
<table xmlns="http://schemas.openxmlformats.org/spreadsheetml/2006/main" id="12" name="Table_12" displayName="Table_12" ref="C134:X158"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Conference -style 6" showFirstColumn="1" showLastColumn="1" showRowStripes="1" showColumnStripes="0"/>
</table>
</file>

<file path=xl/tables/table12.xml><?xml version="1.0" encoding="utf-8"?>
<table xmlns="http://schemas.openxmlformats.org/spreadsheetml/2006/main" id="13" name="Table_13" displayName="Table_13" ref="C159:X168"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Conference -style 7" showFirstColumn="1" showLastColumn="1" showRowStripes="1" showColumnStripes="0"/>
</table>
</file>

<file path=xl/tables/table13.xml><?xml version="1.0" encoding="utf-8"?>
<table xmlns="http://schemas.openxmlformats.org/spreadsheetml/2006/main" id="14" name="Table_14" displayName="Table_14" ref="C169:X171"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Conference -style 8" showFirstColumn="1" showLastColumn="1" showRowStripes="1" showColumnStripes="0"/>
</table>
</file>

<file path=xl/tables/table14.xml><?xml version="1.0" encoding="utf-8"?>
<table xmlns="http://schemas.openxmlformats.org/spreadsheetml/2006/main" id="15" name="Table_15" displayName="Table_15" ref="G172:R175"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Conference -style 9" showFirstColumn="1" showLastColumn="1" showRowStripes="1" showColumnStripes="0"/>
</table>
</file>

<file path=xl/tables/table15.xml><?xml version="1.0" encoding="utf-8"?>
<table xmlns="http://schemas.openxmlformats.org/spreadsheetml/2006/main" id="16" name="Table_16" displayName="Table_16" ref="A68:Q68" headerRowCount="0">
  <tableColumns count="17">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s>
  <tableStyleInfo name="Paten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researchgate.net/publication/390481554_Blending_AI_and_Deep_Learning_for_Visual_Arts_Development_to_Explore_a_New_Aesthetic_Dimension?__cf_chl_tk=F5Uow1eBPV2CFbFyHU9d901AVMeIQJykGuy95uKGw1o-1761540794-1.0.1.1-M.sbewtc3GLpF33Rn33SG_xWemJRrAEC45EoITpbkP8" TargetMode="External"/><Relationship Id="rId21" Type="http://schemas.openxmlformats.org/officeDocument/2006/relationships/hyperlink" Target="https://drive.google.com/file/d/1__3vcJP2iLdhsi-L-jLgD_3puzoGuFuw/view" TargetMode="External"/><Relationship Id="rId42" Type="http://schemas.openxmlformats.org/officeDocument/2006/relationships/hyperlink" Target="https://drive.google.com/file/d/1UmDrI028mZrR8xEt1e5lsCC-3sn3eEyM/view?usp=drive_link" TargetMode="External"/><Relationship Id="rId63" Type="http://schemas.openxmlformats.org/officeDocument/2006/relationships/hyperlink" Target="https://doi.org/10.3390/life15030327" TargetMode="External"/><Relationship Id="rId84" Type="http://schemas.openxmlformats.org/officeDocument/2006/relationships/hyperlink" Target="https://doi.org/10.1007/s12083-025-02123-4" TargetMode="External"/><Relationship Id="rId138" Type="http://schemas.openxmlformats.org/officeDocument/2006/relationships/hyperlink" Target="https://drive.google.com/file/d/1wPEfM4iTaV6nRICHU9fe1lBnQAIpVtUk/view?usp=sharing" TargetMode="External"/><Relationship Id="rId159" Type="http://schemas.openxmlformats.org/officeDocument/2006/relationships/hyperlink" Target="https://doi.org/10.1186/s40537-025-01201-x" TargetMode="External"/><Relationship Id="rId170" Type="http://schemas.openxmlformats.org/officeDocument/2006/relationships/hyperlink" Target="https://www.sciencedirect.com/science/article/pii/S2665972725000285" TargetMode="External"/><Relationship Id="rId191" Type="http://schemas.openxmlformats.org/officeDocument/2006/relationships/hyperlink" Target="https://drive.google.com/file/d/1FQ0ufTycGM4gA8Bn7HgY5qstygyX9hrm/view?usp=drive_link" TargetMode="External"/><Relationship Id="rId205" Type="http://schemas.openxmlformats.org/officeDocument/2006/relationships/hyperlink" Target="https://aber.apacsci.com/index.php/met/article/viewFile/3711/4187" TargetMode="External"/><Relationship Id="rId107" Type="http://schemas.openxmlformats.org/officeDocument/2006/relationships/hyperlink" Target="https://drive.google.com/file/d/1AIxBeoBMDBY9rajiL5HkLOtSpjqw7hzT/view?usp=drive_link" TargetMode="External"/><Relationship Id="rId11" Type="http://schemas.openxmlformats.org/officeDocument/2006/relationships/hyperlink" Target="https://drive.google.com/file/d/1bmQxL7z6RYuUqSdIeVtaJ4HAWaj4Bwl5/view" TargetMode="External"/><Relationship Id="rId32" Type="http://schemas.openxmlformats.org/officeDocument/2006/relationships/hyperlink" Target="https://doi.org/10.1186/s40537-025-01201-x" TargetMode="External"/><Relationship Id="rId53" Type="http://schemas.openxmlformats.org/officeDocument/2006/relationships/hyperlink" Target="https://theaspd.com/index.php/ijes/article/view/6172" TargetMode="External"/><Relationship Id="rId74" Type="http://schemas.openxmlformats.org/officeDocument/2006/relationships/hyperlink" Target="https://jqst.org/index.php/j/article/view/179/183" TargetMode="External"/><Relationship Id="rId128" Type="http://schemas.openxmlformats.org/officeDocument/2006/relationships/hyperlink" Target="https://onlinelibrary.wiley.com/doi/epdf/10.1002/ett.70280" TargetMode="External"/><Relationship Id="rId149" Type="http://schemas.openxmlformats.org/officeDocument/2006/relationships/hyperlink" Target="https://ijarcse.org/index.php/ijarcse/article/download/26/17" TargetMode="External"/><Relationship Id="rId5" Type="http://schemas.openxmlformats.org/officeDocument/2006/relationships/hyperlink" Target="https://drive.google.com/file/d/1YtJoobelpMYn3CQIfiF6mWoLyCyFLMcL/view?usp=drive_link" TargetMode="External"/><Relationship Id="rId90" Type="http://schemas.openxmlformats.org/officeDocument/2006/relationships/hyperlink" Target="https://doi.org/10.1007/s42452-025-07419-x" TargetMode="External"/><Relationship Id="rId95" Type="http://schemas.openxmlformats.org/officeDocument/2006/relationships/hyperlink" Target="https://drive.google.com/file/d/1mTQpGCmsOgHYu6kDoqoXSNRof9ndzeIW/view?usp=drive_link" TargetMode="External"/><Relationship Id="rId160" Type="http://schemas.openxmlformats.org/officeDocument/2006/relationships/hyperlink" Target="https://journalofbigdata.springeropen.com/counter/pdf/10.1186/s40537-025-01201-x.pdf" TargetMode="External"/><Relationship Id="rId165" Type="http://schemas.openxmlformats.org/officeDocument/2006/relationships/hyperlink" Target="https://doi.org/10.32604/jbd.2025.065122" TargetMode="External"/><Relationship Id="rId181" Type="http://schemas.openxmlformats.org/officeDocument/2006/relationships/hyperlink" Target="https://doi.org/10.1038/s41598-025-28813-w" TargetMode="External"/><Relationship Id="rId186" Type="http://schemas.openxmlformats.org/officeDocument/2006/relationships/hyperlink" Target="https://doi.org/10.1038/s41598-025-33970-z" TargetMode="External"/><Relationship Id="rId216" Type="http://schemas.openxmlformats.org/officeDocument/2006/relationships/table" Target="../tables/table4.xml"/><Relationship Id="rId211" Type="http://schemas.openxmlformats.org/officeDocument/2006/relationships/hyperlink" Target="https://onlinelibrary.wiley.com/doi/abs/10.1002/ett.70376" TargetMode="External"/><Relationship Id="rId22" Type="http://schemas.openxmlformats.org/officeDocument/2006/relationships/hyperlink" Target="https://doi.org/10.52783/cana.v32.1617" TargetMode="External"/><Relationship Id="rId27" Type="http://schemas.openxmlformats.org/officeDocument/2006/relationships/hyperlink" Target="https://www.sciencedirect.com/science/article/abs/pii/S0950705125008792" TargetMode="External"/><Relationship Id="rId43" Type="http://schemas.openxmlformats.org/officeDocument/2006/relationships/hyperlink" Target="https://link.springer.com/journal/41870" TargetMode="External"/><Relationship Id="rId48" Type="http://schemas.openxmlformats.org/officeDocument/2006/relationships/hyperlink" Target="https://carcinogenesis.com/index.php/JOC/article/view/812" TargetMode="External"/><Relationship Id="rId64" Type="http://schemas.openxmlformats.org/officeDocument/2006/relationships/hyperlink" Target="https://www.mdpi.com/2075-1729/15/3/327" TargetMode="External"/><Relationship Id="rId69" Type="http://schemas.openxmlformats.org/officeDocument/2006/relationships/hyperlink" Target="https://doi.org/10.36676/jrps.v16.i2.262" TargetMode="External"/><Relationship Id="rId113" Type="http://schemas.openxmlformats.org/officeDocument/2006/relationships/hyperlink" Target="https://drive.google.com/file/d/1sY1q_r5eFEZqmHpDjs64BdvodeHI5Wkp/view?usp=drive_link" TargetMode="External"/><Relationship Id="rId118" Type="http://schemas.openxmlformats.org/officeDocument/2006/relationships/hyperlink" Target="https://drive.google.com/file/d/1e4bbDIO64xS9xO2FOiF2oFGowa9cTtLu/view?usp=sharing" TargetMode="External"/><Relationship Id="rId134" Type="http://schemas.openxmlformats.org/officeDocument/2006/relationships/hyperlink" Target="https://aber.apacsci.com/index.php/met/article/view/3728" TargetMode="External"/><Relationship Id="rId139" Type="http://schemas.openxmlformats.org/officeDocument/2006/relationships/hyperlink" Target="https://doi.org/10.54517/3711m" TargetMode="External"/><Relationship Id="rId80" Type="http://schemas.openxmlformats.org/officeDocument/2006/relationships/hyperlink" Target="https://drive.google.com/drive/folders/16a2lmD6osqP58dEXQh8Fv6LKnLxdACVJ?usp=sharing" TargetMode="External"/><Relationship Id="rId85" Type="http://schemas.openxmlformats.org/officeDocument/2006/relationships/hyperlink" Target="https://link.springer.com/article/10.1007/s12083-025-02123-4" TargetMode="External"/><Relationship Id="rId150" Type="http://schemas.openxmlformats.org/officeDocument/2006/relationships/hyperlink" Target="https://ijarcse.org/index.php/ijarcse/article/download/26/17" TargetMode="External"/><Relationship Id="rId155" Type="http://schemas.openxmlformats.org/officeDocument/2006/relationships/hyperlink" Target="https://www.mdpi.com/2075-1729/15/3/327" TargetMode="External"/><Relationship Id="rId171" Type="http://schemas.openxmlformats.org/officeDocument/2006/relationships/hyperlink" Target="https://drive.google.com/drive/folders/1wMJ5bo8dZD4gtpfLdL7IOuGp2iz7PDmt?usp=drive_link" TargetMode="External"/><Relationship Id="rId176" Type="http://schemas.openxmlformats.org/officeDocument/2006/relationships/hyperlink" Target="https://doi.org/10.63345/ijrhs.net.v13.i3.4" TargetMode="External"/><Relationship Id="rId192" Type="http://schemas.openxmlformats.org/officeDocument/2006/relationships/hyperlink" Target="https://doi.org/10.1038/s41598-025-32274-6" TargetMode="External"/><Relationship Id="rId197" Type="http://schemas.openxmlformats.org/officeDocument/2006/relationships/hyperlink" Target="https://drive.google.com/file/d/19ap2CqbTGekL7Lz6i0KGhQLj-89Fh_VZ/view?usp=drive_link" TargetMode="External"/><Relationship Id="rId206" Type="http://schemas.openxmlformats.org/officeDocument/2006/relationships/hyperlink" Target="https://drive.google.com/drive/u/2/my-drive" TargetMode="External"/><Relationship Id="rId201" Type="http://schemas.openxmlformats.org/officeDocument/2006/relationships/hyperlink" Target="https://doi.org/10.5815/ijitcs.2025.06.10" TargetMode="External"/><Relationship Id="rId12" Type="http://schemas.openxmlformats.org/officeDocument/2006/relationships/hyperlink" Target="https://doi.org/10.63345/jqst.v2i2.294" TargetMode="External"/><Relationship Id="rId17" Type="http://schemas.openxmlformats.org/officeDocument/2006/relationships/hyperlink" Target="https://pmc.ncbi.nlm.nih.gov/articles/PMC12302034/" TargetMode="External"/><Relationship Id="rId33" Type="http://schemas.openxmlformats.org/officeDocument/2006/relationships/hyperlink" Target="https://journalofbigdata.springeropen.com/articles/10.1186/s40537-025-01201-x" TargetMode="External"/><Relationship Id="rId38" Type="http://schemas.openxmlformats.org/officeDocument/2006/relationships/hyperlink" Target="https://doi.org/10.14419/wf3p9b62" TargetMode="External"/><Relationship Id="rId59" Type="http://schemas.openxmlformats.org/officeDocument/2006/relationships/hyperlink" Target="https://drive.google.com/file/d/1lAHO7zo9pRvkGBy6a7qVpfyaIqFihry8/view?usp=drive_link" TargetMode="External"/><Relationship Id="rId103" Type="http://schemas.openxmlformats.org/officeDocument/2006/relationships/hyperlink" Target="https://www.nature.com/articles/s41598-025-28813-w?_gl=1*1w4ni3j*_up*MQ..*_gs*MQ..&amp;gclid=Cj0KCQiAubrJBhCbARIsAHIdxD9euNNTnIvwhJ13q9yKX4SSYSGJl6_NbaDSe2W0LKe708-oSm64u00aAqPOEALw_wcB&amp;gbraid=0AAAAApIOr-WpOFQBTPORWAAqFelh4XE65" TargetMode="External"/><Relationship Id="rId108" Type="http://schemas.openxmlformats.org/officeDocument/2006/relationships/hyperlink" Target="https://doi.org/10.1109/TCE.2025.3583636" TargetMode="External"/><Relationship Id="rId124" Type="http://schemas.openxmlformats.org/officeDocument/2006/relationships/hyperlink" Target="https://doi.org/10.18280/isi.300221" TargetMode="External"/><Relationship Id="rId129" Type="http://schemas.openxmlformats.org/officeDocument/2006/relationships/hyperlink" Target="https://drive.google.com/file/d/1HYXktlb-QT02WjxippT0FVjoMWrXuqU-/view?usp=sharing" TargetMode="External"/><Relationship Id="rId54" Type="http://schemas.openxmlformats.org/officeDocument/2006/relationships/hyperlink" Target="https://drive.google.com/drive/u/0/folders/1ikxa6IDfSIZSHhpIdkK5B-pdY_BARmQj" TargetMode="External"/><Relationship Id="rId70" Type="http://schemas.openxmlformats.org/officeDocument/2006/relationships/hyperlink" Target="http://jrpsjournal.in/index.php/j/article/view/262" TargetMode="External"/><Relationship Id="rId75" Type="http://schemas.openxmlformats.org/officeDocument/2006/relationships/hyperlink" Target="https://doi.org/10.62110/sciencein.jist.2025.v13.1181" TargetMode="External"/><Relationship Id="rId91" Type="http://schemas.openxmlformats.org/officeDocument/2006/relationships/hyperlink" Target="https://link.springer.com/article/10.1007/s42452-025-07419-x" TargetMode="External"/><Relationship Id="rId96" Type="http://schemas.openxmlformats.org/officeDocument/2006/relationships/hyperlink" Target="https://link.springer.com/article/10.1007/s12083-025-02175-6" TargetMode="External"/><Relationship Id="rId140" Type="http://schemas.openxmlformats.org/officeDocument/2006/relationships/hyperlink" Target="https://aber.apacsci.com/index.php/met/article/viewFile/3711/4187" TargetMode="External"/><Relationship Id="rId145" Type="http://schemas.openxmlformats.org/officeDocument/2006/relationships/hyperlink" Target="https://doi.org/10.63345/v1.i3.67" TargetMode="External"/><Relationship Id="rId161" Type="http://schemas.openxmlformats.org/officeDocument/2006/relationships/hyperlink" Target="https://drive.google.com/file/d/1NJbCYWBZE520si2eIMDMLySkpzXXGuyn/view?usp=sharing" TargetMode="External"/><Relationship Id="rId166" Type="http://schemas.openxmlformats.org/officeDocument/2006/relationships/hyperlink" Target="https://scholar.google.com/citations?view_op=view_citation&amp;hl=en&amp;user=VC6stlsAAAAJ&amp;sortby=pubdate&amp;citation_for_view=VC6stlsAAAAJ:Zph67rFs4hoC" TargetMode="External"/><Relationship Id="rId182" Type="http://schemas.openxmlformats.org/officeDocument/2006/relationships/hyperlink" Target="https://www.nature.com/articles/s41598-025-28813-w?_gl=1*1w4ni3j*_up*MQ..*_gs*MQ..&amp;gclid=Cj0KCQiAubrJBhCbARIsAHIdxD9euNNTnIvwhJ13q9yKX4SSYSGJl6_NbaDSe2W0LKe708-oSm64u00aAqPOEALw_wcB&amp;gbraid=0AAAAApIOr-WpOFQBTPORWAAqFelh4XE65" TargetMode="External"/><Relationship Id="rId187" Type="http://schemas.openxmlformats.org/officeDocument/2006/relationships/hyperlink" Target="https://www.nature.com/articles/s41598-025-33970-z" TargetMode="External"/><Relationship Id="rId217" Type="http://schemas.openxmlformats.org/officeDocument/2006/relationships/table" Target="../tables/table5.xml"/><Relationship Id="rId1" Type="http://schemas.openxmlformats.org/officeDocument/2006/relationships/hyperlink" Target="https://www.nature.com/articles/s41598-025-19593-4" TargetMode="External"/><Relationship Id="rId6" Type="http://schemas.openxmlformats.org/officeDocument/2006/relationships/hyperlink" Target="https://doi.org/10.1186/s40537-025-01201-x" TargetMode="External"/><Relationship Id="rId212" Type="http://schemas.openxmlformats.org/officeDocument/2006/relationships/hyperlink" Target="https://drive.google.com/file/d/1ClSCOrvgMlj8SqcrHH_e3Yx7UNBWafKA/view?usp=drive_link" TargetMode="External"/><Relationship Id="rId23" Type="http://schemas.openxmlformats.org/officeDocument/2006/relationships/hyperlink" Target="https://internationalpubls.com/index.php/cana/article/view/1617" TargetMode="External"/><Relationship Id="rId28" Type="http://schemas.openxmlformats.org/officeDocument/2006/relationships/hyperlink" Target="https://drive.google.com/file/d/1Bdss_1pMZk2eVG9C-m3MqUfX4t_DRBzd/view?usp=sharing" TargetMode="External"/><Relationship Id="rId49" Type="http://schemas.openxmlformats.org/officeDocument/2006/relationships/hyperlink" Target="https://docs.google.com/document/d/1ABEdia99RgxlWB_fWp5vkxLNw2ypl6qV7WaXFsilqXo/edit?usp=sharing" TargetMode="External"/><Relationship Id="rId114" Type="http://schemas.openxmlformats.org/officeDocument/2006/relationships/hyperlink" Target="https://www.researchgate.net/publication/389419145_A_Deep_Learning_Approach_for_Optimizing_Edge_Computing_for_Real-Time_IoT_Applications" TargetMode="External"/><Relationship Id="rId119" Type="http://schemas.openxmlformats.org/officeDocument/2006/relationships/hyperlink" Target="https://drive.google.com/file/d/1Y_bcJmcl_LnkMQPPCwZ0L0d3rZinFdhY/view?usp=sharing" TargetMode="External"/><Relationship Id="rId44" Type="http://schemas.openxmlformats.org/officeDocument/2006/relationships/hyperlink" Target="https://drive.google.com/drive/folders/1CbmC-yU2ION4dpEef0Jf3O4J3dLLKvtj?usp=sharing" TargetMode="External"/><Relationship Id="rId60" Type="http://schemas.openxmlformats.org/officeDocument/2006/relationships/hyperlink" Target="https://doi.org/10.64252/xs74wn02" TargetMode="External"/><Relationship Id="rId65" Type="http://schemas.openxmlformats.org/officeDocument/2006/relationships/hyperlink" Target="https://drive.google.com/file/d/19iVCyBTp2hM_hVC4mCogCN5_nzw79H_t/view?usp=drive_link" TargetMode="External"/><Relationship Id="rId81" Type="http://schemas.openxmlformats.org/officeDocument/2006/relationships/hyperlink" Target="https://doi.org/10.22712/susb.20250023" TargetMode="External"/><Relationship Id="rId86" Type="http://schemas.openxmlformats.org/officeDocument/2006/relationships/hyperlink" Target="https://drive.google.com/file/d/1UsT3jiP9_5_6ZKcNALpAmfd0i_lb34D4/view?usp=drive_link" TargetMode="External"/><Relationship Id="rId130" Type="http://schemas.openxmlformats.org/officeDocument/2006/relationships/hyperlink" Target="https://doi.org/10.1016/j.array.2025.100531." TargetMode="External"/><Relationship Id="rId135" Type="http://schemas.openxmlformats.org/officeDocument/2006/relationships/hyperlink" Target="https://drive.google.com/file/d/1TxaykHyLTXrkcbVNvPekM_pB4DUQtlHS/view?usp=sharing" TargetMode="External"/><Relationship Id="rId151" Type="http://schemas.openxmlformats.org/officeDocument/2006/relationships/hyperlink" Target="https://doi.org/10.63345/ijrhs.net.v13.i3.15" TargetMode="External"/><Relationship Id="rId156" Type="http://schemas.openxmlformats.org/officeDocument/2006/relationships/hyperlink" Target="https://drive.google.com/file/d/19iVCyBTp2hM_hVC4mCogCN5_nzw79H_t/view?usp=drive_link" TargetMode="External"/><Relationship Id="rId177" Type="http://schemas.openxmlformats.org/officeDocument/2006/relationships/hyperlink" Target="https://elibrary.ru/item.asp?id=81934354" TargetMode="External"/><Relationship Id="rId198" Type="http://schemas.openxmlformats.org/officeDocument/2006/relationships/hyperlink" Target="https://doi.org/10.1038/s41598-025-33970-z" TargetMode="External"/><Relationship Id="rId172" Type="http://schemas.openxmlformats.org/officeDocument/2006/relationships/hyperlink" Target="https://doi.org/10.1109/ACCESS.2025.3622481" TargetMode="External"/><Relationship Id="rId193" Type="http://schemas.openxmlformats.org/officeDocument/2006/relationships/hyperlink" Target="https://www.nature.com/articles/s41598-025-32274-6" TargetMode="External"/><Relationship Id="rId202" Type="http://schemas.openxmlformats.org/officeDocument/2006/relationships/hyperlink" Target="https://www.mecs-press.org/ijitcs/v17n6.html" TargetMode="External"/><Relationship Id="rId207" Type="http://schemas.openxmlformats.org/officeDocument/2006/relationships/hyperlink" Target="https://doi.org/10.1177/14759217251410489" TargetMode="External"/><Relationship Id="rId13" Type="http://schemas.openxmlformats.org/officeDocument/2006/relationships/hyperlink" Target="https://jqst.org/index.php/j/article/view/294" TargetMode="External"/><Relationship Id="rId18" Type="http://schemas.openxmlformats.org/officeDocument/2006/relationships/hyperlink" Target="https://drive.google.com/file/d/1iT1hpJV_32uc5IwTGnMtFiV5Uj_RLItb/view?usp=sharing" TargetMode="External"/><Relationship Id="rId39" Type="http://schemas.openxmlformats.org/officeDocument/2006/relationships/hyperlink" Target="https://www.sciencepubco.com/index.php/IJBAS/article/view/33746" TargetMode="External"/><Relationship Id="rId109" Type="http://schemas.openxmlformats.org/officeDocument/2006/relationships/hyperlink" Target="https://ieeexplore.ieee.org/abstract/document/11052738" TargetMode="External"/><Relationship Id="rId34" Type="http://schemas.openxmlformats.org/officeDocument/2006/relationships/hyperlink" Target="https://drive.google.com/drive/folders/1jkmL06Qd1tdvkn6UqcIWk3LIWRSdP17n?usp=drive_link" TargetMode="External"/><Relationship Id="rId50" Type="http://schemas.openxmlformats.org/officeDocument/2006/relationships/hyperlink" Target="https://doi.org/10.1002/mp.70028" TargetMode="External"/><Relationship Id="rId55" Type="http://schemas.openxmlformats.org/officeDocument/2006/relationships/hyperlink" Target="https://pdpublishers.com/hybridising-machine-learning-algorithms-for-enhanced-detection-of-ddos-attacks/" TargetMode="External"/><Relationship Id="rId76" Type="http://schemas.openxmlformats.org/officeDocument/2006/relationships/hyperlink" Target="https://pubs.thesciencein.org/journal/index.php/jist/article/view/a1181" TargetMode="External"/><Relationship Id="rId97" Type="http://schemas.openxmlformats.org/officeDocument/2006/relationships/hyperlink" Target="https://link.springer.com/article/10.1007/s12083-025-02175-6" TargetMode="External"/><Relationship Id="rId104" Type="http://schemas.openxmlformats.org/officeDocument/2006/relationships/hyperlink" Target="https://drive.google.com/file/d/107J0k-YHy0LWOxtNYCmyBKPM77VhPfMx/view?usp=sharing" TargetMode="External"/><Relationship Id="rId120" Type="http://schemas.openxmlformats.org/officeDocument/2006/relationships/hyperlink" Target="https://drive.google.com/file/d/1Y_bcJmcl_LnkMQPPCwZ0L0d3rZinFdhY/view?usp=sharing" TargetMode="External"/><Relationship Id="rId125" Type="http://schemas.openxmlformats.org/officeDocument/2006/relationships/hyperlink" Target="https://openurl.ebsco.com/EPDB%3Agcd%3A12%3A2434956/detailv2?sid=ebsco%3Aplink%3Ascholar&amp;id=ebsco%3Agcd%3A183420573&amp;crl=c&amp;link_origin=scholar.google.com" TargetMode="External"/><Relationship Id="rId141" Type="http://schemas.openxmlformats.org/officeDocument/2006/relationships/hyperlink" Target="https://drive.google.com/drive/u/2/my-drive" TargetMode="External"/><Relationship Id="rId146" Type="http://schemas.openxmlformats.org/officeDocument/2006/relationships/hyperlink" Target="https://ijarcse.org/index.php/ijarcse/article/view/67" TargetMode="External"/><Relationship Id="rId167" Type="http://schemas.openxmlformats.org/officeDocument/2006/relationships/hyperlink" Target="https://drive.google.com/drive/folders/1wMJ5bo8dZD4gtpfLdL7IOuGp2iz7PDmt?usp=drive_link" TargetMode="External"/><Relationship Id="rId188" Type="http://schemas.openxmlformats.org/officeDocument/2006/relationships/hyperlink" Target="https://drive.google.com/file/d/1w10ByM-8AijKcHi6MxNPsw7lTOFfs4f1/view?usp=drive_link" TargetMode="External"/><Relationship Id="rId7" Type="http://schemas.openxmlformats.org/officeDocument/2006/relationships/hyperlink" Target="https://journalofbigdata.springeropen.com/articles/10.1186/s40537-025-01201-x" TargetMode="External"/><Relationship Id="rId71" Type="http://schemas.openxmlformats.org/officeDocument/2006/relationships/hyperlink" Target="https://drive.google.com/file/d/1p7jQUmBzeUTCsXFRWlJ4kgHCk8XWWt6S/view?usp=drive_link" TargetMode="External"/><Relationship Id="rId92" Type="http://schemas.openxmlformats.org/officeDocument/2006/relationships/hyperlink" Target="https://drive.google.com/file/d/1kV_ZY-05Mo91B6CAD-zWVUdTm54Meu1X/view?usp=drive_link" TargetMode="External"/><Relationship Id="rId162" Type="http://schemas.openxmlformats.org/officeDocument/2006/relationships/hyperlink" Target="https://doi.org/10.2478/jee-2025-0025" TargetMode="External"/><Relationship Id="rId183" Type="http://schemas.openxmlformats.org/officeDocument/2006/relationships/hyperlink" Target="https://drive.google.com/file/d/18OJNMrsLr80kBRA-jdu2o2bnKHJthdKz/view?usp=drive_link" TargetMode="External"/><Relationship Id="rId213" Type="http://schemas.openxmlformats.org/officeDocument/2006/relationships/table" Target="../tables/table1.xml"/><Relationship Id="rId2" Type="http://schemas.openxmlformats.org/officeDocument/2006/relationships/hyperlink" Target="https://informaticsjournals.co.in/index.php/jmmf/article/view/49500" TargetMode="External"/><Relationship Id="rId29" Type="http://schemas.openxmlformats.org/officeDocument/2006/relationships/hyperlink" Target="https://doi.org/10.14419/0h4c8497" TargetMode="External"/><Relationship Id="rId24" Type="http://schemas.openxmlformats.org/officeDocument/2006/relationships/hyperlink" Target="https://drive.google.com/file/d/1qq29MwwZz7GErtWHD3YepigC8OfYC1LH/view?usp=drivesdk" TargetMode="External"/><Relationship Id="rId40" Type="http://schemas.openxmlformats.org/officeDocument/2006/relationships/hyperlink" Target="https://drive.google.com/file/d/16hll4vsSDomX5MyG8vO27d-qK9htmlwp/view?usp=drive_link" TargetMode="External"/><Relationship Id="rId45" Type="http://schemas.openxmlformats.org/officeDocument/2006/relationships/hyperlink" Target="https://link.springer.com/journal/41870" TargetMode="External"/><Relationship Id="rId66" Type="http://schemas.openxmlformats.org/officeDocument/2006/relationships/hyperlink" Target="https://doi.org/10.1007/s41870-025-02471-7" TargetMode="External"/><Relationship Id="rId87" Type="http://schemas.openxmlformats.org/officeDocument/2006/relationships/hyperlink" Target="https://doi.org/10.1080/08839514.2025.2539395" TargetMode="External"/><Relationship Id="rId110" Type="http://schemas.openxmlformats.org/officeDocument/2006/relationships/hyperlink" Target="https://drive.google.com/file/d/1GIeVGXeLNJiZvCiwh37YcwV9KzUQZxk8/view?usp=drive_link" TargetMode="External"/><Relationship Id="rId115" Type="http://schemas.openxmlformats.org/officeDocument/2006/relationships/hyperlink" Target="https://drive.google.com/file/d/131kwwPI178ziykmZCr1mEmdkeLs3a-Qc/view?usp=sharing" TargetMode="External"/><Relationship Id="rId131" Type="http://schemas.openxmlformats.org/officeDocument/2006/relationships/hyperlink" Target="https://www.sciencedirect.com/science/article/pii/S2590005625001584" TargetMode="External"/><Relationship Id="rId136" Type="http://schemas.openxmlformats.org/officeDocument/2006/relationships/hyperlink" Target="https://doi.org/10.54517/m3727" TargetMode="External"/><Relationship Id="rId157" Type="http://schemas.openxmlformats.org/officeDocument/2006/relationships/hyperlink" Target="https://doi.org/10.36676/jrps.v16.i1.42" TargetMode="External"/><Relationship Id="rId178" Type="http://schemas.openxmlformats.org/officeDocument/2006/relationships/hyperlink" Target="https://doi.org/10.1016/j.knosys.2025.114927" TargetMode="External"/><Relationship Id="rId61" Type="http://schemas.openxmlformats.org/officeDocument/2006/relationships/hyperlink" Target="https://theaspd.com/index.php/ijes/article/view/8190" TargetMode="External"/><Relationship Id="rId82" Type="http://schemas.openxmlformats.org/officeDocument/2006/relationships/hyperlink" Target="https://www.sbt-durabi.org/articles/article/Azn0/" TargetMode="External"/><Relationship Id="rId152" Type="http://schemas.openxmlformats.org/officeDocument/2006/relationships/hyperlink" Target="https://ijrhs.net/wp-content/uploads/2025/03/GC250252-AP07-From-Automation-to-Autonomy-Leveraging-Oracle-HCM-Clouds-AI-Capabilities-to-Create-Autonomous-HR-Processes-and-Decision-Making-271-288.pdf" TargetMode="External"/><Relationship Id="rId173" Type="http://schemas.openxmlformats.org/officeDocument/2006/relationships/hyperlink" Target="https://ieeexplore.ieee.org/document/11205470" TargetMode="External"/><Relationship Id="rId194" Type="http://schemas.openxmlformats.org/officeDocument/2006/relationships/hyperlink" Target="https://drive.google.com/file/d/13ADqVsJmdn0TQZqF7cnNDRtUFMTr0U0_/view?usp=sharing" TargetMode="External"/><Relationship Id="rId199" Type="http://schemas.openxmlformats.org/officeDocument/2006/relationships/hyperlink" Target="https://www.nature.com/articles/s41598-025-33970-z" TargetMode="External"/><Relationship Id="rId203" Type="http://schemas.openxmlformats.org/officeDocument/2006/relationships/hyperlink" Target="https://drive.google.com/file/d/11eO27Nu8pjivTL4Nk6Llkx4nGQyXnEhD/view?usp=drive_link" TargetMode="External"/><Relationship Id="rId208" Type="http://schemas.openxmlformats.org/officeDocument/2006/relationships/hyperlink" Target="https://journals.sagepub.com/doi/10.1177/14759217251410489" TargetMode="External"/><Relationship Id="rId19" Type="http://schemas.openxmlformats.org/officeDocument/2006/relationships/hyperlink" Target="https://doi.org/10.63345/jqst.v2i3.326" TargetMode="External"/><Relationship Id="rId14" Type="http://schemas.openxmlformats.org/officeDocument/2006/relationships/hyperlink" Target="https://drive.google.com/file/d/1IXZjFBBcZTeIGY884LAT0BjZroyYyoL3/view" TargetMode="External"/><Relationship Id="rId30" Type="http://schemas.openxmlformats.org/officeDocument/2006/relationships/hyperlink" Target="https://www.sciencepubco.com/index.php/IJBAS/article/view/34793" TargetMode="External"/><Relationship Id="rId35" Type="http://schemas.openxmlformats.org/officeDocument/2006/relationships/hyperlink" Target="https://doi.org/10.1007/s00521-025-11409-w" TargetMode="External"/><Relationship Id="rId56" Type="http://schemas.openxmlformats.org/officeDocument/2006/relationships/hyperlink" Target="https://drive.google.com/drive/u/0/folders/1ikxa6IDfSIZSHhpIdkK5B-pdY_BARmQj" TargetMode="External"/><Relationship Id="rId77" Type="http://schemas.openxmlformats.org/officeDocument/2006/relationships/hyperlink" Target="https://drive.google.com/drive/u/4/folders/18TP2IquJTjnnN9ouhr3ppjLV_BthgZCI" TargetMode="External"/><Relationship Id="rId100" Type="http://schemas.openxmlformats.org/officeDocument/2006/relationships/hyperlink" Target="https://rpm.ndimdelhi.org/pages/table-of-contents/fulltext/?id=596&amp;title=Empirical+Study+on+Online+Media+Participation+Through+Paid+Posts:+Analysing+Influencer+Marketing+on+Facebook" TargetMode="External"/><Relationship Id="rId105" Type="http://schemas.openxmlformats.org/officeDocument/2006/relationships/hyperlink" Target="https://doi.org/10.1109/TCE.2025.3560427" TargetMode="External"/><Relationship Id="rId126" Type="http://schemas.openxmlformats.org/officeDocument/2006/relationships/hyperlink" Target="https://drive.google.com/file/d/1GhpFn7mroaqc-Rv-qkZ-ZvMnjHTLOPDK/view?usp=drive_link" TargetMode="External"/><Relationship Id="rId147" Type="http://schemas.openxmlformats.org/officeDocument/2006/relationships/hyperlink" Target="https://ijarcse.org/index.php/ijarcse/article/view/67" TargetMode="External"/><Relationship Id="rId168" Type="http://schemas.openxmlformats.org/officeDocument/2006/relationships/hyperlink" Target="https://www.sciencedirect.com/author/57201304014/giovanni-pau" TargetMode="External"/><Relationship Id="rId8" Type="http://schemas.openxmlformats.org/officeDocument/2006/relationships/hyperlink" Target="https://drive.google.com/drive/folders/1jkmL06Qd1tdvkn6UqcIWk3LIWRSdP17n?usp=drive_link" TargetMode="External"/><Relationship Id="rId51" Type="http://schemas.openxmlformats.org/officeDocument/2006/relationships/hyperlink" Target="https://aapm.onlinelibrary.wiley.com/doi/epdf/10.1002/mp.70028" TargetMode="External"/><Relationship Id="rId72" Type="http://schemas.openxmlformats.org/officeDocument/2006/relationships/hyperlink" Target="https://doi.org/10.63345/jqst.v2i1.179" TargetMode="External"/><Relationship Id="rId93" Type="http://schemas.openxmlformats.org/officeDocument/2006/relationships/hyperlink" Target="https://doi.org/10.1007/s10586-025-05385-y" TargetMode="External"/><Relationship Id="rId98" Type="http://schemas.openxmlformats.org/officeDocument/2006/relationships/hyperlink" Target="https://drive.google.com/file/d/1HG6ngRoMz8PZLw6nmHNBy8fdnAoRyFiR/view?usp=drive_link" TargetMode="External"/><Relationship Id="rId121" Type="http://schemas.openxmlformats.org/officeDocument/2006/relationships/hyperlink" Target="https://www.researchgate.net/publication/388117586_Improving_Population_Health_Analytics_with_Form_Analyzer_Using_NLP_and_Computer_Vision" TargetMode="External"/><Relationship Id="rId142" Type="http://schemas.openxmlformats.org/officeDocument/2006/relationships/hyperlink" Target="https://doi.org/10.1186/s40537-025-01201-x" TargetMode="External"/><Relationship Id="rId163" Type="http://schemas.openxmlformats.org/officeDocument/2006/relationships/hyperlink" Target="https://reference-global.com/article/10.2478/jee-2025-0025" TargetMode="External"/><Relationship Id="rId184" Type="http://schemas.openxmlformats.org/officeDocument/2006/relationships/hyperlink" Target="https://doi.org/10.1016/j.jnc.2026.127224" TargetMode="External"/><Relationship Id="rId189" Type="http://schemas.openxmlformats.org/officeDocument/2006/relationships/hyperlink" Target="https://doi.org/10.3389/frai.2025.1676524" TargetMode="External"/><Relationship Id="rId3" Type="http://schemas.openxmlformats.org/officeDocument/2006/relationships/hyperlink" Target="https://doi.org/10.1002/cpe.70365" TargetMode="External"/><Relationship Id="rId214" Type="http://schemas.openxmlformats.org/officeDocument/2006/relationships/table" Target="../tables/table2.xml"/><Relationship Id="rId25" Type="http://schemas.openxmlformats.org/officeDocument/2006/relationships/hyperlink" Target="https://www.sciencedirect.com/journal/knowledge-based-systems" TargetMode="External"/><Relationship Id="rId46" Type="http://schemas.openxmlformats.org/officeDocument/2006/relationships/hyperlink" Target="https://drive.google.com/drive/folders/1CbmC-yU2ION4dpEef0Jf3O4J3dLLKvtj?usp=sharing" TargetMode="External"/><Relationship Id="rId67" Type="http://schemas.openxmlformats.org/officeDocument/2006/relationships/hyperlink" Target="https://link.springer.com/article/10.1007/s41870-025-02471-7" TargetMode="External"/><Relationship Id="rId116" Type="http://schemas.openxmlformats.org/officeDocument/2006/relationships/hyperlink" Target="https://doi.org/10.71143/14jnz737" TargetMode="External"/><Relationship Id="rId137" Type="http://schemas.openxmlformats.org/officeDocument/2006/relationships/hyperlink" Target="https://aber.apacsci.com/index.php/met/article/view/3727" TargetMode="External"/><Relationship Id="rId158" Type="http://schemas.openxmlformats.org/officeDocument/2006/relationships/hyperlink" Target="https://jrpsjournal.in/index.php/j/article/view/42" TargetMode="External"/><Relationship Id="rId20" Type="http://schemas.openxmlformats.org/officeDocument/2006/relationships/hyperlink" Target="https://jqst.org/index.php/j/article/view/326" TargetMode="External"/><Relationship Id="rId41" Type="http://schemas.openxmlformats.org/officeDocument/2006/relationships/hyperlink" Target="https://acr-journal.com/article/machine-learning-driven-human-resource-decision-strategies-for-enhancing-employee-retention-and-organizational-growth-1805/" TargetMode="External"/><Relationship Id="rId62" Type="http://schemas.openxmlformats.org/officeDocument/2006/relationships/hyperlink" Target="https://drive.google.com/file/d/18F_D45uBYiAi8bxR22pNzhqXPzrz-D8L/view?usp=drive_link" TargetMode="External"/><Relationship Id="rId83" Type="http://schemas.openxmlformats.org/officeDocument/2006/relationships/hyperlink" Target="https://drive.google.com/drive/folders/16a2lmD6osqP58dEXQh8Fv6LKnLxdACVJ?usp=sharing" TargetMode="External"/><Relationship Id="rId88" Type="http://schemas.openxmlformats.org/officeDocument/2006/relationships/hyperlink" Target="https://www.tandfonline.com/doi/full/10.1080/08839514.2025.2539395" TargetMode="External"/><Relationship Id="rId111" Type="http://schemas.openxmlformats.org/officeDocument/2006/relationships/hyperlink" Target="https://doi.org/10.1109/JIOT.2025.3535236" TargetMode="External"/><Relationship Id="rId132" Type="http://schemas.openxmlformats.org/officeDocument/2006/relationships/hyperlink" Target="https://drive.google.com/file/d/1ZRSTv_d_c4Wi0MBe1aaIoVV26ZjzD29H/view?usp=sharing" TargetMode="External"/><Relationship Id="rId153" Type="http://schemas.openxmlformats.org/officeDocument/2006/relationships/hyperlink" Target="https://ijrhs.net/wp-content/uploads/2025/03/GC250252-AP07-From-Automation-to-Autonomy-Leveraging-Oracle-HCM-Clouds-AI-Capabilities-to-Create-Autonomous-HR-Processes-and-Decision-Making-271-288.pdf" TargetMode="External"/><Relationship Id="rId174" Type="http://schemas.openxmlformats.org/officeDocument/2006/relationships/hyperlink" Target="https://drive.google.com/file/d/1h_deMVEwSdElpSieTexIv32t7jkeH2hQ/view?usp=sharing" TargetMode="External"/><Relationship Id="rId179" Type="http://schemas.openxmlformats.org/officeDocument/2006/relationships/hyperlink" Target="https://www.sciencedirect.com/science/article/abs/pii/S0950705125019653?via%3Dihub" TargetMode="External"/><Relationship Id="rId195" Type="http://schemas.openxmlformats.org/officeDocument/2006/relationships/hyperlink" Target="https://doi.org/10.1038/s41598-025-14285-5" TargetMode="External"/><Relationship Id="rId209" Type="http://schemas.openxmlformats.org/officeDocument/2006/relationships/hyperlink" Target="https://drive.google.com/drive/u/1/folders/16a2lmD6osqP58dEXQh8Fv6LKnLxdACVJ" TargetMode="External"/><Relationship Id="rId190" Type="http://schemas.openxmlformats.org/officeDocument/2006/relationships/hyperlink" Target="https://www.frontiersin.org/journals/artificial-intelligence/articles/10.3389/frai.2025.1676524/full" TargetMode="External"/><Relationship Id="rId204" Type="http://schemas.openxmlformats.org/officeDocument/2006/relationships/hyperlink" Target="https://doi.org/10.54517/3711m" TargetMode="External"/><Relationship Id="rId15" Type="http://schemas.openxmlformats.org/officeDocument/2006/relationships/hyperlink" Target="https://scholar.google.com/citations?view_op=view_citation&amp;hl=en&amp;user=O-CXwxMAAAAJ&amp;citation_for_view=O-CXwxMAAAAJ:YsMSGLbcyi4C" TargetMode="External"/><Relationship Id="rId36" Type="http://schemas.openxmlformats.org/officeDocument/2006/relationships/hyperlink" Target="https://link.springer.com/article/10.1007/s00521-025-11409-w" TargetMode="External"/><Relationship Id="rId57" Type="http://schemas.openxmlformats.org/officeDocument/2006/relationships/hyperlink" Target="https://doi.org/10.70454/JRICST.2025.20211" TargetMode="External"/><Relationship Id="rId106" Type="http://schemas.openxmlformats.org/officeDocument/2006/relationships/hyperlink" Target="https://ieeexplore.ieee.org/abstract/document/10964238" TargetMode="External"/><Relationship Id="rId127" Type="http://schemas.openxmlformats.org/officeDocument/2006/relationships/hyperlink" Target="https://doi.org/10.1002/ett.70280?urlappend=%3Futm_source%3Dresearchgate" TargetMode="External"/><Relationship Id="rId10" Type="http://schemas.openxmlformats.org/officeDocument/2006/relationships/hyperlink" Target="https://jqst.org/index.php/j/article/view/154/161" TargetMode="External"/><Relationship Id="rId31" Type="http://schemas.openxmlformats.org/officeDocument/2006/relationships/hyperlink" Target="https://drive.google.com/drive/u/0/folders/1ee0SD77K6aJj51MHS-RS7J74J-2m2fcs" TargetMode="External"/><Relationship Id="rId52" Type="http://schemas.openxmlformats.org/officeDocument/2006/relationships/hyperlink" Target="https://doi.org/10.64252/ybmtb548" TargetMode="External"/><Relationship Id="rId73" Type="http://schemas.openxmlformats.org/officeDocument/2006/relationships/hyperlink" Target="https://jqst.org/index.php/j/article/view/179" TargetMode="External"/><Relationship Id="rId78" Type="http://schemas.openxmlformats.org/officeDocument/2006/relationships/hyperlink" Target="https://drive.google.com/file/d/14Oe97akM9f49SD8UyCevixkHpmOM50jm/view?usp=sharing" TargetMode="External"/><Relationship Id="rId94" Type="http://schemas.openxmlformats.org/officeDocument/2006/relationships/hyperlink" Target="https://link.springer.com/article/10.1007/s10586-025-05385-y" TargetMode="External"/><Relationship Id="rId99" Type="http://schemas.openxmlformats.org/officeDocument/2006/relationships/hyperlink" Target="https://doi.org/10.1177/09728686251384381" TargetMode="External"/><Relationship Id="rId101" Type="http://schemas.openxmlformats.org/officeDocument/2006/relationships/hyperlink" Target="https://drive.google.com/file/d/15NtRxefPqL-zcAOOO7HeCpdHrZF3zJYy/view?usp=drivesdk" TargetMode="External"/><Relationship Id="rId122" Type="http://schemas.openxmlformats.org/officeDocument/2006/relationships/hyperlink" Target="https://drive.google.com/file/d/1q_Phjt8zDi3BVrdRshA21eBLx71BcA5z/view?usp=sharing" TargetMode="External"/><Relationship Id="rId143" Type="http://schemas.openxmlformats.org/officeDocument/2006/relationships/hyperlink" Target="https://journalofbigdata.springeropen.com/counter/pdf/10.1186/s40537-025-01201-x.pdf" TargetMode="External"/><Relationship Id="rId148" Type="http://schemas.openxmlformats.org/officeDocument/2006/relationships/hyperlink" Target="https://doi.org/10.63345/ijarcse.v1.i2.205" TargetMode="External"/><Relationship Id="rId164" Type="http://schemas.openxmlformats.org/officeDocument/2006/relationships/hyperlink" Target="https://drive.google.com/file/d/1l1IJJvLIYt3raUxNcdqDvV2BJt3zsrlq/view?usp=sharing" TargetMode="External"/><Relationship Id="rId169" Type="http://schemas.openxmlformats.org/officeDocument/2006/relationships/hyperlink" Target="https://doi.org/10.1016/j.indic.2025.100607" TargetMode="External"/><Relationship Id="rId185" Type="http://schemas.openxmlformats.org/officeDocument/2006/relationships/hyperlink" Target="https://www.sciencedirect.com/journal/journal-for-nature-conservation" TargetMode="External"/><Relationship Id="rId4" Type="http://schemas.openxmlformats.org/officeDocument/2006/relationships/hyperlink" Target="https://onlinelibrary.wiley.com/doi/epdf/10.1002/cpe.70365" TargetMode="External"/><Relationship Id="rId9" Type="http://schemas.openxmlformats.org/officeDocument/2006/relationships/hyperlink" Target="https://doi.org/10.63345/jqst.v2i1.154" TargetMode="External"/><Relationship Id="rId180" Type="http://schemas.openxmlformats.org/officeDocument/2006/relationships/hyperlink" Target="https://drive.google.com/file/d/1UAtHTJLLOQOB7fxj6kW99qCqDjxQi4O0/view?usp=drive_link" TargetMode="External"/><Relationship Id="rId210" Type="http://schemas.openxmlformats.org/officeDocument/2006/relationships/hyperlink" Target="https://doi.org/10.1002/ett.70376" TargetMode="External"/><Relationship Id="rId215" Type="http://schemas.openxmlformats.org/officeDocument/2006/relationships/table" Target="../tables/table3.xml"/><Relationship Id="rId26" Type="http://schemas.openxmlformats.org/officeDocument/2006/relationships/hyperlink" Target="https://doi.org/10.1016/j.knosys.2025.113833" TargetMode="External"/><Relationship Id="rId47" Type="http://schemas.openxmlformats.org/officeDocument/2006/relationships/hyperlink" Target="https://doi.org/10.64149/J.Carcinog.24.3s.475-483" TargetMode="External"/><Relationship Id="rId68" Type="http://schemas.openxmlformats.org/officeDocument/2006/relationships/hyperlink" Target="https://drive.google.com/file/d/1iz7p8IZRf7uQ6twu5ERFVkNHEpmQiHiK/view?usp=drive_link" TargetMode="External"/><Relationship Id="rId89" Type="http://schemas.openxmlformats.org/officeDocument/2006/relationships/hyperlink" Target="https://drive.google.com/file/d/1Unocrv1mTmuzGDXyAfc5ouYI2ZvwSvLB/view?usp=drive_link" TargetMode="External"/><Relationship Id="rId112" Type="http://schemas.openxmlformats.org/officeDocument/2006/relationships/hyperlink" Target="https://ieee-amity.refread.com/document/10855418" TargetMode="External"/><Relationship Id="rId133" Type="http://schemas.openxmlformats.org/officeDocument/2006/relationships/hyperlink" Target="https://doi.org/10.54517/m3728" TargetMode="External"/><Relationship Id="rId154" Type="http://schemas.openxmlformats.org/officeDocument/2006/relationships/hyperlink" Target="https://doi.org/10.3390/life15030327" TargetMode="External"/><Relationship Id="rId175" Type="http://schemas.openxmlformats.org/officeDocument/2006/relationships/hyperlink" Target="https://elibrary.ru/contents.asp?id=81890453" TargetMode="External"/><Relationship Id="rId196" Type="http://schemas.openxmlformats.org/officeDocument/2006/relationships/hyperlink" Target="https://www.nature.com/srep/" TargetMode="External"/><Relationship Id="rId200" Type="http://schemas.openxmlformats.org/officeDocument/2006/relationships/hyperlink" Target="https://drive.google.com/file/d/1w10ByM-8AijKcHi6MxNPsw7lTOFfs4f1/view?usp=drive_link" TargetMode="External"/><Relationship Id="rId16" Type="http://schemas.openxmlformats.org/officeDocument/2006/relationships/hyperlink" Target="https://doi.org/10.3389/fonc.2025.1626785" TargetMode="External"/><Relationship Id="rId37" Type="http://schemas.openxmlformats.org/officeDocument/2006/relationships/hyperlink" Target="https://drive.google.com/drive/folders/1jkmL06Qd1tdvkn6UqcIWk3LIWRSdP17n?usp=drive_link" TargetMode="External"/><Relationship Id="rId58" Type="http://schemas.openxmlformats.org/officeDocument/2006/relationships/hyperlink" Target="https://jricst.com/index.php/JRICST" TargetMode="External"/><Relationship Id="rId79" Type="http://schemas.openxmlformats.org/officeDocument/2006/relationships/hyperlink" Target="https://journaloftechnology.org/volume-13-issue-10-2025/" TargetMode="External"/><Relationship Id="rId102" Type="http://schemas.openxmlformats.org/officeDocument/2006/relationships/hyperlink" Target="https://doi.org/10.1038/s41598-025-28813-w" TargetMode="External"/><Relationship Id="rId123" Type="http://schemas.openxmlformats.org/officeDocument/2006/relationships/hyperlink" Target="https://search.proquest.com/openview/26c3788ea11346e075196313ff99dbfa/1?pq-origsite=gscholar&amp;cbl=2069459" TargetMode="External"/><Relationship Id="rId144" Type="http://schemas.openxmlformats.org/officeDocument/2006/relationships/hyperlink" Target="https://drive.google.com/file/d/1NJbCYWBZE520si2eIMDMLySkpzXXGuyn/view?usp=sharing"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ocs.google.com/document/d/1dCUOe59s7tpoDd_PXTsfr15iAg10gcSMyTFeN89eMHw/edit?usp=sharing" TargetMode="External"/><Relationship Id="rId21" Type="http://schemas.openxmlformats.org/officeDocument/2006/relationships/hyperlink" Target="https://drive.google.com/file/d/1KAWlIcdV3IV0d4hgCWzIBo8Fts-kZdbI/view?usp=sharing" TargetMode="External"/><Relationship Id="rId42" Type="http://schemas.openxmlformats.org/officeDocument/2006/relationships/hyperlink" Target="https://drive.google.com/file/d/1tdIZ-HoqcZW7hYkdlhhobAE79m0KVTTS/view?usp=sharing" TargetMode="External"/><Relationship Id="rId63" Type="http://schemas.openxmlformats.org/officeDocument/2006/relationships/hyperlink" Target="https://link.springer.com/chapter/10.1007/978-3-032-06694-7_47" TargetMode="External"/><Relationship Id="rId84" Type="http://schemas.openxmlformats.org/officeDocument/2006/relationships/hyperlink" Target="https://ieeexplore.ieee.org/document/10932365/" TargetMode="External"/><Relationship Id="rId138" Type="http://schemas.openxmlformats.org/officeDocument/2006/relationships/hyperlink" Target="https://drive.google.com/drive/folders/16a2lmD6osqP58dEXQh8Fv6LKnLxdACVJ?usp=sharing" TargetMode="External"/><Relationship Id="rId159" Type="http://schemas.openxmlformats.org/officeDocument/2006/relationships/hyperlink" Target="https://drive.google.com/file/d/1nC-6pBPfB8JzySTap5EXzmCtuLFbuXfx/view?usp=sharing" TargetMode="External"/><Relationship Id="rId170" Type="http://schemas.openxmlformats.org/officeDocument/2006/relationships/hyperlink" Target="https://drive.google.com/file/d/1GPG46_8f0V5peZbTo4C9kEkXQZgmENnQ/view?usp=drive_link" TargetMode="External"/><Relationship Id="rId191" Type="http://schemas.openxmlformats.org/officeDocument/2006/relationships/hyperlink" Target="https://drive.google.com/file/d/1EL4REnYR9aTa17tv3DD2Fya4N3jMl7jh/view?usp=drive_link" TargetMode="External"/><Relationship Id="rId205" Type="http://schemas.openxmlformats.org/officeDocument/2006/relationships/hyperlink" Target="https://doi.org/10.1109/AUTOCOM64127.2025.10956636" TargetMode="External"/><Relationship Id="rId226" Type="http://schemas.openxmlformats.org/officeDocument/2006/relationships/hyperlink" Target="https://drive.google.com/file/d/1Km0uo7ucf1sb8AIaR8pnK7NlnFSJrTD1/view?usp=sharing" TargetMode="External"/><Relationship Id="rId247" Type="http://schemas.openxmlformats.org/officeDocument/2006/relationships/hyperlink" Target="https://drive.google.com/drive/folders/16a2lmD6osqP58dEXQh8Fv6LKnLxdACVJ?usp=sharing" TargetMode="External"/><Relationship Id="rId107" Type="http://schemas.openxmlformats.org/officeDocument/2006/relationships/hyperlink" Target="https://drive.google.com/file/d/1jpgVnT5Cojk5t75M2fvVOJC1cGRIiUBA/view?usp=drive_link" TargetMode="External"/><Relationship Id="rId268" Type="http://schemas.openxmlformats.org/officeDocument/2006/relationships/hyperlink" Target="https://drive.google.com/file/d/1nzdwqjUHPXWdExm3EUU1Y2a7gjlqAjGW/view?usp=sharing" TargetMode="External"/><Relationship Id="rId11" Type="http://schemas.openxmlformats.org/officeDocument/2006/relationships/hyperlink" Target="https://drive.google.com/file/d/1RwPOst8NBDyXLICf-3C0-fOg2AMZQbw4/view?usp=drivesdk" TargetMode="External"/><Relationship Id="rId32" Type="http://schemas.openxmlformats.org/officeDocument/2006/relationships/hyperlink" Target="https://drive.google.com/file/d/1rdcNy4HFCWRa4VwbgionjsMRDj2vfkRa/view?usp=drive_link" TargetMode="External"/><Relationship Id="rId53" Type="http://schemas.openxmlformats.org/officeDocument/2006/relationships/hyperlink" Target="https://ieeexplore.ieee.org/document/11327477" TargetMode="External"/><Relationship Id="rId74" Type="http://schemas.openxmlformats.org/officeDocument/2006/relationships/hyperlink" Target="https://doi.org/10.1109/ICCTDC64446.2025.11158779" TargetMode="External"/><Relationship Id="rId128" Type="http://schemas.openxmlformats.org/officeDocument/2006/relationships/hyperlink" Target="https://drive.google.com/drive/folders/16a2lmD6osqP58dEXQh8Fv6LKnLxdACVJ?usp=sharing" TargetMode="External"/><Relationship Id="rId149" Type="http://schemas.openxmlformats.org/officeDocument/2006/relationships/hyperlink" Target="https://doi.org/10.23919/INDIACom66777.2025.11115549" TargetMode="External"/><Relationship Id="rId5" Type="http://schemas.openxmlformats.org/officeDocument/2006/relationships/hyperlink" Target="https://drive.google.com/file/d/16vsr3H8PmAkxAVFLONM39Bi2aaqpRrxC/view?usp=drive_link" TargetMode="External"/><Relationship Id="rId95" Type="http://schemas.openxmlformats.org/officeDocument/2006/relationships/hyperlink" Target="https://drive.google.com/drive/u/0/folders/1ikxa6IDfSIZSHhpIdkK5B-pdY_BARmQj" TargetMode="External"/><Relationship Id="rId160" Type="http://schemas.openxmlformats.org/officeDocument/2006/relationships/hyperlink" Target="https://drive.google.com/file/d/1CXyHOelrWJbmkCKStP-l_ElcqNXvhyR7/view?usp=sharing" TargetMode="External"/><Relationship Id="rId181" Type="http://schemas.openxmlformats.org/officeDocument/2006/relationships/hyperlink" Target="https://doi.org/10.23919/INDIACom66777.2025" TargetMode="External"/><Relationship Id="rId216" Type="http://schemas.openxmlformats.org/officeDocument/2006/relationships/hyperlink" Target="https://drive.google.com/file/d/19pK7nmci8jObBRnznciaN9YcOJstY9O1/view?usp=drive_link" TargetMode="External"/><Relationship Id="rId237" Type="http://schemas.openxmlformats.org/officeDocument/2006/relationships/hyperlink" Target="https://doi.org/10.1051/epjconf/202534101036" TargetMode="External"/><Relationship Id="rId258" Type="http://schemas.openxmlformats.org/officeDocument/2006/relationships/hyperlink" Target="https://link.springer.com/series/15179" TargetMode="External"/><Relationship Id="rId279" Type="http://schemas.openxmlformats.org/officeDocument/2006/relationships/table" Target="../tables/table10.xml"/><Relationship Id="rId22" Type="http://schemas.openxmlformats.org/officeDocument/2006/relationships/hyperlink" Target="https://drive.google.com/file/d/1ZSXrcWVgjgeMDRwx_SDYnMUwwYH_4RuX/view?usp=sharing" TargetMode="External"/><Relationship Id="rId43" Type="http://schemas.openxmlformats.org/officeDocument/2006/relationships/hyperlink" Target="https://drive.google.com/file/d/19pONHqlX4afRrL209eo4hBQz_WTn65k3/view?usp=sharing" TargetMode="External"/><Relationship Id="rId64" Type="http://schemas.openxmlformats.org/officeDocument/2006/relationships/hyperlink" Target="https://drive.google.com/file/d/1T8kXG3SxwbLs84hawR_LvRFAhRtoAs8k/view?usp=drive_link" TargetMode="External"/><Relationship Id="rId118" Type="http://schemas.openxmlformats.org/officeDocument/2006/relationships/hyperlink" Target="https://ieeexplore.ieee.org/author/380296167191614" TargetMode="External"/><Relationship Id="rId139" Type="http://schemas.openxmlformats.org/officeDocument/2006/relationships/hyperlink" Target="https://drive.google.com/drive/folders/16a2lmD6osqP58dEXQh8Fv6LKnLxdACVJ?usp=sharing" TargetMode="External"/><Relationship Id="rId85" Type="http://schemas.openxmlformats.org/officeDocument/2006/relationships/hyperlink" Target="https://drive.google.com/drive/u/0/folders/1ikxa6IDfSIZSHhpIdkK5B-pdY_BARmQj" TargetMode="External"/><Relationship Id="rId150" Type="http://schemas.openxmlformats.org/officeDocument/2006/relationships/hyperlink" Target="https://ieeexplore.ieee.org/document/11115549" TargetMode="External"/><Relationship Id="rId171" Type="http://schemas.openxmlformats.org/officeDocument/2006/relationships/hyperlink" Target="https://drive.google.com/file/d/1-JS8FUw1WqY6shYrmuYJayEkYgDGXG7_/view?usp=drive_link" TargetMode="External"/><Relationship Id="rId192" Type="http://schemas.openxmlformats.org/officeDocument/2006/relationships/hyperlink" Target="https://drive.google.com/file/d/1VDy2t2ATVOtLuQU07Kwhgit7CS2EYS79/view?usp=drive_link" TargetMode="External"/><Relationship Id="rId206" Type="http://schemas.openxmlformats.org/officeDocument/2006/relationships/hyperlink" Target="https://ieeexplore.ieee.org/abstract/document/10956636" TargetMode="External"/><Relationship Id="rId227" Type="http://schemas.openxmlformats.org/officeDocument/2006/relationships/hyperlink" Target="https://drive.google.com/file/d/1Km0uo7ucf1sb8AIaR8pnK7NlnFSJrTD1/view?usp=sharing" TargetMode="External"/><Relationship Id="rId248" Type="http://schemas.openxmlformats.org/officeDocument/2006/relationships/hyperlink" Target="https://drive.google.com/drive/folders/16a2lmD6osqP58dEXQh8Fv6LKnLxdACVJ?usp=sharing" TargetMode="External"/><Relationship Id="rId269" Type="http://schemas.openxmlformats.org/officeDocument/2006/relationships/hyperlink" Target="https://drive.google.com/file/d/1Z5RGMF9ClPITrNj5TAQs_-AdFOXKNFCn/view?usp=sharing" TargetMode="External"/><Relationship Id="rId12" Type="http://schemas.openxmlformats.org/officeDocument/2006/relationships/hyperlink" Target="https://doi.org/10.1109/AECE62803.2024.10911448" TargetMode="External"/><Relationship Id="rId33" Type="http://schemas.openxmlformats.org/officeDocument/2006/relationships/hyperlink" Target="https://drive.google.com/file/d/1iwTM5sZNoULuYJI1rDDK3XQ3wpwDAkR-/view?usp=drive_link" TargetMode="External"/><Relationship Id="rId108" Type="http://schemas.openxmlformats.org/officeDocument/2006/relationships/hyperlink" Target="https://drive.google.com/file/d/1GAYhCS5RuYLJ3F8fVs1puYcMc3AmiJh_/view?usp=drive_link" TargetMode="External"/><Relationship Id="rId129" Type="http://schemas.openxmlformats.org/officeDocument/2006/relationships/hyperlink" Target="https://drive.google.com/drive/folders/16a2lmD6osqP58dEXQh8Fv6LKnLxdACVJ?usp=sharing" TargetMode="External"/><Relationship Id="rId280" Type="http://schemas.openxmlformats.org/officeDocument/2006/relationships/table" Target="../tables/table11.xml"/><Relationship Id="rId54" Type="http://schemas.openxmlformats.org/officeDocument/2006/relationships/hyperlink" Target="https://ieeexplore.ieee.org/document/11327477" TargetMode="External"/><Relationship Id="rId75" Type="http://schemas.openxmlformats.org/officeDocument/2006/relationships/hyperlink" Target="https://doi.org/10.1109/CE2CT64011.2025.10941693" TargetMode="External"/><Relationship Id="rId96" Type="http://schemas.openxmlformats.org/officeDocument/2006/relationships/hyperlink" Target="https://drive.google.com/drive/u/0/folders/1ikxa6IDfSIZSHhpIdkK5B-pdY_BARmQj" TargetMode="External"/><Relationship Id="rId140" Type="http://schemas.openxmlformats.org/officeDocument/2006/relationships/hyperlink" Target="https://drive.google.com/drive/folders/16a2lmD6osqP58dEXQh8Fv6LKnLxdACVJ?usp=sharing" TargetMode="External"/><Relationship Id="rId161" Type="http://schemas.openxmlformats.org/officeDocument/2006/relationships/hyperlink" Target="https://doi.org/10.1109/ICDT63985.2025.10986439" TargetMode="External"/><Relationship Id="rId182" Type="http://schemas.openxmlformats.org/officeDocument/2006/relationships/hyperlink" Target="https://ieeexplore.ieee.org/document/11115558" TargetMode="External"/><Relationship Id="rId217" Type="http://schemas.openxmlformats.org/officeDocument/2006/relationships/hyperlink" Target="https://www.scitepress.org/PublicationsDetail.aspx?ID=HT6+VoFlLB4=&amp;t=1" TargetMode="External"/><Relationship Id="rId6" Type="http://schemas.openxmlformats.org/officeDocument/2006/relationships/hyperlink" Target="https://drive.google.com/file/d/1bpyn35OUVmvLIRr-1P8IuGt39ZMCPtHz/view" TargetMode="External"/><Relationship Id="rId238" Type="http://schemas.openxmlformats.org/officeDocument/2006/relationships/hyperlink" Target="https://www.epj-conferences.org/articles/epjconf/abs/2025/26/epjconf_icatcict2025_01036/epjconf_icatcict2025_01036.html" TargetMode="External"/><Relationship Id="rId259" Type="http://schemas.openxmlformats.org/officeDocument/2006/relationships/hyperlink" Target="https://link.springer.com/chapter/10.1007/978-981-96-6715-4_35" TargetMode="External"/><Relationship Id="rId23" Type="http://schemas.openxmlformats.org/officeDocument/2006/relationships/hyperlink" Target="https://ieeexplore.ieee.org/document/11115558" TargetMode="External"/><Relationship Id="rId119" Type="http://schemas.openxmlformats.org/officeDocument/2006/relationships/hyperlink" Target="https://doi.org/10.1109/IC3ECSBHI63591.2025.10991066" TargetMode="External"/><Relationship Id="rId270" Type="http://schemas.openxmlformats.org/officeDocument/2006/relationships/hyperlink" Target="https://drive.google.com/file/d/1a-Sj9T6RE_zTVRkGVM1f1a6W1RM7yx4a/view?usp=sharing" TargetMode="External"/><Relationship Id="rId44" Type="http://schemas.openxmlformats.org/officeDocument/2006/relationships/hyperlink" Target="https://drive.google.com/file/d/1x7RC0bK5Av_i3jjSrYdZeq5YHpgTLFqZ/view?usp=sharing" TargetMode="External"/><Relationship Id="rId65" Type="http://schemas.openxmlformats.org/officeDocument/2006/relationships/hyperlink" Target="https://drive.google.com/file/d/1jziMEkW3-z00Blq5lwW-GhW4NcGGbVQB/view?usp=drive_link" TargetMode="External"/><Relationship Id="rId86" Type="http://schemas.openxmlformats.org/officeDocument/2006/relationships/hyperlink" Target="https://drive.google.com/drive/u/0/folders/1ikxa6IDfSIZSHhpIdkK5B-pdY_BARmQj" TargetMode="External"/><Relationship Id="rId130" Type="http://schemas.openxmlformats.org/officeDocument/2006/relationships/hyperlink" Target="https://drive.google.com/drive/folders/16a2lmD6osqP58dEXQh8Fv6LKnLxdACVJ?usp=sharing" TargetMode="External"/><Relationship Id="rId151" Type="http://schemas.openxmlformats.org/officeDocument/2006/relationships/hyperlink" Target="https://drive.google.com/file/d/1Vdy1410UtFOVlz17ahaiXNMV-lSZqUC2/view?usp=drive_link" TargetMode="External"/><Relationship Id="rId172" Type="http://schemas.openxmlformats.org/officeDocument/2006/relationships/hyperlink" Target="https://drive.google.com/file/d/1Pa726mUZGCVUrYaqBOFgXZvWLst0inJ9/view?usp=drive_link" TargetMode="External"/><Relationship Id="rId193" Type="http://schemas.openxmlformats.org/officeDocument/2006/relationships/hyperlink" Target="https://drive.google.com/file/d/1ZSLkzHVvYVNLmWVMXJv2IVoDTmmiO9I_/view?usp=sharing" TargetMode="External"/><Relationship Id="rId207" Type="http://schemas.openxmlformats.org/officeDocument/2006/relationships/hyperlink" Target="https://drive.google.com/file/d/1gU8NXxNrebr2QbTC7Io_31LGMl4RQY1o/view?usp=sharing" TargetMode="External"/><Relationship Id="rId228" Type="http://schemas.openxmlformats.org/officeDocument/2006/relationships/hyperlink" Target="https://doi.org/10.1007/978-981-96-9203-3" TargetMode="External"/><Relationship Id="rId249" Type="http://schemas.openxmlformats.org/officeDocument/2006/relationships/hyperlink" Target="https://drive.google.com/drive/folders/16a2lmD6osqP58dEXQh8Fv6LKnLxdACVJ?usp=sharing" TargetMode="External"/><Relationship Id="rId13" Type="http://schemas.openxmlformats.org/officeDocument/2006/relationships/hyperlink" Target="https://ieeexplore.ieee.org/document/10911448" TargetMode="External"/><Relationship Id="rId18" Type="http://schemas.openxmlformats.org/officeDocument/2006/relationships/hyperlink" Target="https://drive.google.com/file/d/1KaxzF7Wi3vEHwc7cMu9SgD7cWFO8syiB/view?usp=drive_link" TargetMode="External"/><Relationship Id="rId39" Type="http://schemas.openxmlformats.org/officeDocument/2006/relationships/hyperlink" Target="https://drive.google.com/file/d/1Sp6Rt5WbMWqfv3rKtM6_6h91TztZQ8ZI/view?usp=sharing" TargetMode="External"/><Relationship Id="rId109" Type="http://schemas.openxmlformats.org/officeDocument/2006/relationships/hyperlink" Target="https://drive.google.com/file/d/1qo8mzBgRMf-_cRXmMfYuqdGVKo8gh87R/view?usp=drive_link" TargetMode="External"/><Relationship Id="rId260" Type="http://schemas.openxmlformats.org/officeDocument/2006/relationships/hyperlink" Target="https://ieeexplore.ieee.org/document/11234452" TargetMode="External"/><Relationship Id="rId265" Type="http://schemas.openxmlformats.org/officeDocument/2006/relationships/hyperlink" Target="https://drive.google.com/file/d/1b4xor8qlvkuG9cjapp0KB1mhH0m1o0Nx/view?usp=sharing" TargetMode="External"/><Relationship Id="rId281" Type="http://schemas.openxmlformats.org/officeDocument/2006/relationships/table" Target="../tables/table12.xml"/><Relationship Id="rId34" Type="http://schemas.openxmlformats.org/officeDocument/2006/relationships/hyperlink" Target="https://doi.org/10.1007/978-981-96-7137-3_17" TargetMode="External"/><Relationship Id="rId50" Type="http://schemas.openxmlformats.org/officeDocument/2006/relationships/hyperlink" Target="https://link.springer.com/chapter/10.1007/978-3-032-06694-7_47" TargetMode="External"/><Relationship Id="rId55" Type="http://schemas.openxmlformats.org/officeDocument/2006/relationships/hyperlink" Target="https://drive.google.com/file/d/1-uYlDRqv6Bgqf9S0oag-XsBBoYXitAwA/view?usp=drive_link" TargetMode="External"/><Relationship Id="rId76" Type="http://schemas.openxmlformats.org/officeDocument/2006/relationships/hyperlink" Target="https://ieeexplore.ieee.org/abstract/document/10941693/authors" TargetMode="External"/><Relationship Id="rId97" Type="http://schemas.openxmlformats.org/officeDocument/2006/relationships/hyperlink" Target="https://drive.google.com/drive/u/0/folders/1ikxa6IDfSIZSHhpIdkK5B-pdY_BARmQj" TargetMode="External"/><Relationship Id="rId104" Type="http://schemas.openxmlformats.org/officeDocument/2006/relationships/hyperlink" Target="https://10times.com/jamshedpur-in" TargetMode="External"/><Relationship Id="rId120" Type="http://schemas.openxmlformats.org/officeDocument/2006/relationships/hyperlink" Target="https://ieeexplore.ieee.org/document/10991066" TargetMode="External"/><Relationship Id="rId125" Type="http://schemas.openxmlformats.org/officeDocument/2006/relationships/hyperlink" Target="https://drive.google.com/file/d/1uGkqvEgj7d9gI3y7nkwhupiBUc0XZt-K/view?usp=sharing" TargetMode="External"/><Relationship Id="rId141" Type="http://schemas.openxmlformats.org/officeDocument/2006/relationships/hyperlink" Target="https://drive.google.com/drive/folders/16a2lmD6osqP58dEXQh8Fv6LKnLxdACVJ?usp=sharing" TargetMode="External"/><Relationship Id="rId146" Type="http://schemas.openxmlformats.org/officeDocument/2006/relationships/hyperlink" Target="https://drive.google.com/drive/u/0/folders/1xHRrfEZmoE9kHt5WydhcIgPvI4LkNMoP" TargetMode="External"/><Relationship Id="rId167" Type="http://schemas.openxmlformats.org/officeDocument/2006/relationships/hyperlink" Target="https://drive.google.com/file/d/1NhNDFgGapka49OoHe43DVn8JPPfX_Ufa/view?usp=drive_link" TargetMode="External"/><Relationship Id="rId188" Type="http://schemas.openxmlformats.org/officeDocument/2006/relationships/hyperlink" Target="https://drive.google.com/file/d/1cE-xLIW-D0CyK-jkiWAjVIDaZHgy3Elg/view?usp=drive_link" TargetMode="External"/><Relationship Id="rId7" Type="http://schemas.openxmlformats.org/officeDocument/2006/relationships/hyperlink" Target="https://drive.google.com/file/d/1BWyZMgYhFser6t8rtqH-b-t9yqbu_7cQ/view" TargetMode="External"/><Relationship Id="rId71" Type="http://schemas.openxmlformats.org/officeDocument/2006/relationships/hyperlink" Target="https://ieeexplore.ieee.org/abstract/document/11076933" TargetMode="External"/><Relationship Id="rId92" Type="http://schemas.openxmlformats.org/officeDocument/2006/relationships/hyperlink" Target="https://doi.org/10.1007/978-3-031-86069-0_36" TargetMode="External"/><Relationship Id="rId162" Type="http://schemas.openxmlformats.org/officeDocument/2006/relationships/hyperlink" Target="https://ieeexplore.ieee.org/abstract/document/10986439" TargetMode="External"/><Relationship Id="rId183" Type="http://schemas.openxmlformats.org/officeDocument/2006/relationships/hyperlink" Target="https://drive.google.com/file/d/1IK-Zz6_-xPrQQNao8oyP8pJ3NrGWugdJ/view?usp=drive_link" TargetMode="External"/><Relationship Id="rId213" Type="http://schemas.openxmlformats.org/officeDocument/2006/relationships/hyperlink" Target="https://drive.google.com/file/d/19pK7nmci8jObBRnznciaN9YcOJstY9O1/view?usp=drive_link" TargetMode="External"/><Relationship Id="rId218" Type="http://schemas.openxmlformats.org/officeDocument/2006/relationships/hyperlink" Target="https://doi.org/10.1007/978-3-032-05120-2_19" TargetMode="External"/><Relationship Id="rId234" Type="http://schemas.openxmlformats.org/officeDocument/2006/relationships/hyperlink" Target="https://drive.google.com/file/d/1Vm3f5zmbNjeY9_fSoZMn0_d7S-8vjYJL/view?usp=drive_link" TargetMode="External"/><Relationship Id="rId239" Type="http://schemas.openxmlformats.org/officeDocument/2006/relationships/hyperlink" Target="https://drive.google.com/file/d/1-L101ZqDrbLa7Yv_Y3WEN2L9Vg8qJ1-0/view?usp=drive_link" TargetMode="External"/><Relationship Id="rId2" Type="http://schemas.openxmlformats.org/officeDocument/2006/relationships/hyperlink" Target="https://doi.org/10.1109/CE2CT64011.2025.10941693" TargetMode="External"/><Relationship Id="rId29" Type="http://schemas.openxmlformats.org/officeDocument/2006/relationships/hyperlink" Target="https://drive.google.com/file/d/1XCvEuHsGFcTrEi92DzofyA-GfiRC3uYG/view?usp=drive_link" TargetMode="External"/><Relationship Id="rId250" Type="http://schemas.openxmlformats.org/officeDocument/2006/relationships/hyperlink" Target="https://drive.google.com/drive/folders/16a2lmD6osqP58dEXQh8Fv6LKnLxdACVJ?usp=sharing" TargetMode="External"/><Relationship Id="rId255" Type="http://schemas.openxmlformats.org/officeDocument/2006/relationships/hyperlink" Target="https://ieeexplore.ieee.org/abstract/document/11167652" TargetMode="External"/><Relationship Id="rId271" Type="http://schemas.openxmlformats.org/officeDocument/2006/relationships/hyperlink" Target="https://doi.org/10.1109/IETACS68750.2025.11385548" TargetMode="External"/><Relationship Id="rId276" Type="http://schemas.openxmlformats.org/officeDocument/2006/relationships/table" Target="../tables/table7.xml"/><Relationship Id="rId24" Type="http://schemas.openxmlformats.org/officeDocument/2006/relationships/hyperlink" Target="https://drive.google.com/file/d/1gSTccwT-b8aP0n3fzVVkssun1PbSI1Cu/view?usp=drive_link" TargetMode="External"/><Relationship Id="rId40" Type="http://schemas.openxmlformats.org/officeDocument/2006/relationships/hyperlink" Target="https://drive.google.com/file/d/1lX63KWTZbBIR0kTwWntDwe6Jd_T_kNwf/view?usp=sharing" TargetMode="External"/><Relationship Id="rId45" Type="http://schemas.openxmlformats.org/officeDocument/2006/relationships/hyperlink" Target="https://drive.google.com/file/d/1_iZc-kCkk5YodYHM8ERmFAw3oqI0jP1u/view?usp=sharing" TargetMode="External"/><Relationship Id="rId66" Type="http://schemas.openxmlformats.org/officeDocument/2006/relationships/hyperlink" Target="https://drive.google.com/file/d/1d7SYsZevAKn0e4P2xxAF0wxoOrJQLCGJ/view?usp=drive_link" TargetMode="External"/><Relationship Id="rId87" Type="http://schemas.openxmlformats.org/officeDocument/2006/relationships/hyperlink" Target="https://drive.google.com/drive/u/0/folders/1ikxa6IDfSIZSHhpIdkK5B-pdY_BARmQj" TargetMode="External"/><Relationship Id="rId110" Type="http://schemas.openxmlformats.org/officeDocument/2006/relationships/hyperlink" Target="https://drive.google.com/file/d/17xzf0x0n66n97MacLlZn3AQgJt13Un0m/view?usp=drive_link" TargetMode="External"/><Relationship Id="rId115" Type="http://schemas.openxmlformats.org/officeDocument/2006/relationships/hyperlink" Target="https://doi.org/10.1109/IC3I61595.2024.10828819" TargetMode="External"/><Relationship Id="rId131" Type="http://schemas.openxmlformats.org/officeDocument/2006/relationships/hyperlink" Target="https://drive.google.com/drive/folders/16a2lmD6osqP58dEXQh8Fv6LKnLxdACVJ?usp=sharing" TargetMode="External"/><Relationship Id="rId136" Type="http://schemas.openxmlformats.org/officeDocument/2006/relationships/hyperlink" Target="https://drive.google.com/drive/folders/16a2lmD6osqP58dEXQh8Fv6LKnLxdACVJ?usp=sharing" TargetMode="External"/><Relationship Id="rId157" Type="http://schemas.openxmlformats.org/officeDocument/2006/relationships/hyperlink" Target="https://doi.org/10.1201/9781003593034" TargetMode="External"/><Relationship Id="rId178" Type="http://schemas.openxmlformats.org/officeDocument/2006/relationships/hyperlink" Target="https://ieeexplore.ieee.org/document/11070960" TargetMode="External"/><Relationship Id="rId61" Type="http://schemas.openxmlformats.org/officeDocument/2006/relationships/hyperlink" Target="https://drive.google.com/file/d/1-6pMyUjhQxpP4NPh7vBXUvV7HHVt1p8g/view?usp=sharing" TargetMode="External"/><Relationship Id="rId82" Type="http://schemas.openxmlformats.org/officeDocument/2006/relationships/hyperlink" Target="https://ieeexplore.ieee.org/document/10969375" TargetMode="External"/><Relationship Id="rId152" Type="http://schemas.openxmlformats.org/officeDocument/2006/relationships/hyperlink" Target="https://drive.google.com/file/d/1cYmIId7-DwGVvhOBZ6Ky53HRgooH_hVS/view?usp=drive_link" TargetMode="External"/><Relationship Id="rId173" Type="http://schemas.openxmlformats.org/officeDocument/2006/relationships/hyperlink" Target="https://drive.google.com/file/d/1rgpiIvAzt2zzfM4sjz204X3wE0zgCnSF/view?usp=drive_link" TargetMode="External"/><Relationship Id="rId194" Type="http://schemas.openxmlformats.org/officeDocument/2006/relationships/hyperlink" Target="https://drive.google.com/file/d/1JqvhlTsdJ10RvHJ0AwHix3_waYOhNLY3/view?usp=drive_link" TargetMode="External"/><Relationship Id="rId199" Type="http://schemas.openxmlformats.org/officeDocument/2006/relationships/hyperlink" Target="https://drive.google.com/file/d/112GVrGpvwmNJKd7UpJbDIHrAAe0vWTuT/view?usp=sharing" TargetMode="External"/><Relationship Id="rId203" Type="http://schemas.openxmlformats.org/officeDocument/2006/relationships/hyperlink" Target="https://doi.org/10.1109/NETCRYPT65877.2025.11102313" TargetMode="External"/><Relationship Id="rId208" Type="http://schemas.openxmlformats.org/officeDocument/2006/relationships/hyperlink" Target="https://doi.org/10.1109/ACROSET62108.2024.10743538" TargetMode="External"/><Relationship Id="rId229" Type="http://schemas.openxmlformats.org/officeDocument/2006/relationships/hyperlink" Target="https://link.springer.com/chapter/10.1007/978-981-96-9203-3_24" TargetMode="External"/><Relationship Id="rId19" Type="http://schemas.openxmlformats.org/officeDocument/2006/relationships/hyperlink" Target="https://doi.org/10.1109/ICIDeA64800.2025.10963085" TargetMode="External"/><Relationship Id="rId224" Type="http://schemas.openxmlformats.org/officeDocument/2006/relationships/hyperlink" Target="https://www.scitepress.org/PublicationsDetail.aspx?ID=HT6+VoFlLB4=&amp;t=1" TargetMode="External"/><Relationship Id="rId240" Type="http://schemas.openxmlformats.org/officeDocument/2006/relationships/hyperlink" Target="https://drive.google.com/file/d/12YudM08YDyS_R9bZMMiEjo05NOq92mgz/view?usp=drive_link" TargetMode="External"/><Relationship Id="rId245" Type="http://schemas.openxmlformats.org/officeDocument/2006/relationships/hyperlink" Target="https://drive.google.com/file/d/1hRu22og6WP6SCJJlBf6tSPxOtBVjx-aU/view?usp=drive_link" TargetMode="External"/><Relationship Id="rId261" Type="http://schemas.openxmlformats.org/officeDocument/2006/relationships/hyperlink" Target="https://drive.google.com/file/d/1_cy9YIIMNpNkcKJ49cTNjAPMG2O3Oy1O/view?usp=drive_link" TargetMode="External"/><Relationship Id="rId266" Type="http://schemas.openxmlformats.org/officeDocument/2006/relationships/hyperlink" Target="https://link.springer.com/series/15179" TargetMode="External"/><Relationship Id="rId14" Type="http://schemas.openxmlformats.org/officeDocument/2006/relationships/hyperlink" Target="https://drive.google.com/drive/u/1/folders/1WDFfb-u9Og2U__NsdwOhKsjTNoCF4JNE" TargetMode="External"/><Relationship Id="rId30" Type="http://schemas.openxmlformats.org/officeDocument/2006/relationships/hyperlink" Target="https://ieeexplore.ieee.org/document/10956280" TargetMode="External"/><Relationship Id="rId35" Type="http://schemas.openxmlformats.org/officeDocument/2006/relationships/hyperlink" Target="https://link.springer.com/book/10.1007/978-981-96-7137-3" TargetMode="External"/><Relationship Id="rId56" Type="http://schemas.openxmlformats.org/officeDocument/2006/relationships/hyperlink" Target="https://doi.org/10.63345/ijrmeet.org.v13.si1.1301" TargetMode="External"/><Relationship Id="rId77" Type="http://schemas.openxmlformats.org/officeDocument/2006/relationships/hyperlink" Target="https://doi.org/10.1201/9781003593034" TargetMode="External"/><Relationship Id="rId100" Type="http://schemas.openxmlformats.org/officeDocument/2006/relationships/hyperlink" Target="https://drive.google.com/file/d/1GCnfOijhLZ9hW5_wFWaH6eHRsauBZn56/view?usp=drive_link" TargetMode="External"/><Relationship Id="rId105" Type="http://schemas.openxmlformats.org/officeDocument/2006/relationships/hyperlink" Target="https://drive.google.com/file/d/1nngZrFbToi1td2bdSc0wfV-_o6TGAcPe/view?usp=drive_link" TargetMode="External"/><Relationship Id="rId126" Type="http://schemas.openxmlformats.org/officeDocument/2006/relationships/hyperlink" Target="https://docs.google.com/document/d/1Q_oshGvM2ArsVSIZyeOVNoC9TWOB-ybzM51GEXyWKt8/edit?usp=sharing" TargetMode="External"/><Relationship Id="rId147" Type="http://schemas.openxmlformats.org/officeDocument/2006/relationships/hyperlink" Target="https://doi.org/10.1109/ICCSAI64074.2025.11063843" TargetMode="External"/><Relationship Id="rId168" Type="http://schemas.openxmlformats.org/officeDocument/2006/relationships/hyperlink" Target="https://drive.google.com/file/d/1A2POB3ZQavzn9jQT9aU7RKPAMVNslO6Q/view?usp=drive_link" TargetMode="External"/><Relationship Id="rId282" Type="http://schemas.openxmlformats.org/officeDocument/2006/relationships/table" Target="../tables/table13.xml"/><Relationship Id="rId8" Type="http://schemas.openxmlformats.org/officeDocument/2006/relationships/hyperlink" Target="https://drive.google.com/file/d/1OuixxVILy3xeIbxXHXL6Y0b6yD6yF5FE/view" TargetMode="External"/><Relationship Id="rId51" Type="http://schemas.openxmlformats.org/officeDocument/2006/relationships/hyperlink" Target="https://drive.google.com/drive/folders/1N-g132PXEPRBY2zwxtVHTPSowKVrehKA?usp=drive_link" TargetMode="External"/><Relationship Id="rId72" Type="http://schemas.openxmlformats.org/officeDocument/2006/relationships/hyperlink" Target="https://ieeexplore.ieee.org/abstract/document/11031861" TargetMode="External"/><Relationship Id="rId93" Type="http://schemas.openxmlformats.org/officeDocument/2006/relationships/hyperlink" Target="https://drive.google.com/drive/u/0/folders/1ikxa6IDfSIZSHhpIdkK5B-pdY_BARmQj" TargetMode="External"/><Relationship Id="rId98" Type="http://schemas.openxmlformats.org/officeDocument/2006/relationships/hyperlink" Target="https://doi.org/10.1109/ICIMIA67127.2025.11200634" TargetMode="External"/><Relationship Id="rId121" Type="http://schemas.openxmlformats.org/officeDocument/2006/relationships/hyperlink" Target="https://docs.google.com/document/d/13aRkZkJM0ZsLPhXmD4YD39eYMO-dCBSFGpYTdzXyIbg/edit?usp=sharing" TargetMode="External"/><Relationship Id="rId142" Type="http://schemas.openxmlformats.org/officeDocument/2006/relationships/hyperlink" Target="https://drive.google.com/drive/folders/16a2lmD6osqP58dEXQh8Fv6LKnLxdACVJ?usp=sharing" TargetMode="External"/><Relationship Id="rId163" Type="http://schemas.openxmlformats.org/officeDocument/2006/relationships/hyperlink" Target="https://drive.google.com/file/d/1VwbNd_D1gSgHnVLXABgFiFDxevg2h64D/view?usp=drive_link" TargetMode="External"/><Relationship Id="rId184" Type="http://schemas.openxmlformats.org/officeDocument/2006/relationships/hyperlink" Target="https://drive.google.com/file/d/1wKK2YtL1RgrI06vt1wItV3Mn7Fd-_Kbh/view?usp=sharing" TargetMode="External"/><Relationship Id="rId189" Type="http://schemas.openxmlformats.org/officeDocument/2006/relationships/hyperlink" Target="https://drive.google.com/file/d/1uunpoSqs-vxRTrtmcTR-qLpySoU4QEFJ/view?usp=drive_link" TargetMode="External"/><Relationship Id="rId219" Type="http://schemas.openxmlformats.org/officeDocument/2006/relationships/hyperlink" Target="https://link.springer.com/chapter/10.1007/978-3-032-05120-2_19" TargetMode="External"/><Relationship Id="rId3" Type="http://schemas.openxmlformats.org/officeDocument/2006/relationships/hyperlink" Target="https://ieeexplore.ieee.org/abstract/document/10941693" TargetMode="External"/><Relationship Id="rId214" Type="http://schemas.openxmlformats.org/officeDocument/2006/relationships/hyperlink" Target="https://drive.google.com/file/d/1MaGBAfpUh9iNMk_2-jxtDhxEFOlpgOUO/view?usp=drive_link" TargetMode="External"/><Relationship Id="rId230" Type="http://schemas.openxmlformats.org/officeDocument/2006/relationships/hyperlink" Target="https://link.springer.com/chapter/10.1007/978-981-96-9203-3_24" TargetMode="External"/><Relationship Id="rId235" Type="http://schemas.openxmlformats.org/officeDocument/2006/relationships/hyperlink" Target="https://drive.google.com/file/d/18t0hBi-PbrVdU5TmIU7s0pYd3HCaS3NF/view?usp=drive_link" TargetMode="External"/><Relationship Id="rId251" Type="http://schemas.openxmlformats.org/officeDocument/2006/relationships/hyperlink" Target="https://drive.google.com/drive/folders/16a2lmD6osqP58dEXQh8Fv6LKnLxdACVJ?usp=sharing" TargetMode="External"/><Relationship Id="rId256" Type="http://schemas.openxmlformats.org/officeDocument/2006/relationships/hyperlink" Target="https://drive.google.com/file/d/1sLBXJnCYmyUlAkY_xBBqdW8CPXgddjxe/view?usp=drive_link" TargetMode="External"/><Relationship Id="rId277" Type="http://schemas.openxmlformats.org/officeDocument/2006/relationships/table" Target="../tables/table8.xml"/><Relationship Id="rId25" Type="http://schemas.openxmlformats.org/officeDocument/2006/relationships/hyperlink" Target="https://drive.google.com/file/d/1MoZwKn9jzfzA4fWoS2bih9u9rE_kXoJe/view?usp=drive_link" TargetMode="External"/><Relationship Id="rId46" Type="http://schemas.openxmlformats.org/officeDocument/2006/relationships/hyperlink" Target="https://doi.org/10.1109/IC3ECSBHI63591.2025.10991066" TargetMode="External"/><Relationship Id="rId67" Type="http://schemas.openxmlformats.org/officeDocument/2006/relationships/hyperlink" Target="https://doi.org/10.1201/9781003593034" TargetMode="External"/><Relationship Id="rId116" Type="http://schemas.openxmlformats.org/officeDocument/2006/relationships/hyperlink" Target="https://ieeexplore.ieee.org/document/10828819/" TargetMode="External"/><Relationship Id="rId137" Type="http://schemas.openxmlformats.org/officeDocument/2006/relationships/hyperlink" Target="https://drive.google.com/drive/folders/16a2lmD6osqP58dEXQh8Fv6LKnLxdACVJ?usp=sharing" TargetMode="External"/><Relationship Id="rId158" Type="http://schemas.openxmlformats.org/officeDocument/2006/relationships/hyperlink" Target="https://drive.google.com/drive/u/1/home" TargetMode="External"/><Relationship Id="rId272" Type="http://schemas.openxmlformats.org/officeDocument/2006/relationships/hyperlink" Target="https://ieeexplore.ieee.org/document/11385548/" TargetMode="External"/><Relationship Id="rId20" Type="http://schemas.openxmlformats.org/officeDocument/2006/relationships/hyperlink" Target="https://drive.google.com/file/d/1oA8cUNN6PZgaAFrtOPro7_vPomOd260w/view?usp=drive_link" TargetMode="External"/><Relationship Id="rId41" Type="http://schemas.openxmlformats.org/officeDocument/2006/relationships/hyperlink" Target="https://drive.google.com/file/d/1Gxy7oGfwL3IdfPUgvK9Jv-FMbgliKW-c/view?usp=sharing" TargetMode="External"/><Relationship Id="rId62" Type="http://schemas.openxmlformats.org/officeDocument/2006/relationships/hyperlink" Target="https://doi.org/10.1007/978-3-032-06694-7_47" TargetMode="External"/><Relationship Id="rId83" Type="http://schemas.openxmlformats.org/officeDocument/2006/relationships/hyperlink" Target="https://drive.google.com/file/d/1Se5h5TiV9oysS8BrnVO2kp1eZ9IdLjyH/view?usp=sharing" TargetMode="External"/><Relationship Id="rId88" Type="http://schemas.openxmlformats.org/officeDocument/2006/relationships/hyperlink" Target="https://ieeexplore.ieee.org/document/10932604" TargetMode="External"/><Relationship Id="rId111" Type="http://schemas.openxmlformats.org/officeDocument/2006/relationships/hyperlink" Target="https://doi.org/10.1007/978-3-032-06694-7_47" TargetMode="External"/><Relationship Id="rId132" Type="http://schemas.openxmlformats.org/officeDocument/2006/relationships/hyperlink" Target="https://drive.google.com/drive/folders/16a2lmD6osqP58dEXQh8Fv6LKnLxdACVJ?usp=sharing" TargetMode="External"/><Relationship Id="rId153" Type="http://schemas.openxmlformats.org/officeDocument/2006/relationships/hyperlink" Target="https://drive.google.com/file/d/194F_dX4Ebn3GiYE8sE_iTFA8_lODh0k8/view?usp=drive_link" TargetMode="External"/><Relationship Id="rId174" Type="http://schemas.openxmlformats.org/officeDocument/2006/relationships/hyperlink" Target="https://drive.google.com/file/d/1XM7PIL0hJOlGHxO0HySavoFuCbaqCaKf/view?usp=drive_link" TargetMode="External"/><Relationship Id="rId179" Type="http://schemas.openxmlformats.org/officeDocument/2006/relationships/hyperlink" Target="https://drive.google.com/file/d/11SVSsmsjiR9SBzI0s9a67S-B_Ykce2jK/view?usp=sharing" TargetMode="External"/><Relationship Id="rId195" Type="http://schemas.openxmlformats.org/officeDocument/2006/relationships/hyperlink" Target="https://drive.google.com/file/d/1xY_BOEuRb-VPsE7ifTXreK1aZZiEr76Z/view?usp=drive_link" TargetMode="External"/><Relationship Id="rId209" Type="http://schemas.openxmlformats.org/officeDocument/2006/relationships/hyperlink" Target="https://ieeexplore.ieee.org/document/10743538" TargetMode="External"/><Relationship Id="rId190" Type="http://schemas.openxmlformats.org/officeDocument/2006/relationships/hyperlink" Target="https://drive.google.com/file/d/1LTxU8nWUosF-nRVelJYCoDYnL1S_ZzCr/view?usp=drive_link" TargetMode="External"/><Relationship Id="rId204" Type="http://schemas.openxmlformats.org/officeDocument/2006/relationships/hyperlink" Target="https://ieeexplore.ieee.org/abstract/document/11102313" TargetMode="External"/><Relationship Id="rId220" Type="http://schemas.openxmlformats.org/officeDocument/2006/relationships/hyperlink" Target="https://drive.google.com/file/d/1FZgv6qw-y01h5xuBsDd30n3OqPH2ixuP/view?usp=drive_link" TargetMode="External"/><Relationship Id="rId225" Type="http://schemas.openxmlformats.org/officeDocument/2006/relationships/hyperlink" Target="https://drive.google.com/file/d/1ZE-w_V2eatXszj6FgU8snQAFDm3FlMLe/view?usp=drive_link" TargetMode="External"/><Relationship Id="rId241" Type="http://schemas.openxmlformats.org/officeDocument/2006/relationships/hyperlink" Target="https://drive.google.com/file/d/1-L101ZqDrbLa7Yv_Y3WEN2L9Vg8qJ1-0/view?usp=drive_link" TargetMode="External"/><Relationship Id="rId246" Type="http://schemas.openxmlformats.org/officeDocument/2006/relationships/hyperlink" Target="https://drive.google.com/drive/folders/16a2lmD6osqP58dEXQh8Fv6LKnLxdACVJ?usp=sharing" TargetMode="External"/><Relationship Id="rId267" Type="http://schemas.openxmlformats.org/officeDocument/2006/relationships/hyperlink" Target="https://drive.google.com/file/d/14zxFQLSYlifr7uNC7vK2wUarEoGZgwk6/view?usp=sharing" TargetMode="External"/><Relationship Id="rId15" Type="http://schemas.openxmlformats.org/officeDocument/2006/relationships/hyperlink" Target="https://drive.google.com/drive/u/1/folders/1WDFfb-u9Og2U__NsdwOhKsjTNoCF4JNE" TargetMode="External"/><Relationship Id="rId36" Type="http://schemas.openxmlformats.org/officeDocument/2006/relationships/hyperlink" Target="https://drive.google.com/file/d/1SG2Q8q7Ta6VSU2Ki4urtZUBQH8R-Qb2J/view?usp=sharing" TargetMode="External"/><Relationship Id="rId57" Type="http://schemas.openxmlformats.org/officeDocument/2006/relationships/hyperlink" Target="https://ijrmeet.org/vol-13-sp-issue-1-april-2025/" TargetMode="External"/><Relationship Id="rId106" Type="http://schemas.openxmlformats.org/officeDocument/2006/relationships/hyperlink" Target="https://drive.google.com/file/d/1WEe1DkHMstIp8zg6OaiBcUqNcu-3CNmW/view?usp=drive_link" TargetMode="External"/><Relationship Id="rId127" Type="http://schemas.openxmlformats.org/officeDocument/2006/relationships/hyperlink" Target="https://drive.google.com/drive/folders/16a2lmD6osqP58dEXQh8Fv6LKnLxdACVJ?usp=sharing" TargetMode="External"/><Relationship Id="rId262" Type="http://schemas.openxmlformats.org/officeDocument/2006/relationships/hyperlink" Target="https://link.springer.com/series/15179" TargetMode="External"/><Relationship Id="rId283" Type="http://schemas.openxmlformats.org/officeDocument/2006/relationships/table" Target="../tables/table14.xml"/><Relationship Id="rId10" Type="http://schemas.openxmlformats.org/officeDocument/2006/relationships/hyperlink" Target="https://drive.google.com/file/d/1RwPOst8NBDyXLICf-3C0-fOg2AMZQbw4/view?usp=drivesdk" TargetMode="External"/><Relationship Id="rId31" Type="http://schemas.openxmlformats.org/officeDocument/2006/relationships/hyperlink" Target="https://drive.google.com/file/d/1ELu4bzUvEovfymyv0jj1nkQsf54G6pYj/view?usp=drive_link" TargetMode="External"/><Relationship Id="rId52" Type="http://schemas.openxmlformats.org/officeDocument/2006/relationships/hyperlink" Target="https://drive.google.com/file/d/1jOVylLR6OK-j45NHvYY1UU_aFNDiqbei/view?usp=sharing" TargetMode="External"/><Relationship Id="rId73" Type="http://schemas.openxmlformats.org/officeDocument/2006/relationships/hyperlink" Target="https://ieeexplore.ieee.org/abstract/document/11136200" TargetMode="External"/><Relationship Id="rId78" Type="http://schemas.openxmlformats.org/officeDocument/2006/relationships/hyperlink" Target="https://www.taylorfrancis.com/books/edit/10.1201/9781003593034/recent-trends-intelligent-computing-communication-pushpa-choudhary-sambit-satpathy-arvind-dagur-dhirendra-kumar-shukla?refId=23d57960-e365-4bfd-9de6-e77b1f8f0984&amp;context=ubx" TargetMode="External"/><Relationship Id="rId94" Type="http://schemas.openxmlformats.org/officeDocument/2006/relationships/hyperlink" Target="https://drive.google.com/drive/u/0/folders/1ikxa6IDfSIZSHhpIdkK5B-pdY_BARmQj" TargetMode="External"/><Relationship Id="rId99" Type="http://schemas.openxmlformats.org/officeDocument/2006/relationships/hyperlink" Target="https://ieeexplore.ieee.org/document/11200634" TargetMode="External"/><Relationship Id="rId101" Type="http://schemas.openxmlformats.org/officeDocument/2006/relationships/hyperlink" Target="https://doi.org/10.1007/978-981-96-4226-7" TargetMode="External"/><Relationship Id="rId122" Type="http://schemas.openxmlformats.org/officeDocument/2006/relationships/hyperlink" Target="https://ieeexplore.ieee.org/author/209743118109163" TargetMode="External"/><Relationship Id="rId143" Type="http://schemas.openxmlformats.org/officeDocument/2006/relationships/hyperlink" Target="https://drive.google.com/drive/folders/16a2lmD6osqP58dEXQh8Fv6LKnLxdACVJ?usp=sharing" TargetMode="External"/><Relationship Id="rId148" Type="http://schemas.openxmlformats.org/officeDocument/2006/relationships/hyperlink" Target="https://ieeexplore.ieee.org/abstract/document/11063843" TargetMode="External"/><Relationship Id="rId164" Type="http://schemas.openxmlformats.org/officeDocument/2006/relationships/hyperlink" Target="https://drive.google.com/file/d/1tizoDzBSA7UtNOFmrdTpJ0mXltQDge9f/view?usp=drive_link" TargetMode="External"/><Relationship Id="rId169" Type="http://schemas.openxmlformats.org/officeDocument/2006/relationships/hyperlink" Target="https://drive.google.com/file/d/1SC_mp-HlQR-2LQCFgfEjNtd_OXmMt5sN/view?usp=drive_link" TargetMode="External"/><Relationship Id="rId185" Type="http://schemas.openxmlformats.org/officeDocument/2006/relationships/hyperlink" Target="https://drive.google.com/file/d/1MXvCftNRvZX_3Nwci0exTHuicC9scRL-/view?usp=drive_link" TargetMode="External"/><Relationship Id="rId4" Type="http://schemas.openxmlformats.org/officeDocument/2006/relationships/hyperlink" Target="https://drive.google.com/file/d/1RgfY344nX940D9BDDby7Z34d_SAl4Gw7/view?usp=drive_link" TargetMode="External"/><Relationship Id="rId9" Type="http://schemas.openxmlformats.org/officeDocument/2006/relationships/hyperlink" Target="https://drive.google.com/file/d/1dcZSLG4bNuGiiZxKw7uFbgTj6voKg3l-/view?usp=drive_link" TargetMode="External"/><Relationship Id="rId180" Type="http://schemas.openxmlformats.org/officeDocument/2006/relationships/hyperlink" Target="https://drive.google.com/file/d/1oeHLwjRSZscfiOInM21rtVQKsPe7zvTa/view?usp=drive_link" TargetMode="External"/><Relationship Id="rId210" Type="http://schemas.openxmlformats.org/officeDocument/2006/relationships/hyperlink" Target="https://ieeexplore.ieee.org/xpl/conhome/10939032/proceeding" TargetMode="External"/><Relationship Id="rId215" Type="http://schemas.openxmlformats.org/officeDocument/2006/relationships/hyperlink" Target="https://www.scitepress.org/PublicationsDetail.aspx?ID=HT6+VoFlLB4=&amp;t=1" TargetMode="External"/><Relationship Id="rId236" Type="http://schemas.openxmlformats.org/officeDocument/2006/relationships/hyperlink" Target="https://drive.google.com/file/d/1fDLMFtwPK-Y9t6lVH87Oh7_6jwSSKVo3/view?usp=drive_link" TargetMode="External"/><Relationship Id="rId257" Type="http://schemas.openxmlformats.org/officeDocument/2006/relationships/hyperlink" Target="https://drive.google.com/file/d/1ZNteFfy-mvUS2Nl3_pRAAy37MpY4cbBL/view?usp=drive_link" TargetMode="External"/><Relationship Id="rId278" Type="http://schemas.openxmlformats.org/officeDocument/2006/relationships/table" Target="../tables/table9.xml"/><Relationship Id="rId26" Type="http://schemas.openxmlformats.org/officeDocument/2006/relationships/hyperlink" Target="https://ieeexplore.ieee.org/document/11115670" TargetMode="External"/><Relationship Id="rId231" Type="http://schemas.openxmlformats.org/officeDocument/2006/relationships/hyperlink" Target="https://drive.google.com/file/d/1xPpxdPUNNzjgO-YY-tHitgLM0FVnrlqY/view?usp=drive_link" TargetMode="External"/><Relationship Id="rId252" Type="http://schemas.openxmlformats.org/officeDocument/2006/relationships/hyperlink" Target="https://drive.google.com/drive/folders/16a2lmD6osqP58dEXQh8Fv6LKnLxdACVJ?usp=sharing" TargetMode="External"/><Relationship Id="rId273" Type="http://schemas.openxmlformats.org/officeDocument/2006/relationships/hyperlink" Target="https://drive.google.com/file/d/1EjcpWHY19YLF5wFyRSmBH1xeS7tKw4GS/view?usp=drive_link" TargetMode="External"/><Relationship Id="rId47" Type="http://schemas.openxmlformats.org/officeDocument/2006/relationships/hyperlink" Target="https://scholar.google.com/citations?view_op=view_citation&amp;hl=en&amp;user=CDuSHUwAAAAJ&amp;citation_for_view=CDuSHUwAAAAJ:qjMakFHDy7sC" TargetMode="External"/><Relationship Id="rId68" Type="http://schemas.openxmlformats.org/officeDocument/2006/relationships/hyperlink" Target="https://www.taylorfrancis.com/books/edit/10.1201/9781003593034/recent-trends-intelligent-computing-communication-pushpa-choudhary-sambit-satpathy-arvind-dagur-dhirendra-kumar-shukla?refId=23d57960-e365-4bfd-9de6-e77b1f8f0984&amp;context=ubx" TargetMode="External"/><Relationship Id="rId89" Type="http://schemas.openxmlformats.org/officeDocument/2006/relationships/hyperlink" Target="https://drive.google.com/drive/u/0/folders/1ikxa6IDfSIZSHhpIdkK5B-pdY_BARmQj" TargetMode="External"/><Relationship Id="rId112" Type="http://schemas.openxmlformats.org/officeDocument/2006/relationships/hyperlink" Target="https://link.springer.com/chapter/10.1007/978-3-032-06694-7_47" TargetMode="External"/><Relationship Id="rId133" Type="http://schemas.openxmlformats.org/officeDocument/2006/relationships/hyperlink" Target="https://drive.google.com/drive/folders/16a2lmD6osqP58dEXQh8Fv6LKnLxdACVJ?usp=sharing" TargetMode="External"/><Relationship Id="rId154" Type="http://schemas.openxmlformats.org/officeDocument/2006/relationships/hyperlink" Target="https://doi.org/10.1007/978-3-032-06703-6_48" TargetMode="External"/><Relationship Id="rId175" Type="http://schemas.openxmlformats.org/officeDocument/2006/relationships/hyperlink" Target="https://drive.google.com/file/d/1mxOla_-DAhP1W8hjbI8Ooj9yWNbql-al/view?usp=drive_link" TargetMode="External"/><Relationship Id="rId196" Type="http://schemas.openxmlformats.org/officeDocument/2006/relationships/hyperlink" Target="https://drive.google.com/file/d/1h69vfme45YVT6KkZVh-NUqV46W6xSgkb/view?usp=drive_link" TargetMode="External"/><Relationship Id="rId200" Type="http://schemas.openxmlformats.org/officeDocument/2006/relationships/hyperlink" Target="https://drive.google.com/file/d/1a1NMb0ytkpdFSHo--eq2OTjlkivWahKk/view?usp=drive_link" TargetMode="External"/><Relationship Id="rId16" Type="http://schemas.openxmlformats.org/officeDocument/2006/relationships/hyperlink" Target="https://drive.google.com/drive/u/1/folders/1WDFfb-u9Og2U__NsdwOhKsjTNoCF4JNE" TargetMode="External"/><Relationship Id="rId221" Type="http://schemas.openxmlformats.org/officeDocument/2006/relationships/hyperlink" Target="https://drive.google.com/file/d/1RNdRdZWC7kjIGS_hy6KoEwR2ffnNN96S/view?usp=drive_link" TargetMode="External"/><Relationship Id="rId242" Type="http://schemas.openxmlformats.org/officeDocument/2006/relationships/hyperlink" Target="https://drive.google.com/file/d/15B1snRqfCzmrRo-FhAa1rUl_tBndGvxD/view?usp=sharing" TargetMode="External"/><Relationship Id="rId263" Type="http://schemas.openxmlformats.org/officeDocument/2006/relationships/hyperlink" Target="https://drive.google.com/file/d/1XPrVkcVeffT3sFlo1kxo7dcuKr1REDYd/view?usp=drive_link" TargetMode="External"/><Relationship Id="rId284" Type="http://schemas.openxmlformats.org/officeDocument/2006/relationships/comments" Target="../comments1.xml"/><Relationship Id="rId37" Type="http://schemas.openxmlformats.org/officeDocument/2006/relationships/hyperlink" Target="https://drive.google.com/file/d/1T5RKVdWsf9pDEE6fG89uUurB4jeAOrwr/view?usp=sharing" TargetMode="External"/><Relationship Id="rId58" Type="http://schemas.openxmlformats.org/officeDocument/2006/relationships/hyperlink" Target="https://drive.google.com/file/d/1jOVylLR6OK-j45NHvYY1UU_aFNDiqbei/view?usp=drive_link" TargetMode="External"/><Relationship Id="rId79" Type="http://schemas.openxmlformats.org/officeDocument/2006/relationships/hyperlink" Target="https://drive.google.com/file/d/1cXH4w8Lu4_KeDwdXQIEQk5yMcV1fzNVH/view?usp=drivesdk" TargetMode="External"/><Relationship Id="rId102" Type="http://schemas.openxmlformats.org/officeDocument/2006/relationships/hyperlink" Target="https://link.springer.com/book/10.1007/978-981-96-4226-7" TargetMode="External"/><Relationship Id="rId123" Type="http://schemas.openxmlformats.org/officeDocument/2006/relationships/hyperlink" Target="https://doi.org/10.1109/IC3ECSBHI63591.2025.10991313" TargetMode="External"/><Relationship Id="rId144" Type="http://schemas.openxmlformats.org/officeDocument/2006/relationships/hyperlink" Target="https://drive.google.com/drive/folders/16a2lmD6osqP58dEXQh8Fv6LKnLxdACVJ?usp=sharing" TargetMode="External"/><Relationship Id="rId90" Type="http://schemas.openxmlformats.org/officeDocument/2006/relationships/hyperlink" Target="https://drive.google.com/drive/u/0/folders/1ikxa6IDfSIZSHhpIdkK5B-pdY_BARmQj" TargetMode="External"/><Relationship Id="rId165" Type="http://schemas.openxmlformats.org/officeDocument/2006/relationships/hyperlink" Target="https://doi.org/10.1109/ICCSAI64074.2025.11063843" TargetMode="External"/><Relationship Id="rId186" Type="http://schemas.openxmlformats.org/officeDocument/2006/relationships/hyperlink" Target="https://drive.google.com/file/d/1NyJxD7QDOSZ5E6zPZx9RQofCqzFleRO6/view?usp=drive_link" TargetMode="External"/><Relationship Id="rId211" Type="http://schemas.openxmlformats.org/officeDocument/2006/relationships/hyperlink" Target="https://doi.org/10.1109/CE2CT64011.2025.10939487" TargetMode="External"/><Relationship Id="rId232" Type="http://schemas.openxmlformats.org/officeDocument/2006/relationships/hyperlink" Target="https://drive.google.com/file/d/1b4Bp-wBs6-IeKvBl5KukVp7AXARehbbD/view?usp=sharing" TargetMode="External"/><Relationship Id="rId253" Type="http://schemas.openxmlformats.org/officeDocument/2006/relationships/hyperlink" Target="https://drive.google.com/file/d/1tozXUA5a3Df-aRDs8FtPJ8CXqonzmY5v/view?usp=sharing" TargetMode="External"/><Relationship Id="rId274" Type="http://schemas.openxmlformats.org/officeDocument/2006/relationships/vmlDrawing" Target="../drawings/vmlDrawing1.vml"/><Relationship Id="rId27" Type="http://schemas.openxmlformats.org/officeDocument/2006/relationships/hyperlink" Target="https://drive.google.com/file/d/1pNe9BIUpyKZ55NUTrfRATar_Ok9TEIWu/view?usp=drive_link" TargetMode="External"/><Relationship Id="rId48" Type="http://schemas.openxmlformats.org/officeDocument/2006/relationships/hyperlink" Target="https://drive.google.com/file/d/13Ni0Z_Afe1_kGzZrgmaBzQZFLT6hkKme/view?usp=drive_link" TargetMode="External"/><Relationship Id="rId69" Type="http://schemas.openxmlformats.org/officeDocument/2006/relationships/hyperlink" Target="https://ieeexplore.ieee.org/abstract/document/11069917" TargetMode="External"/><Relationship Id="rId113" Type="http://schemas.openxmlformats.org/officeDocument/2006/relationships/hyperlink" Target="https://drive.google.com/file/d/1pI7mMey-pYKAUQgsYrLOCSRZdctlKIIw/view?usp=drive_link" TargetMode="External"/><Relationship Id="rId134" Type="http://schemas.openxmlformats.org/officeDocument/2006/relationships/hyperlink" Target="https://drive.google.com/drive/folders/16a2lmD6osqP58dEXQh8Fv6LKnLxdACVJ?usp=sharing" TargetMode="External"/><Relationship Id="rId80" Type="http://schemas.openxmlformats.org/officeDocument/2006/relationships/hyperlink" Target="https://drive.google.com/file/d/1GFVxR0EzhuW3wG_Ecb3eMtZcJ27SYCxq/view?usp=drivesdk" TargetMode="External"/><Relationship Id="rId155" Type="http://schemas.openxmlformats.org/officeDocument/2006/relationships/hyperlink" Target="https://link.springer.com/chapter/10.1007/978-3-032-06703-6_48" TargetMode="External"/><Relationship Id="rId176" Type="http://schemas.openxmlformats.org/officeDocument/2006/relationships/hyperlink" Target="https://drive.google.com/file/d/1QyAQiSakJzpTRy60ALUydNSvpo2vPYtF/view?usp=drive_link" TargetMode="External"/><Relationship Id="rId197" Type="http://schemas.openxmlformats.org/officeDocument/2006/relationships/hyperlink" Target="https://drive.google.com/file/d/16BTKOqhrBfivgznQuJnrQThZvw6trUE3/view?usp=drive_link" TargetMode="External"/><Relationship Id="rId201" Type="http://schemas.openxmlformats.org/officeDocument/2006/relationships/hyperlink" Target="https://drive.google.com/file/d/1a1NMb0ytkpdFSHo--eq2OTjlkivWahKk/view?usp=drive_link" TargetMode="External"/><Relationship Id="rId222" Type="http://schemas.openxmlformats.org/officeDocument/2006/relationships/hyperlink" Target="https://www.scitepress.org/PublicationsDetail.aspx?ID=HT6+VoFlLB4=&amp;t=1" TargetMode="External"/><Relationship Id="rId243" Type="http://schemas.openxmlformats.org/officeDocument/2006/relationships/hyperlink" Target="https://drive.google.com/file/d/1sFBe0cs1eqnuSihy4WhXZSo6BuUkOIDL/view?usp=sharing" TargetMode="External"/><Relationship Id="rId264" Type="http://schemas.openxmlformats.org/officeDocument/2006/relationships/hyperlink" Target="https://drive.google.com/file/d/1pImYDJuoX8oiQYfj9Yu0ElO_VnO8d3Xq/view?usp=sharing" TargetMode="External"/><Relationship Id="rId17" Type="http://schemas.openxmlformats.org/officeDocument/2006/relationships/hyperlink" Target="https://drive.google.com/file/d/1HjBrLHZxj98nf8csSUOqF-Ut5h6nL4Us/view?usp=drive_link" TargetMode="External"/><Relationship Id="rId38" Type="http://schemas.openxmlformats.org/officeDocument/2006/relationships/hyperlink" Target="https://drive.google.com/file/d/1Vn0ju1PoMJxk8hOws7J4RvbcHIRi-mn5/view?usp=sharing" TargetMode="External"/><Relationship Id="rId59" Type="http://schemas.openxmlformats.org/officeDocument/2006/relationships/hyperlink" Target="https://doi.org/10.1007/978-981-96-3284-8_2" TargetMode="External"/><Relationship Id="rId103" Type="http://schemas.openxmlformats.org/officeDocument/2006/relationships/hyperlink" Target="https://drive.google.com/file/d/1H1c5_f2-SrGnI-GBrhd2QKj2361fhqWU/view?usp=drive_link" TargetMode="External"/><Relationship Id="rId124" Type="http://schemas.openxmlformats.org/officeDocument/2006/relationships/hyperlink" Target="https://ieeexplore.ieee.org/document/10991313" TargetMode="External"/><Relationship Id="rId70" Type="http://schemas.openxmlformats.org/officeDocument/2006/relationships/hyperlink" Target="https://ieeexplore.ieee.org/abstract/document/11076936" TargetMode="External"/><Relationship Id="rId91" Type="http://schemas.openxmlformats.org/officeDocument/2006/relationships/hyperlink" Target="https://drive.google.com/drive/u/0/folders/1ikxa6IDfSIZSHhpIdkK5B-pdY_BARmQj" TargetMode="External"/><Relationship Id="rId145" Type="http://schemas.openxmlformats.org/officeDocument/2006/relationships/hyperlink" Target="https://drive.google.com/drive/u/0/folders/1_XKrc-25jjjm7VCNFIv98XTFamO6_-0P" TargetMode="External"/><Relationship Id="rId166" Type="http://schemas.openxmlformats.org/officeDocument/2006/relationships/hyperlink" Target="https://ieeexplore.ieee.org/abstract/document/11063843" TargetMode="External"/><Relationship Id="rId187" Type="http://schemas.openxmlformats.org/officeDocument/2006/relationships/hyperlink" Target="https://drive.google.com/file/d/1LMr08XZHjvdXajNFo6w1mqWpJZFgMZrF/view?usp=drive_link" TargetMode="External"/><Relationship Id="rId1" Type="http://schemas.openxmlformats.org/officeDocument/2006/relationships/hyperlink" Target="https://ieeexplore.ieee.org/abstract/document/10941693/" TargetMode="External"/><Relationship Id="rId212" Type="http://schemas.openxmlformats.org/officeDocument/2006/relationships/hyperlink" Target="https://ieeexplore.ieee.org/document/10939487" TargetMode="External"/><Relationship Id="rId233" Type="http://schemas.openxmlformats.org/officeDocument/2006/relationships/hyperlink" Target="https://drive.google.com/file/d/1f1DA6f6Vce89N-1oSa8Hf-I_Rn_u-zPO/view?usp=drive_link" TargetMode="External"/><Relationship Id="rId254" Type="http://schemas.openxmlformats.org/officeDocument/2006/relationships/hyperlink" Target="https://drive.google.com/file/d/1urtgRa9YxuMLwhlBCmXu-nqtPZrsKX-2/view?usp=sharing" TargetMode="External"/><Relationship Id="rId28" Type="http://schemas.openxmlformats.org/officeDocument/2006/relationships/hyperlink" Target="https://ieeexplore.ieee.org/document/10956374" TargetMode="External"/><Relationship Id="rId49" Type="http://schemas.openxmlformats.org/officeDocument/2006/relationships/hyperlink" Target="https://doi.org/10.1007/978-3-032-06694-7_47" TargetMode="External"/><Relationship Id="rId114" Type="http://schemas.openxmlformats.org/officeDocument/2006/relationships/hyperlink" Target="https://drive.google.com/file/d/1jziMEkW3-z00Blq5lwW-GhW4NcGGbVQB/view?usp=drive_link" TargetMode="External"/><Relationship Id="rId275" Type="http://schemas.openxmlformats.org/officeDocument/2006/relationships/table" Target="../tables/table6.xml"/><Relationship Id="rId60" Type="http://schemas.openxmlformats.org/officeDocument/2006/relationships/hyperlink" Target="https://link.springer.com/chapter/10.1007/978-981-96-3284-8_2" TargetMode="External"/><Relationship Id="rId81" Type="http://schemas.openxmlformats.org/officeDocument/2006/relationships/hyperlink" Target="https://doi.org/10.1109/ISACC65211.2025.10969375" TargetMode="External"/><Relationship Id="rId135" Type="http://schemas.openxmlformats.org/officeDocument/2006/relationships/hyperlink" Target="https://drive.google.com/drive/folders/16a2lmD6osqP58dEXQh8Fv6LKnLxdACVJ?usp=sharing" TargetMode="External"/><Relationship Id="rId156" Type="http://schemas.openxmlformats.org/officeDocument/2006/relationships/hyperlink" Target="https://drive.google.com/file/d/1szl5x8aw_9Yi0bxojD0T8yC_w8Upykjo/view?usp=sharing" TargetMode="External"/><Relationship Id="rId177" Type="http://schemas.openxmlformats.org/officeDocument/2006/relationships/hyperlink" Target="https://doi.org/10.1109/OTCON65728.2025.11070960" TargetMode="External"/><Relationship Id="rId198" Type="http://schemas.openxmlformats.org/officeDocument/2006/relationships/hyperlink" Target="https://drive.google.com/file/d/19or1D5M2R3xuKQ7BQ2MgNXIptxjwaZcr/view?usp=drive_link" TargetMode="External"/><Relationship Id="rId202" Type="http://schemas.openxmlformats.org/officeDocument/2006/relationships/hyperlink" Target="https://ieeexplore.ieee.org/author/239005343690313" TargetMode="External"/><Relationship Id="rId223" Type="http://schemas.openxmlformats.org/officeDocument/2006/relationships/hyperlink" Target="https://drive.google.com/file/d/1bbFRgZWW2Qd0btw5dZEHF3ujy88htsyk/view?usp=drive_link" TargetMode="External"/><Relationship Id="rId244" Type="http://schemas.openxmlformats.org/officeDocument/2006/relationships/hyperlink" Target="https://drive.google.com/file/d/1K4s_9te229dEUsPC3l1Bm1dn7jQfZ5BR/view?usp=sharin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ocs.google.com/document/d/1AqZ3px1GuEiXeGTXzc114QVE639b3EZMFiSD-ZwEFWM/edit?usp=sharing" TargetMode="External"/><Relationship Id="rId13" Type="http://schemas.openxmlformats.org/officeDocument/2006/relationships/hyperlink" Target="https://www.amazon.in/Autonomous-Cloud-Revolution-learns-evolves/dp/B0F5HR9LDR" TargetMode="External"/><Relationship Id="rId18" Type="http://schemas.openxmlformats.org/officeDocument/2006/relationships/hyperlink" Target="https://www.amazon.in/Serverless-Architectures-Data-Driven-Advertising-Scalability/dp/B0DVR5J8T3/ref=sr_1_1?crid=116X0E8ZY6G2&amp;dib=eyJ2IjoiMSJ9.woVQJ7XljGjKnRCDV3UNTg.pVWoZBc08pm30e_lUH7AVsD52a4FW3DwZhGounzGjYg&amp;dib_tag=se&amp;keywords=serverless+architectures+and+data+driven+advertising&amp;qid=1762843501&amp;s=books&amp;sprefix=serverless+architecutures+and+data+driven+%2Cstripbooks%2C228&amp;sr=1-1" TargetMode="External"/><Relationship Id="rId26" Type="http://schemas.openxmlformats.org/officeDocument/2006/relationships/hyperlink" Target="https://www.flipkart.com/data-analytics-tools-manager-s/p/itm2c88a6bd7eaa8?pid=9789360105693&amp;cmpid=product.share.pp&amp;_refId=PP.33db2565-d580-44fa-bfb2-de89489da315.9789360105693&amp;_appId=WA" TargetMode="External"/><Relationship Id="rId39" Type="http://schemas.openxmlformats.org/officeDocument/2006/relationships/hyperlink" Target="https://drive.google.com/drive/folders/1-UFTc3TUP4KXTou4wvYh1PBl49xV0CqP?usp=drive_link" TargetMode="External"/><Relationship Id="rId3" Type="http://schemas.openxmlformats.org/officeDocument/2006/relationships/hyperlink" Target="https://amzn.in/d/4PbFWOo" TargetMode="External"/><Relationship Id="rId21" Type="http://schemas.openxmlformats.org/officeDocument/2006/relationships/hyperlink" Target="https://drive.google.com/file/d/18ji0Z6oXzTguJrvimomDOxn_vj6IvQCy/view?usp=drive_link" TargetMode="External"/><Relationship Id="rId34" Type="http://schemas.openxmlformats.org/officeDocument/2006/relationships/hyperlink" Target="https://www.amazon.in/gp/product/B0FN88KNCS/ref=ox_sc_act_title_1?smid=A1UBZVGJOLJUJI&amp;psc=1" TargetMode="External"/><Relationship Id="rId42" Type="http://schemas.openxmlformats.org/officeDocument/2006/relationships/hyperlink" Target="https://www.wiley.com/en-us/Federated+Learning+for+Smart+Agriculture+and+Food+Quality+Enhancement-p-9781394338726" TargetMode="External"/><Relationship Id="rId7" Type="http://schemas.openxmlformats.org/officeDocument/2006/relationships/hyperlink" Target="https://drive.google.com/drive/folders/1pR9RyJrVtJSeDmi-upOg9FmwDMWRpGfR?usp=drive_link" TargetMode="External"/><Relationship Id="rId12" Type="http://schemas.openxmlformats.org/officeDocument/2006/relationships/hyperlink" Target="https://drive.google.com/drive/folders/1ikxa6IDfSIZSHhpIdkK5B-pdY_BARmQj?usp=sharing" TargetMode="External"/><Relationship Id="rId17" Type="http://schemas.openxmlformats.org/officeDocument/2006/relationships/hyperlink" Target="https://www.amazon.in/s/ref=dp_byline_sr_book_1?ie=UTF8&amp;field-author=Karthik+Venkatesan+Dr.+Lalit+Kumar&amp;search-alias=stripbooks" TargetMode="External"/><Relationship Id="rId25" Type="http://schemas.openxmlformats.org/officeDocument/2006/relationships/hyperlink" Target="https://drive.google.com/file/d/1awfN_r7A7achTh_eAEJe5hQzVpPyKFs7/view?usp=drive_link" TargetMode="External"/><Relationship Id="rId33" Type="http://schemas.openxmlformats.org/officeDocument/2006/relationships/hyperlink" Target="https://www.amazon.com/Empowering-Healthcare-through-AI-Blockchain/dp/1394261802" TargetMode="External"/><Relationship Id="rId38" Type="http://schemas.openxmlformats.org/officeDocument/2006/relationships/hyperlink" Target="https://books.google.co.in/books?id=mtJSEQAAQBAJ&amp;newbks=0&amp;hl=en&amp;source=newbks_fb&amp;redir_esc=y" TargetMode="External"/><Relationship Id="rId2" Type="http://schemas.openxmlformats.org/officeDocument/2006/relationships/hyperlink" Target="https://books.google.co.in/books?id=epZiEQAAQBAJ&amp;printsec=frontcover&amp;dq=inauthor:%22Author:+1-+Shirish+Kashinath+Borkar,+Author:+2-+Dr.+Ajay+Kumar%22&amp;hl=en&amp;newbks=1&amp;newbks_redir=0&amp;source=gb_mobile_search&amp;ovdme=1&amp;sa=X&amp;redir_esc=y" TargetMode="External"/><Relationship Id="rId16" Type="http://schemas.openxmlformats.org/officeDocument/2006/relationships/hyperlink" Target="https://www.amazon.in/AI-Enhanced-Observability-Intelligent-Cloud-Native-Architectures/dp/B0F6VCY8N3/ref=sr_1_1?dib=eyJ2IjoiMSJ9.KjZzpeMfrZW4vklrlMKq-w.fChIzq5xZ1hijQvJzCiXi6CR-WFKY2VI-kpnMirsKfw&amp;dib_tag=se&amp;qid=1762843207&amp;refinements=p_27%3ADr.+Lalit+Kumar+Ankush+Jitendrakumar+Tyagi&amp;s=books&amp;sr=1-1" TargetMode="External"/><Relationship Id="rId20" Type="http://schemas.openxmlformats.org/officeDocument/2006/relationships/hyperlink" Target="https://mindcraftpublications.com/book-details.php?id=4" TargetMode="External"/><Relationship Id="rId29" Type="http://schemas.openxmlformats.org/officeDocument/2006/relationships/hyperlink" Target="https://drive.google.com/drive/folders/1-UFTc3TUP4KXTou4wvYh1PBl49xV0CqP?usp=drive_link" TargetMode="External"/><Relationship Id="rId41" Type="http://schemas.openxmlformats.org/officeDocument/2006/relationships/hyperlink" Target="https://drive.google.com/drive/folders/1ctx1f_r1H2GCRbkbUc_TPbZpoj8HtQQv?usp=sharing" TargetMode="External"/><Relationship Id="rId1" Type="http://schemas.openxmlformats.org/officeDocument/2006/relationships/hyperlink" Target="https://www.flipkart.com/operating-systems/p/itm5413e87aefb92?pid=9788198809858" TargetMode="External"/><Relationship Id="rId6" Type="http://schemas.openxmlformats.org/officeDocument/2006/relationships/hyperlink" Target="https://www.amazon.in/Microservices-Automation-Excellence-Development-Intelligent/dp/B0FD8K8CPT" TargetMode="External"/><Relationship Id="rId11" Type="http://schemas.openxmlformats.org/officeDocument/2006/relationships/hyperlink" Target="https://ekumbh.aicte-india.org/allbook.php" TargetMode="External"/><Relationship Id="rId24" Type="http://schemas.openxmlformats.org/officeDocument/2006/relationships/hyperlink" Target="https://amzn.in/d/4PbFWOo" TargetMode="External"/><Relationship Id="rId32" Type="http://schemas.openxmlformats.org/officeDocument/2006/relationships/hyperlink" Target="https://www.amazon.co.za/Cybernetic-Shield-Securing-Machine-Intelligence/dp/1032936436" TargetMode="External"/><Relationship Id="rId37" Type="http://schemas.openxmlformats.org/officeDocument/2006/relationships/hyperlink" Target="https://drive.google.com/file/d/1iU66PvQC0UpKfV3VYUjTpNkrC7xeLcP1/view?usp=drive_link" TargetMode="External"/><Relationship Id="rId40" Type="http://schemas.openxmlformats.org/officeDocument/2006/relationships/hyperlink" Target="https://amzn.in/d/4PbFWOo" TargetMode="External"/><Relationship Id="rId45" Type="http://schemas.openxmlformats.org/officeDocument/2006/relationships/hyperlink" Target="https://books.google.co.in/books?hl=en&amp;lr=&amp;id=VlaUEQAAQBAJ&amp;oi=fnd&amp;pg=PP1&amp;dq=info:D9iePsGNtyUJ:scholar.google.com&amp;ots=3cKGRatCX1&amp;sig=2vtJ7g-23bN4vgu2JsVyheyiERo&amp;redir_esc=y" TargetMode="External"/><Relationship Id="rId5" Type="http://schemas.openxmlformats.org/officeDocument/2006/relationships/hyperlink" Target="https://www.flipkart.com/product/p/itme?pid=9789371433433" TargetMode="External"/><Relationship Id="rId15" Type="http://schemas.openxmlformats.org/officeDocument/2006/relationships/hyperlink" Target="https://drive.google.com/file/d/1JXvlLBe17WaO0U-YQrfevyy6Zx_caGnV/view?usp=drive_link" TargetMode="External"/><Relationship Id="rId23" Type="http://schemas.openxmlformats.org/officeDocument/2006/relationships/hyperlink" Target="https://www.flipkart.com/product/p/itme?pid=9789371438377" TargetMode="External"/><Relationship Id="rId28" Type="http://schemas.openxmlformats.org/officeDocument/2006/relationships/hyperlink" Target="https://books.google.co.in/books?id=mtJSEQAAQBAJ&amp;newbks=0&amp;hl=en&amp;source=newbks_fb&amp;redir_esc=y" TargetMode="External"/><Relationship Id="rId36" Type="http://schemas.openxmlformats.org/officeDocument/2006/relationships/hyperlink" Target="https://www.amazon.in/gp/product/B0F2HRDQV5/ref=cx_skuctr_share_ls_srb?smid=A3JMOLA6ZHJ0SX&amp;tag=ShopReferral_3f81be9a-8663-4d59-900a-be44dc69d966" TargetMode="External"/><Relationship Id="rId10" Type="http://schemas.openxmlformats.org/officeDocument/2006/relationships/hyperlink" Target="https://drive.google.com/drive/u/0/folders/1ikxa6IDfSIZSHhpIdkK5B-pdY_BARmQj" TargetMode="External"/><Relationship Id="rId19" Type="http://schemas.openxmlformats.org/officeDocument/2006/relationships/hyperlink" Target="https://drive.google.com/file/d/1cpg4NOENQmr7ZzyAbeQBpyAsjezYgMMd/view?usp=drive_link" TargetMode="External"/><Relationship Id="rId31" Type="http://schemas.openxmlformats.org/officeDocument/2006/relationships/hyperlink" Target="https://drive.google.com/file/d/1Pgx1GiHKnwCr9eiyHo3YnDwL0NS9D2kQ/view?usp=sharing" TargetMode="External"/><Relationship Id="rId44" Type="http://schemas.openxmlformats.org/officeDocument/2006/relationships/hyperlink" Target="https://books.google.co.in/books?hl=en&amp;lr=&amp;id=VlaUEQAAQBAJ&amp;oi=fnd&amp;pg=PP1&amp;dq=info:D9iePsGNtyUJ:scholar.google.com&amp;ots=3cKGRatCX1&amp;sig=2vtJ7g-23bN4vgu2JsVyheyiERo&amp;redir_esc=y" TargetMode="External"/><Relationship Id="rId4" Type="http://schemas.openxmlformats.org/officeDocument/2006/relationships/hyperlink" Target="https://drive.google.com/drive/folders/1ivyTtR6KzfBO-KupU-DHe0ZYB-8MBIAw" TargetMode="External"/><Relationship Id="rId9" Type="http://schemas.openxmlformats.org/officeDocument/2006/relationships/hyperlink" Target="https://www.amazon.in/Scaling-Beyond-Monoliths-Cloud-Native-Multi-Tenant/dp/B0F7HX6N1H" TargetMode="External"/><Relationship Id="rId14" Type="http://schemas.openxmlformats.org/officeDocument/2006/relationships/hyperlink" Target="https://www.amazon.in/DevSecOps-Security-Scanning-Enterprise-Pipeline/dp/B0DT46WHK5/ref=sr_1_1?dib=eyJ2IjoiMSJ9.GId6gMKUkt3HtHgmCwaxXw.uq-8VeW84035WqQlOoPfkDvJsjgzuRnK-H4ZZK3Olf4&amp;dib_tag=se&amp;keywords=devsecops+security+scanning+tools+in+enterprise+cicd+pipeline&amp;nsdOptOutParam=true&amp;qid=1762842689&amp;s=books&amp;sr=1-1" TargetMode="External"/><Relationship Id="rId22" Type="http://schemas.openxmlformats.org/officeDocument/2006/relationships/hyperlink" Target="https://www.flipkart.com/product/p/itme?pid=9789371438377" TargetMode="External"/><Relationship Id="rId27" Type="http://schemas.openxmlformats.org/officeDocument/2006/relationships/hyperlink" Target="https://drive.google.com/file/d/1dDuulXMDo0QtXtUGUg24j7JEGphYe-v2/view?usp=sharing" TargetMode="External"/><Relationship Id="rId30" Type="http://schemas.openxmlformats.org/officeDocument/2006/relationships/hyperlink" Target="https://www.amazon.in/-/hi/JASWANTH-ALAHARI-REETA-MISHRA/dp/B0DR8XYST6" TargetMode="External"/><Relationship Id="rId35" Type="http://schemas.openxmlformats.org/officeDocument/2006/relationships/hyperlink" Target="https://drive.google.com/file/d/1KnWkYEvjhE6uWxtHgP22h9mejuzpIMT6/view?usp=share_link" TargetMode="External"/><Relationship Id="rId43" Type="http://schemas.openxmlformats.org/officeDocument/2006/relationships/hyperlink" Target="https://www.wiley.com/en-us/Federated+Learning+for+Smart+Agriculture+and+Food+Quality+Enhancement-p-9781394338726"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rive.google.com/file/d/1flCLtfR8Lcjh_sOLvrNdNKDHWMKtR5g3/view?usp=drive_link" TargetMode="External"/><Relationship Id="rId18" Type="http://schemas.openxmlformats.org/officeDocument/2006/relationships/hyperlink" Target="https://www.eurekaselect.com/chapter/25486" TargetMode="External"/><Relationship Id="rId26" Type="http://schemas.openxmlformats.org/officeDocument/2006/relationships/hyperlink" Target="https://scrivenerpublishing.com/cart/title.php?id=1282" TargetMode="External"/><Relationship Id="rId39" Type="http://schemas.openxmlformats.org/officeDocument/2006/relationships/hyperlink" Target="https://doi.org/10.1007/978-981-95-1268-3_8" TargetMode="External"/><Relationship Id="rId21" Type="http://schemas.openxmlformats.org/officeDocument/2006/relationships/hyperlink" Target="https://www.taylorfrancis.com/chapters/edit/10.1201/9781003593034-74/automated-crowd-detection-tracking-system-using-ai-powered-drones-abhinav-raghav-sarvesh-kumar-swarnakar-gunjan-mittal-roy-puneeta-singh-shantanu-bindewari?context=ubx&amp;refId=3079b18a-b036-4133-af18-058f80813b5d" TargetMode="External"/><Relationship Id="rId34" Type="http://schemas.openxmlformats.org/officeDocument/2006/relationships/hyperlink" Target="https://onlinelibrary.wiley.com/doi/abs/10.1002/9781394272624.ch20" TargetMode="External"/><Relationship Id="rId42" Type="http://schemas.openxmlformats.org/officeDocument/2006/relationships/hyperlink" Target="https://doi.org/10.1201/9781003634553" TargetMode="External"/><Relationship Id="rId47" Type="http://schemas.openxmlformats.org/officeDocument/2006/relationships/hyperlink" Target="https://doi.org/10.52305/KNDO5005" TargetMode="External"/><Relationship Id="rId50" Type="http://schemas.openxmlformats.org/officeDocument/2006/relationships/hyperlink" Target="https://novapublishers.com/shop/machine-learning-based-decision-support-systems-for-diabetic-foot-ulcer-care/" TargetMode="External"/><Relationship Id="rId55" Type="http://schemas.openxmlformats.org/officeDocument/2006/relationships/hyperlink" Target="https://www.routledge.com/Cybernetic-Shield-Securing-the-Future-of-Machine-Intelligence/Singh-Saxena-Haghi/p/book/9781032936437" TargetMode="External"/><Relationship Id="rId63" Type="http://schemas.openxmlformats.org/officeDocument/2006/relationships/hyperlink" Target="https://onlinelibrary.wiley.com/doi/10.1002/9781394272624.ch21" TargetMode="External"/><Relationship Id="rId68" Type="http://schemas.openxmlformats.org/officeDocument/2006/relationships/hyperlink" Target="https://www.igi-global.com/chapter/a-global-study-on-the-challenges-in-implementation-of-policy-framework-for-the-use-of-energy-efficient-technologies-for-food-security/380092" TargetMode="External"/><Relationship Id="rId76" Type="http://schemas.openxmlformats.org/officeDocument/2006/relationships/hyperlink" Target="https://link.springer.com/chapter/10.1007/978-981-95-1268-3_8" TargetMode="External"/><Relationship Id="rId84" Type="http://schemas.openxmlformats.org/officeDocument/2006/relationships/hyperlink" Target="https://doi.org/10.1002/9781394338726.ch5" TargetMode="External"/><Relationship Id="rId89" Type="http://schemas.openxmlformats.org/officeDocument/2006/relationships/hyperlink" Target="https://onlinelibrary.wiley.com/doi/chapter-epub/10.1002/9781394336449.ch3" TargetMode="External"/><Relationship Id="rId7" Type="http://schemas.openxmlformats.org/officeDocument/2006/relationships/hyperlink" Target="https://doi.org/10.1002/9781394272624.ch21" TargetMode="External"/><Relationship Id="rId71" Type="http://schemas.openxmlformats.org/officeDocument/2006/relationships/hyperlink" Target="https://www.taylorfrancis.com/search?contributorName=Vijaya%20Choudhary&amp;contributorRole=author&amp;redirectFromPDP=true&amp;context=ubx" TargetMode="External"/><Relationship Id="rId2" Type="http://schemas.openxmlformats.org/officeDocument/2006/relationships/hyperlink" Target="https://link.springer.com/chapter/10.1007/978-981-96-6158-9_6" TargetMode="External"/><Relationship Id="rId16" Type="http://schemas.openxmlformats.org/officeDocument/2006/relationships/hyperlink" Target="https://onlinelibrary.wiley.com/doi/abs/10.1002/9781394272624.ch20" TargetMode="External"/><Relationship Id="rId29" Type="http://schemas.openxmlformats.org/officeDocument/2006/relationships/hyperlink" Target="https://drive.google.com/drive/u/1/folders/1jDLI8EAfOt5IkLMiklB5ABeOdwV-2kvM" TargetMode="External"/><Relationship Id="rId11" Type="http://schemas.openxmlformats.org/officeDocument/2006/relationships/hyperlink" Target="https://doi.org/10.1002/9781394272624.ch9" TargetMode="External"/><Relationship Id="rId24" Type="http://schemas.openxmlformats.org/officeDocument/2006/relationships/hyperlink" Target="https://onlinelibrary.wiley.com/doi/abs/10.1002/9781394302734.ch12" TargetMode="External"/><Relationship Id="rId32" Type="http://schemas.openxmlformats.org/officeDocument/2006/relationships/hyperlink" Target="https://drive.google.com/drive/u/1/folders/1jDLI8EAfOt5IkLMiklB5ABeOdwV-2kvM" TargetMode="External"/><Relationship Id="rId37" Type="http://schemas.openxmlformats.org/officeDocument/2006/relationships/hyperlink" Target="https://onlinelibrary.wiley.com/doi/abs/10.1002/9781394272624.ch8" TargetMode="External"/><Relationship Id="rId40" Type="http://schemas.openxmlformats.org/officeDocument/2006/relationships/hyperlink" Target="https://link.springer.com/chapter/10.1007/978-981-95-1268-3_8" TargetMode="External"/><Relationship Id="rId45" Type="http://schemas.openxmlformats.org/officeDocument/2006/relationships/hyperlink" Target="https://doi.org/10.1007/978-981-95-0417-6_13" TargetMode="External"/><Relationship Id="rId53" Type="http://schemas.openxmlformats.org/officeDocument/2006/relationships/hyperlink" Target="https://doi.org/10.52305/MBEF3026" TargetMode="External"/><Relationship Id="rId58" Type="http://schemas.openxmlformats.org/officeDocument/2006/relationships/hyperlink" Target="https://doi.org/10.1007/978-3-032-07305-1_10" TargetMode="External"/><Relationship Id="rId66" Type="http://schemas.openxmlformats.org/officeDocument/2006/relationships/hyperlink" Target="https://www.taylorfrancis.com/chapters/edit/10.1201/9781003497868-18/ethics-professional-standards-cybersecurity-digital-forensics-national-security-shantanu-bindewari-mansi-trivedi" TargetMode="External"/><Relationship Id="rId74" Type="http://schemas.openxmlformats.org/officeDocument/2006/relationships/hyperlink" Target="https://www.taylorfrancis.com/chapters/edit/10.1201/9781003593034-43/overview-advanced-ai-driven-mobile-robot-early-forest-fire-detection-expert-system-vijaya-choudhary-alisha-banga-paramita-guha-sharmistha-dey-archana?context=ubx&amp;refId=eba23ab3-d63f-491b-b506-696fbb01798c" TargetMode="External"/><Relationship Id="rId79" Type="http://schemas.openxmlformats.org/officeDocument/2006/relationships/hyperlink" Target="https://www.eurekaselect.com/chapter/26255" TargetMode="External"/><Relationship Id="rId87" Type="http://schemas.openxmlformats.org/officeDocument/2006/relationships/hyperlink" Target="https://doi.org/10.1002/9781394336449.ch3" TargetMode="External"/><Relationship Id="rId5" Type="http://schemas.openxmlformats.org/officeDocument/2006/relationships/hyperlink" Target="https://link.springer.com/chapter/10.1007/978-981-96-6158-9_12" TargetMode="External"/><Relationship Id="rId61" Type="http://schemas.openxmlformats.org/officeDocument/2006/relationships/hyperlink" Target="https://doi.org/10.1002/9781394272624.ch21" TargetMode="External"/><Relationship Id="rId82" Type="http://schemas.openxmlformats.org/officeDocument/2006/relationships/hyperlink" Target="https://onlinelibrary.wiley.com/doi/abs/10.1002/9781394348084.ch4" TargetMode="External"/><Relationship Id="rId19" Type="http://schemas.openxmlformats.org/officeDocument/2006/relationships/hyperlink" Target="https://www.taylorfrancis.com/search?contributorName=Gunjan%20Mittal%20Roy&amp;contributorRole=author&amp;redirectFromPDP=true&amp;context=ubx" TargetMode="External"/><Relationship Id="rId4" Type="http://schemas.openxmlformats.org/officeDocument/2006/relationships/hyperlink" Target="https://doi.org/10.1007/978-981-96-6158-9_12" TargetMode="External"/><Relationship Id="rId9" Type="http://schemas.openxmlformats.org/officeDocument/2006/relationships/hyperlink" Target="https://onlinelibrary.wiley.com/doi/10.1002/9781394272624.ch21" TargetMode="External"/><Relationship Id="rId14" Type="http://schemas.openxmlformats.org/officeDocument/2006/relationships/hyperlink" Target="https://onlinelibrary.wiley.com/doi/abs/10.1002/9781394272624.ch20" TargetMode="External"/><Relationship Id="rId22" Type="http://schemas.openxmlformats.org/officeDocument/2006/relationships/hyperlink" Target="https://www.taylorfrancis.com/chapters/edit/10.1201/9781003593034-74/automated-crowd-detection-tracking-system-using-ai-powered-drones-abhinav-raghav-sarvesh-kumar-swarnakar-gunjan-mittal-roy-puneeta-singh-shantanu-bindewari?context=ubx&amp;refId=3079b18a-b036-4133-af18-058f80813b5d" TargetMode="External"/><Relationship Id="rId27" Type="http://schemas.openxmlformats.org/officeDocument/2006/relationships/hyperlink" Target="https://doi.org/10.1002/9781394272624.ch3" TargetMode="External"/><Relationship Id="rId30" Type="http://schemas.openxmlformats.org/officeDocument/2006/relationships/hyperlink" Target="https://doi.org/10.1002/9781394272624.ch9" TargetMode="External"/><Relationship Id="rId35" Type="http://schemas.openxmlformats.org/officeDocument/2006/relationships/hyperlink" Target="https://drive.google.com/drive/u/1/folders/1jDLI8EAfOt5IkLMiklB5ABeOdwV-2kvM" TargetMode="External"/><Relationship Id="rId43" Type="http://schemas.openxmlformats.org/officeDocument/2006/relationships/hyperlink" Target="https://www.taylorfrancis.com/chapters/edit/10.1201/9781003634553-12/nanoscale-industry-4-0-empowers-advanced-nanomaterials-devices-vineet-vishnoi-shivam-chaudhary-neeraj-joshi-prakhar-consul?context=ubx&amp;refId=08f3fc15-5aa9-42bd-bd3b-6d67d1f59120" TargetMode="External"/><Relationship Id="rId48" Type="http://schemas.openxmlformats.org/officeDocument/2006/relationships/hyperlink" Target="https://novapublishers.com/shop/machine-learning-based-decision-support-systems-for-diabetic-foot-ulcer-care/" TargetMode="External"/><Relationship Id="rId56" Type="http://schemas.openxmlformats.org/officeDocument/2006/relationships/hyperlink" Target="https://www.routledge.com/Cybernetic-Shield-Securing-the-Future-of-Machine-Intelligence/Singh-Saxena-Haghi/p/book/9781032936437" TargetMode="External"/><Relationship Id="rId64" Type="http://schemas.openxmlformats.org/officeDocument/2006/relationships/hyperlink" Target="https://doi.org/10.1201/9781003497868" TargetMode="External"/><Relationship Id="rId69" Type="http://schemas.openxmlformats.org/officeDocument/2006/relationships/hyperlink" Target="https://www.igi-global.com/chapter/a-global-study-on-the-challenges-in-implementation-of-policy-framework-for-the-use-of-energy-efficient-technologies-for-food-security/380092" TargetMode="External"/><Relationship Id="rId77" Type="http://schemas.openxmlformats.org/officeDocument/2006/relationships/hyperlink" Target="https://www.routledge.com/Cybernetic-Shield-Securing-the-Future-of-Machine-Intelligence/Singh-Saxena-Haghi/p/book/9781032936437" TargetMode="External"/><Relationship Id="rId8" Type="http://schemas.openxmlformats.org/officeDocument/2006/relationships/hyperlink" Target="https://onlinelibrary.wiley.com/doi/abs/10.1002/9781394272624.ch21" TargetMode="External"/><Relationship Id="rId51" Type="http://schemas.openxmlformats.org/officeDocument/2006/relationships/hyperlink" Target="https://doi.org/10.52305/MBEF3026" TargetMode="External"/><Relationship Id="rId72" Type="http://schemas.openxmlformats.org/officeDocument/2006/relationships/hyperlink" Target="https://doi.org/10.1201/9781003593034" TargetMode="External"/><Relationship Id="rId80" Type="http://schemas.openxmlformats.org/officeDocument/2006/relationships/hyperlink" Target="https://onlinelibrary.wiley.com/authored-by/Soni/Tanishq" TargetMode="External"/><Relationship Id="rId85" Type="http://schemas.openxmlformats.org/officeDocument/2006/relationships/hyperlink" Target="https://onlinelibrary.wiley.com/doi/epdf/10.1002/9781394338726.ch5" TargetMode="External"/><Relationship Id="rId3" Type="http://schemas.openxmlformats.org/officeDocument/2006/relationships/hyperlink" Target="https://drive.google.com/file/d/1J9OOGlwD-cZG13JzeczKTEDnAbGyZSMq/view?usp=drive_link" TargetMode="External"/><Relationship Id="rId12" Type="http://schemas.openxmlformats.org/officeDocument/2006/relationships/hyperlink" Target="https://onlinelibrary.wiley.com/doi/abs/10.1002/9781394272624.ch9" TargetMode="External"/><Relationship Id="rId17" Type="http://schemas.openxmlformats.org/officeDocument/2006/relationships/hyperlink" Target="https://drive.google.com/file/d/1eFBi4naK_vbSqhPS_dZoydB_-FpVGDOe/view?usp=drive_link" TargetMode="External"/><Relationship Id="rId25" Type="http://schemas.openxmlformats.org/officeDocument/2006/relationships/hyperlink" Target="https://onlinelibrary.wiley.com/doi/abs/10.1002/9781394302734.ch12" TargetMode="External"/><Relationship Id="rId33" Type="http://schemas.openxmlformats.org/officeDocument/2006/relationships/hyperlink" Target="https://doi.org/10.1002/9781394272624.ch20" TargetMode="External"/><Relationship Id="rId38" Type="http://schemas.openxmlformats.org/officeDocument/2006/relationships/hyperlink" Target="https://drive.google.com/drive/u/1/folders/1jDLI8EAfOt5IkLMiklB5ABeOdwV-2kvM" TargetMode="External"/><Relationship Id="rId46" Type="http://schemas.openxmlformats.org/officeDocument/2006/relationships/hyperlink" Target="https://link.springer.com/chapter/10.1007/978-981-95-0417-6_13" TargetMode="External"/><Relationship Id="rId59" Type="http://schemas.openxmlformats.org/officeDocument/2006/relationships/hyperlink" Target="https://link.springer.com/chapter/10.1007/978-3-032-07305-1_10" TargetMode="External"/><Relationship Id="rId67" Type="http://schemas.openxmlformats.org/officeDocument/2006/relationships/hyperlink" Target="https://doi.org/10.4018/979-8-3693-8342-1.ch016" TargetMode="External"/><Relationship Id="rId20" Type="http://schemas.openxmlformats.org/officeDocument/2006/relationships/hyperlink" Target="https://www.taylorfrancis.com/chapters/edit/10.1201/9781003593034-74/automated-crowd-detection-tracking-system-using-ai-powered-drones-abhinav-raghav-sarvesh-kumar-swarnakar-gunjan-mittal-roy-puneeta-singh-shantanu-bindewari?context=ubx&amp;refId=3079b18a-b036-4133-af18-058f80813b5d" TargetMode="External"/><Relationship Id="rId41" Type="http://schemas.openxmlformats.org/officeDocument/2006/relationships/hyperlink" Target="https://drive.google.com/drive/u/0/folders/1ikxa6IDfSIZSHhpIdkK5B-pdY_BARmQj" TargetMode="External"/><Relationship Id="rId54" Type="http://schemas.openxmlformats.org/officeDocument/2006/relationships/hyperlink" Target="https://novapublishers.com/shop/harnessing-the-power-of-iot-enabled-machine-learning-in-healthcare-applications/" TargetMode="External"/><Relationship Id="rId62" Type="http://schemas.openxmlformats.org/officeDocument/2006/relationships/hyperlink" Target="https://onlinelibrary.wiley.com/doi/abs/10.1002/9781394272624.ch21" TargetMode="External"/><Relationship Id="rId70" Type="http://schemas.openxmlformats.org/officeDocument/2006/relationships/hyperlink" Target="https://www.taylorfrancis.com/chapters/edit/10.1201/9781003593034-74/automated-crowd-detection-tracking-system-using-ai-powered-drones-abhinav-raghav-sarvesh-kumar-swarnakar-gunjan-mittal-roy-puneeta-singh-shantanu-bindewari?context=ubx&amp;refId=3079b18a-b036-4133-af18-058f80813b5d" TargetMode="External"/><Relationship Id="rId75" Type="http://schemas.openxmlformats.org/officeDocument/2006/relationships/hyperlink" Target="https://doi.org/10.1007/978-981-95-1268-3_8" TargetMode="External"/><Relationship Id="rId83" Type="http://schemas.openxmlformats.org/officeDocument/2006/relationships/hyperlink" Target="https://onlinelibrary.wiley.com/authored-by/Mishra/Reeta" TargetMode="External"/><Relationship Id="rId88" Type="http://schemas.openxmlformats.org/officeDocument/2006/relationships/hyperlink" Target="https://onlinelibrary.wiley.com/doi/chapter-epub/10.1002/9781394336449.ch3" TargetMode="External"/><Relationship Id="rId1" Type="http://schemas.openxmlformats.org/officeDocument/2006/relationships/hyperlink" Target="https://doi.org/10.1007/978-981-96-6158-9_6" TargetMode="External"/><Relationship Id="rId6" Type="http://schemas.openxmlformats.org/officeDocument/2006/relationships/hyperlink" Target="https://drive.google.com/file/d/1J9OOGlwD-cZG13JzeczKTEDnAbGyZSMq/view?usp=drive_link" TargetMode="External"/><Relationship Id="rId15" Type="http://schemas.openxmlformats.org/officeDocument/2006/relationships/hyperlink" Target="https://doi.org/10.1002/9781394272624.ch20" TargetMode="External"/><Relationship Id="rId23" Type="http://schemas.openxmlformats.org/officeDocument/2006/relationships/hyperlink" Target="https://doi.org/10.1002/9781394302734.ch12" TargetMode="External"/><Relationship Id="rId28" Type="http://schemas.openxmlformats.org/officeDocument/2006/relationships/hyperlink" Target="https://onlinelibrary.wiley.com/doi/abs/10.1002/9781394272624.ch3" TargetMode="External"/><Relationship Id="rId36" Type="http://schemas.openxmlformats.org/officeDocument/2006/relationships/hyperlink" Target="https://doi.org/10.1002/9781394272624.ch8" TargetMode="External"/><Relationship Id="rId49" Type="http://schemas.openxmlformats.org/officeDocument/2006/relationships/hyperlink" Target="https://doi.org/10.52305/KNDO5005" TargetMode="External"/><Relationship Id="rId57" Type="http://schemas.openxmlformats.org/officeDocument/2006/relationships/hyperlink" Target="https://www.routledge.com/Cybernetic-Shield-Securing-the-Future-of-Machine-Intelligence/Singh-Saxena-Haghi/p/book/9781032936437" TargetMode="External"/><Relationship Id="rId10" Type="http://schemas.openxmlformats.org/officeDocument/2006/relationships/hyperlink" Target="https://onlinelibrary.wiley.com/doi/abs/10.1002/9781394272624.ch9" TargetMode="External"/><Relationship Id="rId31" Type="http://schemas.openxmlformats.org/officeDocument/2006/relationships/hyperlink" Target="https://onlinelibrary.wiley.com/doi/abs/10.1002/9781394272624.ch9" TargetMode="External"/><Relationship Id="rId44" Type="http://schemas.openxmlformats.org/officeDocument/2006/relationships/hyperlink" Target="https://www.google.co.in/books/edition/Nanotechnology_Applications_for_Industry/l8VoEQAAQBAJ?hl=en&amp;gbpv=1&amp;pg=PA297&amp;printsec=frontcover" TargetMode="External"/><Relationship Id="rId52" Type="http://schemas.openxmlformats.org/officeDocument/2006/relationships/hyperlink" Target="https://novapublishers.com/shop/harnessing-the-power-of-iot-enabled-machine-learning-in-healthcare-applications/" TargetMode="External"/><Relationship Id="rId60" Type="http://schemas.openxmlformats.org/officeDocument/2006/relationships/hyperlink" Target="https://link.springer.com/chapter/10.1007/978-3-032-07305-1_10" TargetMode="External"/><Relationship Id="rId65" Type="http://schemas.openxmlformats.org/officeDocument/2006/relationships/hyperlink" Target="https://www.taylorfrancis.com/chapters/edit/10.1201/9781003497868-18/ethics-professional-standards-cybersecurity-digital-forensics-national-security-shantanu-bindewari-mansi-trivedi" TargetMode="External"/><Relationship Id="rId73" Type="http://schemas.openxmlformats.org/officeDocument/2006/relationships/hyperlink" Target="https://www.taylorfrancis.com/chapters/edit/10.1201/9781003593034-43/overview-advanced-ai-driven-mobile-robot-early-forest-fire-detection-expert-system-vijaya-choudhary-alisha-banga-paramita-guha-sharmistha-dey-archana?context=ubx&amp;refId=c11f18a4-b53c-4d7f-94d1-86884c06490f" TargetMode="External"/><Relationship Id="rId78" Type="http://schemas.openxmlformats.org/officeDocument/2006/relationships/hyperlink" Target="https://doi.org/10.2174/9798898811389125010008" TargetMode="External"/><Relationship Id="rId81" Type="http://schemas.openxmlformats.org/officeDocument/2006/relationships/hyperlink" Target="https://doi.org/10.1002/9781394348084.ch4" TargetMode="External"/><Relationship Id="rId86" Type="http://schemas.openxmlformats.org/officeDocument/2006/relationships/hyperlink" Target="https://onlinelibrary.wiley.com/authored-by/Arun/Vanya"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drive.google.com/file/d/1LwLe5oOXed5OpJnecdIMabHSHCE6hG7-/view?usp=sharing" TargetMode="External"/><Relationship Id="rId18" Type="http://schemas.openxmlformats.org/officeDocument/2006/relationships/hyperlink" Target="https://drive.google.com/file/d/1VC62B2NpXJf5ABcTgSI0DEe3JYS4D6PP/view?usp=sharing" TargetMode="External"/><Relationship Id="rId26" Type="http://schemas.openxmlformats.org/officeDocument/2006/relationships/hyperlink" Target="https://drive.google.com/file/d/12yetG2zvp_FgucwUN9r5Gkv_8vBq38a5/view?usp=drive_link" TargetMode="External"/><Relationship Id="rId39" Type="http://schemas.openxmlformats.org/officeDocument/2006/relationships/hyperlink" Target="https://drive.google.com/file/d/1C09bHvF-lwens1XXbBQGNKyrEwygCjYA/view?usp=sharing" TargetMode="External"/><Relationship Id="rId21" Type="http://schemas.openxmlformats.org/officeDocument/2006/relationships/hyperlink" Target="https://drive.google.com/file/d/15elf4iiLVnoTlSVgckkv2mSZBoDHqFgm/view?usp=drive_link" TargetMode="External"/><Relationship Id="rId34" Type="http://schemas.openxmlformats.org/officeDocument/2006/relationships/hyperlink" Target="https://drive.google.com/file/d/16xAP7KVxadhFKqt4uwZNajItanoCQvnc/view?usp=sharing" TargetMode="External"/><Relationship Id="rId42" Type="http://schemas.openxmlformats.org/officeDocument/2006/relationships/hyperlink" Target="https://drive.google.com/file/d/1R-BaUqR_SqY8AOYHK-z5df1_eQp0auiZ/view?usp=drive_link" TargetMode="External"/><Relationship Id="rId47" Type="http://schemas.openxmlformats.org/officeDocument/2006/relationships/hyperlink" Target="https://drive.google.com/file/d/1a9FdMMHef3FrqOITd9YebX4ZlvJl_tG9/view?usp=drive_link" TargetMode="External"/><Relationship Id="rId50" Type="http://schemas.openxmlformats.org/officeDocument/2006/relationships/hyperlink" Target="https://drive.google.com/file/d/1U258ae81nJG2Hg36uY4Y-Bgd4GTeE0qS/view?usp=sharing" TargetMode="External"/><Relationship Id="rId55" Type="http://schemas.openxmlformats.org/officeDocument/2006/relationships/hyperlink" Target="https://drive.google.com/file/d/1-EjLIAxpHwS5_fLCxQw8DhXNhxYRrJHt/view?usp=drive_link" TargetMode="External"/><Relationship Id="rId63" Type="http://schemas.openxmlformats.org/officeDocument/2006/relationships/hyperlink" Target="https://drive.google.com/file/d/12yetG2zvp_FgucwUN9r5Gkv_8vBq38a5/view?usp=drive_link" TargetMode="External"/><Relationship Id="rId7" Type="http://schemas.openxmlformats.org/officeDocument/2006/relationships/hyperlink" Target="https://drive.google.com/file/d/1mfyf2RU4BaT9b4maJD-bwidLO0J-UG-D/view?usp=drive_link" TargetMode="External"/><Relationship Id="rId2" Type="http://schemas.openxmlformats.org/officeDocument/2006/relationships/hyperlink" Target="https://drive.google.com/file/d/12yetG2zvp_FgucwUN9r5Gkv_8vBq38a5/view?usp=drive_link" TargetMode="External"/><Relationship Id="rId16" Type="http://schemas.openxmlformats.org/officeDocument/2006/relationships/hyperlink" Target="https://drive.google.com/file/d/18OkYwhXBLD0k39pjYudJwqee48AzLBhn/view?usp=sharing" TargetMode="External"/><Relationship Id="rId20" Type="http://schemas.openxmlformats.org/officeDocument/2006/relationships/hyperlink" Target="https://drive.google.com/file/d/1uTUn2ERs4EsLk2nNC95U137g1oUvj2qV/view?usp=drive_link" TargetMode="External"/><Relationship Id="rId29" Type="http://schemas.openxmlformats.org/officeDocument/2006/relationships/hyperlink" Target="https://drive.google.com/drive/folders/1LzEzs62UewPd5xEELBUe5gElENsgEB_C" TargetMode="External"/><Relationship Id="rId41" Type="http://schemas.openxmlformats.org/officeDocument/2006/relationships/hyperlink" Target="https://drive.google.com/file/d/1gsVHbvZjV9AP7MfF7i2u_f14LRkVX8BS/view?usp=sharing" TargetMode="External"/><Relationship Id="rId54" Type="http://schemas.openxmlformats.org/officeDocument/2006/relationships/hyperlink" Target="https://drive.google.com/file/d/1A1m1XgMfKeFhnFLZawJyLOflfQtVuqTV/view?usp=drive_link" TargetMode="External"/><Relationship Id="rId62" Type="http://schemas.openxmlformats.org/officeDocument/2006/relationships/hyperlink" Target="https://drive.google.com/file/d/1NmcwDDTKEjteCrzW8uvDYA9HYxnTxP0L/view?usp=sharing" TargetMode="External"/><Relationship Id="rId1" Type="http://schemas.openxmlformats.org/officeDocument/2006/relationships/hyperlink" Target="https://drive.google.com/file/d/1gCvZLaSjxWgCdYBoPRuiqEJRulo7jkjA/view?usp=drive_link" TargetMode="External"/><Relationship Id="rId6" Type="http://schemas.openxmlformats.org/officeDocument/2006/relationships/hyperlink" Target="https://drive.google.com/file/d/1KwbmpmZObhLICreyNvEhmIRnQCa1qw_3/view?usp=sharing" TargetMode="External"/><Relationship Id="rId11" Type="http://schemas.openxmlformats.org/officeDocument/2006/relationships/hyperlink" Target="https://drive.google.com/file/d/1d3-pvlkqC7Bk44qhbgFLbZr0rBhKhu_X/view?usp=sharing" TargetMode="External"/><Relationship Id="rId24" Type="http://schemas.openxmlformats.org/officeDocument/2006/relationships/hyperlink" Target="https://drive.google.com/drive/folders/1ikxa6IDfSIZSHhpIdkK5B-pdY_BARmQj?usp=sharing" TargetMode="External"/><Relationship Id="rId32" Type="http://schemas.openxmlformats.org/officeDocument/2006/relationships/hyperlink" Target="https://drive.google.com/file/d/1Y5JmS9i7Vl8F_pLSEmjFq83cs5JzuOJ4/view?usp=sharing" TargetMode="External"/><Relationship Id="rId37" Type="http://schemas.openxmlformats.org/officeDocument/2006/relationships/hyperlink" Target="https://drive.google.com/file/d/1oTACPmDulDOH_u7dUzIETsYHsJpePB1r/view?usp=sharing" TargetMode="External"/><Relationship Id="rId40" Type="http://schemas.openxmlformats.org/officeDocument/2006/relationships/hyperlink" Target="https://drive.google.com/file/d/16xAP7KVxadhFKqt4uwZNajItanoCQvnc/view?usp=sharing" TargetMode="External"/><Relationship Id="rId45" Type="http://schemas.openxmlformats.org/officeDocument/2006/relationships/hyperlink" Target="https://drive.google.com/file/d/1tj40Jm0frlxQcrPYLxKbM-assZSXA5b7/view?usp=drive_link" TargetMode="External"/><Relationship Id="rId53" Type="http://schemas.openxmlformats.org/officeDocument/2006/relationships/hyperlink" Target="https://drive.google.com/file/d/193hYdd7IclGU9yaJrK_MbkZ7Td9oNBxx/view?usp=drive_link" TargetMode="External"/><Relationship Id="rId58" Type="http://schemas.openxmlformats.org/officeDocument/2006/relationships/hyperlink" Target="https://drive.google.com/file/d/1HGrhMzYJUBfWF4vmuvFGSptsn63njZ61/view?usp=drive_link" TargetMode="External"/><Relationship Id="rId5" Type="http://schemas.openxmlformats.org/officeDocument/2006/relationships/hyperlink" Target="https://drive.google.com/drive/folders/1IJmdqfvA1ndYY5-agyTDAz7kZVpZXwYp" TargetMode="External"/><Relationship Id="rId15" Type="http://schemas.openxmlformats.org/officeDocument/2006/relationships/hyperlink" Target="https://drive.google.com/file/d/1MNnBXOrLI70x8RSj5_qHeKhwR4jNmSqe/view?usp=sharing" TargetMode="External"/><Relationship Id="rId23" Type="http://schemas.openxmlformats.org/officeDocument/2006/relationships/hyperlink" Target="https://drive.google.com/file/d/1cyl8BvWdsoGt7fk3bIUBrosnMWRNuvcd/view?usp=drive_link" TargetMode="External"/><Relationship Id="rId28" Type="http://schemas.openxmlformats.org/officeDocument/2006/relationships/hyperlink" Target="https://drive.google.com/file/d/1Jl_INgQXh0d0RlYjXEz4xRdtk4Vhsadq/view?usp=drive_link" TargetMode="External"/><Relationship Id="rId36" Type="http://schemas.openxmlformats.org/officeDocument/2006/relationships/hyperlink" Target="https://drive.google.com/file/d/1X321C9QV5bBvAxwDNTkcZOCI9iVou0MW/view?usp=sharing" TargetMode="External"/><Relationship Id="rId49" Type="http://schemas.openxmlformats.org/officeDocument/2006/relationships/hyperlink" Target="https://drive.google.com/file/d/16tdqlbc-cFja-HKGOJqAnmgNuB6KF8D5/view?usp=drive_link" TargetMode="External"/><Relationship Id="rId57" Type="http://schemas.openxmlformats.org/officeDocument/2006/relationships/hyperlink" Target="https://drive.google.com/file/d/1Gosgvyj6iAy6D_7zQeZ8x6ZgMxffp0bN/view?usp=drive_link" TargetMode="External"/><Relationship Id="rId61" Type="http://schemas.openxmlformats.org/officeDocument/2006/relationships/hyperlink" Target="https://www.registered-design.service.gov.uk/find/" TargetMode="External"/><Relationship Id="rId10" Type="http://schemas.openxmlformats.org/officeDocument/2006/relationships/hyperlink" Target="https://drive.google.com/file/d/18BjB3BOJCKKc2rE_NCeYuqc5KPQu_Hg8/view?usp=sharing" TargetMode="External"/><Relationship Id="rId19" Type="http://schemas.openxmlformats.org/officeDocument/2006/relationships/hyperlink" Target="https://drive.google.com/file/d/1HGrhMzYJUBfWF4vmuvFGSptsn63njZ61/view?usp=drive_link" TargetMode="External"/><Relationship Id="rId31" Type="http://schemas.openxmlformats.org/officeDocument/2006/relationships/hyperlink" Target="https://drive.google.com/file/d/1Nx7MKzXCmCmHEvooSKUmr9JNdqcK-p5K/view?usp=drive_link" TargetMode="External"/><Relationship Id="rId44" Type="http://schemas.openxmlformats.org/officeDocument/2006/relationships/hyperlink" Target="https://drive.google.com/file/d/1U258ae81nJG2Hg36uY4Y-Bgd4GTeE0qS/view?usp=sharing" TargetMode="External"/><Relationship Id="rId52" Type="http://schemas.openxmlformats.org/officeDocument/2006/relationships/hyperlink" Target="https://drive.google.com/file/d/1Z4lJa_kbtz7LUjI4A1GvcNkASiaRjqEq/view?usp=drive_link" TargetMode="External"/><Relationship Id="rId60" Type="http://schemas.openxmlformats.org/officeDocument/2006/relationships/hyperlink" Target="https://drive.google.com/file/d/1GpTgYxkaNrnrFQFlcxBscAm84AWdxCKz/view?usp=drive_link" TargetMode="External"/><Relationship Id="rId65" Type="http://schemas.openxmlformats.org/officeDocument/2006/relationships/table" Target="../tables/table15.xml"/><Relationship Id="rId4" Type="http://schemas.openxmlformats.org/officeDocument/2006/relationships/hyperlink" Target="https://drive.google.com/drive/folders/1Fd4Riz031lq3wgrfCzGA98A7_TIT4Tp7" TargetMode="External"/><Relationship Id="rId9" Type="http://schemas.openxmlformats.org/officeDocument/2006/relationships/hyperlink" Target="https://drive.google.com/file/d/10q0LTR5aWfumjSIkEghNR2tBNZTLJC-0/view?usp=sharing" TargetMode="External"/><Relationship Id="rId14" Type="http://schemas.openxmlformats.org/officeDocument/2006/relationships/hyperlink" Target="https://drive.google.com/file/d/17kTH8OwZo0TqwSiRnvL5rkFOTXHEi39V/view?usp=sharing" TargetMode="External"/><Relationship Id="rId22" Type="http://schemas.openxmlformats.org/officeDocument/2006/relationships/hyperlink" Target="https://drive.google.com/file/d/16xAP7KVxadhFKqt4uwZNajItanoCQvnc/view?usp=sharing" TargetMode="External"/><Relationship Id="rId27" Type="http://schemas.openxmlformats.org/officeDocument/2006/relationships/hyperlink" Target="https://drive.google.com/file/d/1U258ae81nJG2Hg36uY4Y-Bgd4GTeE0qS/view?usp=sharing" TargetMode="External"/><Relationship Id="rId30" Type="http://schemas.openxmlformats.org/officeDocument/2006/relationships/hyperlink" Target="https://drive.google.com/file/d/1NPqmgR8XXCPP5uWO18BbwF7OkAc2nRwK/view?usp=drive_link" TargetMode="External"/><Relationship Id="rId35" Type="http://schemas.openxmlformats.org/officeDocument/2006/relationships/hyperlink" Target="https://drive.google.com/file/d/1utE75iCvsrR1c8u_G_GHWYMmd0hWqBXR/view?usp=drive_link" TargetMode="External"/><Relationship Id="rId43" Type="http://schemas.openxmlformats.org/officeDocument/2006/relationships/hyperlink" Target="https://drive.google.com/file/d/1CjBDffRV8J1R57djTbatPYFkrP7y4BxQ/view?usp=drive_link" TargetMode="External"/><Relationship Id="rId48" Type="http://schemas.openxmlformats.org/officeDocument/2006/relationships/hyperlink" Target="https://drive.google.com/file/d/1rrSiQqC7lxKNNJXnE15In81dGbeiQZqx/view?usp=drive_link" TargetMode="External"/><Relationship Id="rId56" Type="http://schemas.openxmlformats.org/officeDocument/2006/relationships/hyperlink" Target="https://drive.google.com/file/d/1KwbmpmZObhLICreyNvEhmIRnQCa1qw_3/view?usp=sharing" TargetMode="External"/><Relationship Id="rId64" Type="http://schemas.openxmlformats.org/officeDocument/2006/relationships/hyperlink" Target="https://drive.google.com/file/d/1P9KiP-rUumTHPhiETZ7Yn4yM1ii7lIhS/view?usp=sharing" TargetMode="External"/><Relationship Id="rId8" Type="http://schemas.openxmlformats.org/officeDocument/2006/relationships/hyperlink" Target="https://drive.google.com/file/d/18_wS42kHYsDQUaSFQeiYF4gw272Sq--N/view?usp=sharing" TargetMode="External"/><Relationship Id="rId51" Type="http://schemas.openxmlformats.org/officeDocument/2006/relationships/hyperlink" Target="https://drive.google.com/file/d/1dh8F8_yK8AD6fvyNwinDUAWkiheHrXRE/view?usp=drive_link" TargetMode="External"/><Relationship Id="rId3" Type="http://schemas.openxmlformats.org/officeDocument/2006/relationships/hyperlink" Target="https://drive.google.com/file/d/1-38AVUga7emYhFnzujskY-xevEeyRuP9/view?usp=drivesdk" TargetMode="External"/><Relationship Id="rId12" Type="http://schemas.openxmlformats.org/officeDocument/2006/relationships/hyperlink" Target="https://drive.google.com/file/d/1RUAfby4ghgnlPn1FveVIRYkIsxkBacHz/view?usp=sharing" TargetMode="External"/><Relationship Id="rId17" Type="http://schemas.openxmlformats.org/officeDocument/2006/relationships/hyperlink" Target="https://drive.google.com/file/d/1xEKBSXxZkrbx7fT9E-Tt4wQAPJ_HlJZu/view?usp=sharing" TargetMode="External"/><Relationship Id="rId25" Type="http://schemas.openxmlformats.org/officeDocument/2006/relationships/hyperlink" Target="https://drive.google.com/file/d/1nVx6kGvqOJPL8Fx-2X2_lPQA1EW8ApZR/view?usp=drive_link" TargetMode="External"/><Relationship Id="rId33" Type="http://schemas.openxmlformats.org/officeDocument/2006/relationships/hyperlink" Target="https://drive.google.com/file/d/1HGrhMzYJUBfWF4vmuvFGSptsn63njZ61/view?usp=drive_link" TargetMode="External"/><Relationship Id="rId38" Type="http://schemas.openxmlformats.org/officeDocument/2006/relationships/hyperlink" Target="https://drive.google.com/file/d/1HGrhMzYJUBfWF4vmuvFGSptsn63njZ61/view?usp=drive_link" TargetMode="External"/><Relationship Id="rId46" Type="http://schemas.openxmlformats.org/officeDocument/2006/relationships/hyperlink" Target="https://drive.google.com/file/d/1KwbmpmZObhLICreyNvEhmIRnQCa1qw_3/view?usp=sharing" TargetMode="External"/><Relationship Id="rId59" Type="http://schemas.openxmlformats.org/officeDocument/2006/relationships/hyperlink" Target="https://drive.google.com/file/d/1uTUn2ERs4EsLk2nNC95U137g1oUvj2qV/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Z1003"/>
  <sheetViews>
    <sheetView tabSelected="1" topLeftCell="B1" workbookViewId="0">
      <pane ySplit="1" topLeftCell="A19" activePane="bottomLeft" state="frozen"/>
      <selection pane="bottomLeft" activeCell="A38" sqref="A38"/>
    </sheetView>
  </sheetViews>
  <sheetFormatPr defaultColWidth="12.6328125" defaultRowHeight="15" customHeight="1"/>
  <cols>
    <col min="1" max="1" width="21.1796875" customWidth="1"/>
    <col min="2" max="2" width="15.90625" customWidth="1"/>
    <col min="3" max="3" width="18" customWidth="1"/>
    <col min="4" max="4" width="25" customWidth="1"/>
    <col min="5" max="5" width="40.453125" customWidth="1"/>
    <col min="6" max="6" width="45.81640625" customWidth="1"/>
    <col min="7" max="7" width="25.81640625" customWidth="1"/>
    <col min="8" max="8" width="7.453125" customWidth="1"/>
    <col min="9" max="9" width="6" customWidth="1"/>
    <col min="10" max="10" width="11" customWidth="1"/>
    <col min="11" max="11" width="17" customWidth="1"/>
    <col min="12" max="12" width="9.453125" customWidth="1"/>
    <col min="13" max="13" width="18.81640625" customWidth="1"/>
    <col min="14" max="14" width="22.6328125" customWidth="1"/>
    <col min="16" max="16" width="37.1796875" customWidth="1"/>
    <col min="17" max="17" width="25.36328125" customWidth="1"/>
    <col min="18" max="18" width="12.453125" customWidth="1"/>
    <col min="19" max="19" width="12" customWidth="1"/>
    <col min="20" max="20" width="6.36328125" customWidth="1"/>
    <col min="21" max="21" width="31.81640625" customWidth="1"/>
    <col min="22" max="22" width="12.90625" customWidth="1"/>
    <col min="23" max="23" width="16.81640625" customWidth="1"/>
    <col min="25" max="25" width="20.453125" customWidth="1"/>
    <col min="26" max="26" width="15.08984375" customWidth="1"/>
  </cols>
  <sheetData>
    <row r="1" spans="1:26" ht="37.5" customHeight="1">
      <c r="A1" s="49" t="s">
        <v>135</v>
      </c>
      <c r="B1" s="49" t="s">
        <v>62</v>
      </c>
      <c r="C1" s="50" t="s">
        <v>63</v>
      </c>
      <c r="D1" s="49" t="s">
        <v>28</v>
      </c>
      <c r="E1" s="50" t="s">
        <v>136</v>
      </c>
      <c r="F1" s="50" t="s">
        <v>137</v>
      </c>
      <c r="G1" s="50" t="s">
        <v>138</v>
      </c>
      <c r="H1" s="50" t="s">
        <v>139</v>
      </c>
      <c r="I1" s="50" t="s">
        <v>140</v>
      </c>
      <c r="J1" s="50" t="s">
        <v>141</v>
      </c>
      <c r="K1" s="50" t="s">
        <v>142</v>
      </c>
      <c r="L1" s="50" t="s">
        <v>143</v>
      </c>
      <c r="M1" s="51" t="s">
        <v>144</v>
      </c>
      <c r="N1" s="50" t="s">
        <v>145</v>
      </c>
      <c r="O1" s="50" t="s">
        <v>146</v>
      </c>
      <c r="P1" s="50" t="s">
        <v>147</v>
      </c>
      <c r="Q1" s="49" t="s">
        <v>148</v>
      </c>
      <c r="R1" s="49" t="s">
        <v>149</v>
      </c>
      <c r="S1" s="50" t="s">
        <v>150</v>
      </c>
      <c r="T1" s="50" t="s">
        <v>151</v>
      </c>
      <c r="U1" s="50" t="s">
        <v>152</v>
      </c>
      <c r="V1" s="52"/>
      <c r="W1" s="52"/>
      <c r="X1" s="52"/>
      <c r="Y1" s="52"/>
      <c r="Z1" s="52"/>
    </row>
    <row r="2" spans="1:26" ht="37.5" hidden="1" customHeight="1">
      <c r="A2" s="4" t="s">
        <v>30</v>
      </c>
      <c r="B2" s="4" t="s">
        <v>153</v>
      </c>
      <c r="C2" s="4" t="s">
        <v>70</v>
      </c>
      <c r="D2" s="4" t="s">
        <v>5</v>
      </c>
      <c r="E2" s="4" t="s">
        <v>154</v>
      </c>
      <c r="F2" s="4" t="s">
        <v>155</v>
      </c>
      <c r="G2" s="4" t="s">
        <v>156</v>
      </c>
      <c r="H2" s="4">
        <v>15</v>
      </c>
      <c r="I2" s="4">
        <v>35719</v>
      </c>
      <c r="J2" s="26"/>
      <c r="K2" s="53">
        <v>45931</v>
      </c>
      <c r="L2" s="4">
        <v>2025</v>
      </c>
      <c r="M2" s="4" t="s">
        <v>157</v>
      </c>
      <c r="N2" s="4" t="s">
        <v>158</v>
      </c>
      <c r="O2" s="4" t="s">
        <v>159</v>
      </c>
      <c r="P2" s="4" t="s">
        <v>160</v>
      </c>
      <c r="Q2" s="12" t="s">
        <v>161</v>
      </c>
      <c r="R2" s="4">
        <v>3.9</v>
      </c>
      <c r="S2" s="4" t="s">
        <v>162</v>
      </c>
      <c r="T2" s="4" t="s">
        <v>163</v>
      </c>
      <c r="U2" s="54"/>
      <c r="V2" s="54"/>
      <c r="W2" s="54"/>
      <c r="X2" s="54"/>
      <c r="Y2" s="54"/>
      <c r="Z2" s="54"/>
    </row>
    <row r="3" spans="1:26" ht="37.5" hidden="1" customHeight="1">
      <c r="A3" s="9" t="s">
        <v>30</v>
      </c>
      <c r="B3" s="9" t="s">
        <v>153</v>
      </c>
      <c r="C3" s="9" t="s">
        <v>70</v>
      </c>
      <c r="D3" s="4" t="s">
        <v>5</v>
      </c>
      <c r="E3" s="9" t="s">
        <v>164</v>
      </c>
      <c r="F3" s="9" t="s">
        <v>165</v>
      </c>
      <c r="G3" s="9" t="s">
        <v>166</v>
      </c>
      <c r="H3" s="9">
        <v>73</v>
      </c>
      <c r="I3" s="9">
        <v>10</v>
      </c>
      <c r="J3" s="9" t="s">
        <v>167</v>
      </c>
      <c r="K3" s="43" t="s">
        <v>168</v>
      </c>
      <c r="L3" s="9">
        <v>2025</v>
      </c>
      <c r="M3" s="9" t="s">
        <v>169</v>
      </c>
      <c r="N3" s="9" t="s">
        <v>170</v>
      </c>
      <c r="O3" s="9" t="s">
        <v>171</v>
      </c>
      <c r="P3" s="9" t="s">
        <v>172</v>
      </c>
      <c r="Q3" s="13" t="s">
        <v>173</v>
      </c>
      <c r="R3" s="16"/>
      <c r="S3" s="9" t="s">
        <v>162</v>
      </c>
      <c r="T3" s="9" t="s">
        <v>174</v>
      </c>
      <c r="U3" s="55"/>
      <c r="V3" s="55"/>
      <c r="W3" s="55"/>
      <c r="X3" s="55"/>
      <c r="Y3" s="55"/>
      <c r="Z3" s="55"/>
    </row>
    <row r="4" spans="1:26" ht="37.5" hidden="1" customHeight="1">
      <c r="A4" s="4" t="s">
        <v>31</v>
      </c>
      <c r="B4" s="4" t="s">
        <v>69</v>
      </c>
      <c r="C4" s="4" t="s">
        <v>70</v>
      </c>
      <c r="D4" s="4" t="s">
        <v>7</v>
      </c>
      <c r="E4" s="4" t="s">
        <v>175</v>
      </c>
      <c r="F4" s="4" t="s">
        <v>176</v>
      </c>
      <c r="G4" s="56" t="s">
        <v>177</v>
      </c>
      <c r="H4" s="4">
        <v>37</v>
      </c>
      <c r="I4" s="4" t="s">
        <v>178</v>
      </c>
      <c r="J4" s="4" t="s">
        <v>179</v>
      </c>
      <c r="K4" s="57">
        <v>45960</v>
      </c>
      <c r="L4" s="4">
        <v>2025</v>
      </c>
      <c r="M4" s="4" t="s">
        <v>180</v>
      </c>
      <c r="N4" s="4" t="s">
        <v>181</v>
      </c>
      <c r="O4" s="4" t="s">
        <v>182</v>
      </c>
      <c r="P4" s="12" t="s">
        <v>183</v>
      </c>
      <c r="Q4" s="7" t="s">
        <v>184</v>
      </c>
      <c r="R4" s="4">
        <v>1.5</v>
      </c>
      <c r="S4" s="4" t="s">
        <v>162</v>
      </c>
      <c r="T4" s="4" t="s">
        <v>185</v>
      </c>
      <c r="U4" s="12" t="s">
        <v>186</v>
      </c>
      <c r="V4" s="15"/>
      <c r="W4" s="4"/>
      <c r="X4" s="26"/>
      <c r="Y4" s="4"/>
      <c r="Z4" s="54"/>
    </row>
    <row r="5" spans="1:26" ht="37.5" hidden="1" customHeight="1">
      <c r="A5" s="9" t="s">
        <v>54</v>
      </c>
      <c r="B5" s="9" t="s">
        <v>72</v>
      </c>
      <c r="C5" s="9" t="s">
        <v>76</v>
      </c>
      <c r="D5" s="9" t="s">
        <v>2</v>
      </c>
      <c r="E5" s="9" t="s">
        <v>187</v>
      </c>
      <c r="F5" s="9" t="s">
        <v>188</v>
      </c>
      <c r="G5" s="4" t="s">
        <v>189</v>
      </c>
      <c r="H5" s="9">
        <v>12</v>
      </c>
      <c r="I5" s="18"/>
      <c r="J5" s="18"/>
      <c r="K5" s="58">
        <v>45842</v>
      </c>
      <c r="L5" s="9">
        <v>2025</v>
      </c>
      <c r="M5" s="9" t="s">
        <v>180</v>
      </c>
      <c r="N5" s="9" t="s">
        <v>190</v>
      </c>
      <c r="O5" s="9" t="s">
        <v>191</v>
      </c>
      <c r="P5" s="13" t="s">
        <v>192</v>
      </c>
      <c r="Q5" s="10" t="s">
        <v>193</v>
      </c>
      <c r="R5" s="9">
        <v>6.4</v>
      </c>
      <c r="S5" s="9" t="s">
        <v>162</v>
      </c>
      <c r="T5" s="9" t="s">
        <v>163</v>
      </c>
      <c r="U5" s="13" t="s">
        <v>194</v>
      </c>
      <c r="V5" s="14"/>
      <c r="W5" s="14"/>
      <c r="X5" s="14"/>
      <c r="Y5" s="14"/>
      <c r="Z5" s="55"/>
    </row>
    <row r="6" spans="1:26" ht="37.5" hidden="1" customHeight="1">
      <c r="A6" s="4" t="s">
        <v>54</v>
      </c>
      <c r="B6" s="4" t="s">
        <v>72</v>
      </c>
      <c r="C6" s="4" t="s">
        <v>76</v>
      </c>
      <c r="D6" s="4" t="s">
        <v>2</v>
      </c>
      <c r="E6" s="4" t="s">
        <v>195</v>
      </c>
      <c r="F6" s="4" t="s">
        <v>196</v>
      </c>
      <c r="G6" s="4" t="s">
        <v>197</v>
      </c>
      <c r="H6" s="4">
        <v>2</v>
      </c>
      <c r="I6" s="4" t="s">
        <v>198</v>
      </c>
      <c r="J6" s="4" t="s">
        <v>199</v>
      </c>
      <c r="K6" s="24">
        <v>45658</v>
      </c>
      <c r="L6" s="4">
        <v>2025</v>
      </c>
      <c r="M6" s="4" t="s">
        <v>200</v>
      </c>
      <c r="N6" s="4"/>
      <c r="O6" s="4" t="s">
        <v>201</v>
      </c>
      <c r="P6" s="12" t="s">
        <v>202</v>
      </c>
      <c r="Q6" s="12" t="s">
        <v>203</v>
      </c>
      <c r="R6" s="17"/>
      <c r="S6" s="4" t="s">
        <v>162</v>
      </c>
      <c r="T6" s="17"/>
      <c r="U6" s="7" t="s">
        <v>204</v>
      </c>
      <c r="V6" s="573"/>
      <c r="W6" s="4"/>
      <c r="X6" s="4"/>
      <c r="Y6" s="26"/>
      <c r="Z6" s="26"/>
    </row>
    <row r="7" spans="1:26" ht="37.5" hidden="1" customHeight="1">
      <c r="A7" s="9" t="s">
        <v>54</v>
      </c>
      <c r="B7" s="9" t="s">
        <v>72</v>
      </c>
      <c r="C7" s="9" t="s">
        <v>76</v>
      </c>
      <c r="D7" s="9" t="s">
        <v>2</v>
      </c>
      <c r="E7" s="9" t="s">
        <v>205</v>
      </c>
      <c r="F7" s="9" t="s">
        <v>206</v>
      </c>
      <c r="G7" s="9" t="s">
        <v>197</v>
      </c>
      <c r="H7" s="9">
        <v>2</v>
      </c>
      <c r="I7" s="9" t="s">
        <v>207</v>
      </c>
      <c r="J7" s="9" t="s">
        <v>208</v>
      </c>
      <c r="K7" s="19">
        <v>45784</v>
      </c>
      <c r="L7" s="9">
        <v>2025</v>
      </c>
      <c r="M7" s="9" t="s">
        <v>200</v>
      </c>
      <c r="N7" s="9"/>
      <c r="O7" s="9" t="s">
        <v>201</v>
      </c>
      <c r="P7" s="13" t="s">
        <v>209</v>
      </c>
      <c r="Q7" s="13" t="s">
        <v>210</v>
      </c>
      <c r="R7" s="18"/>
      <c r="S7" s="9" t="s">
        <v>162</v>
      </c>
      <c r="T7" s="18"/>
      <c r="U7" s="13" t="s">
        <v>211</v>
      </c>
      <c r="V7" s="573"/>
      <c r="W7" s="9"/>
      <c r="X7" s="9"/>
      <c r="Y7" s="16"/>
      <c r="Z7" s="16"/>
    </row>
    <row r="8" spans="1:26" ht="37.5" hidden="1" customHeight="1">
      <c r="A8" s="59" t="s">
        <v>107</v>
      </c>
      <c r="B8" s="59" t="s">
        <v>108</v>
      </c>
      <c r="C8" s="59" t="s">
        <v>70</v>
      </c>
      <c r="D8" s="59" t="s">
        <v>2</v>
      </c>
      <c r="E8" s="59" t="s">
        <v>107</v>
      </c>
      <c r="F8" s="60" t="s">
        <v>212</v>
      </c>
      <c r="G8" s="59" t="s">
        <v>213</v>
      </c>
      <c r="H8" s="59">
        <v>15</v>
      </c>
      <c r="I8" s="61"/>
      <c r="J8" s="59">
        <v>1626785</v>
      </c>
      <c r="K8" s="62">
        <v>45852</v>
      </c>
      <c r="L8" s="59">
        <v>2025</v>
      </c>
      <c r="M8" s="59" t="s">
        <v>180</v>
      </c>
      <c r="N8" s="59" t="s">
        <v>214</v>
      </c>
      <c r="O8" s="61"/>
      <c r="P8" s="63" t="s">
        <v>215</v>
      </c>
      <c r="Q8" s="60" t="s">
        <v>216</v>
      </c>
      <c r="R8" s="59">
        <v>3.3</v>
      </c>
      <c r="S8" s="59" t="s">
        <v>162</v>
      </c>
      <c r="T8" s="59" t="s">
        <v>163</v>
      </c>
      <c r="U8" s="60" t="s">
        <v>217</v>
      </c>
      <c r="V8" s="64"/>
      <c r="W8" s="64"/>
      <c r="X8" s="65"/>
      <c r="Y8" s="64"/>
      <c r="Z8" s="64"/>
    </row>
    <row r="9" spans="1:26" ht="73.5" hidden="1" customHeight="1">
      <c r="A9" s="9" t="s">
        <v>54</v>
      </c>
      <c r="B9" s="9" t="s">
        <v>72</v>
      </c>
      <c r="C9" s="9" t="s">
        <v>76</v>
      </c>
      <c r="D9" s="9" t="s">
        <v>2</v>
      </c>
      <c r="E9" s="9" t="s">
        <v>54</v>
      </c>
      <c r="F9" s="9" t="s">
        <v>218</v>
      </c>
      <c r="G9" s="9" t="s">
        <v>197</v>
      </c>
      <c r="H9" s="9">
        <v>2</v>
      </c>
      <c r="I9" s="9" t="s">
        <v>219</v>
      </c>
      <c r="J9" s="9" t="s">
        <v>220</v>
      </c>
      <c r="K9" s="19">
        <v>45842</v>
      </c>
      <c r="L9" s="9">
        <v>2025</v>
      </c>
      <c r="M9" s="9" t="s">
        <v>200</v>
      </c>
      <c r="N9" s="9"/>
      <c r="O9" s="9" t="s">
        <v>201</v>
      </c>
      <c r="P9" s="13" t="s">
        <v>221</v>
      </c>
      <c r="Q9" s="13" t="s">
        <v>222</v>
      </c>
      <c r="R9" s="18"/>
      <c r="S9" s="9" t="s">
        <v>223</v>
      </c>
      <c r="T9" s="18"/>
      <c r="U9" s="13" t="s">
        <v>224</v>
      </c>
      <c r="V9" s="573"/>
      <c r="W9" s="9"/>
      <c r="X9" s="9"/>
      <c r="Y9" s="16"/>
      <c r="Z9" s="16"/>
    </row>
    <row r="10" spans="1:26" ht="37.5" hidden="1" customHeight="1">
      <c r="A10" s="66" t="s">
        <v>74</v>
      </c>
      <c r="B10" s="67" t="s">
        <v>75</v>
      </c>
      <c r="C10" s="67" t="s">
        <v>76</v>
      </c>
      <c r="D10" s="66" t="s">
        <v>5</v>
      </c>
      <c r="E10" s="66" t="s">
        <v>225</v>
      </c>
      <c r="F10" s="66" t="s">
        <v>226</v>
      </c>
      <c r="G10" s="66" t="s">
        <v>227</v>
      </c>
      <c r="H10" s="66">
        <v>32</v>
      </c>
      <c r="I10" s="66">
        <v>1</v>
      </c>
      <c r="J10" s="68">
        <v>45679</v>
      </c>
      <c r="K10" s="69">
        <v>45658</v>
      </c>
      <c r="L10" s="66">
        <v>2025</v>
      </c>
      <c r="M10" s="66" t="s">
        <v>228</v>
      </c>
      <c r="N10" s="66" t="s">
        <v>229</v>
      </c>
      <c r="O10" s="66" t="s">
        <v>230</v>
      </c>
      <c r="P10" s="70" t="s">
        <v>231</v>
      </c>
      <c r="Q10" s="70" t="s">
        <v>232</v>
      </c>
      <c r="R10" s="66">
        <v>1.3</v>
      </c>
      <c r="S10" s="66" t="s">
        <v>162</v>
      </c>
      <c r="T10" s="66" t="s">
        <v>174</v>
      </c>
      <c r="U10" s="70" t="s">
        <v>233</v>
      </c>
      <c r="V10" s="71"/>
      <c r="W10" s="66"/>
      <c r="X10" s="66"/>
      <c r="Y10" s="71"/>
      <c r="Z10" s="71"/>
    </row>
    <row r="11" spans="1:26" ht="37.5" customHeight="1">
      <c r="A11" s="9" t="s">
        <v>8</v>
      </c>
      <c r="B11" s="4" t="s">
        <v>92</v>
      </c>
      <c r="C11" s="9" t="s">
        <v>76</v>
      </c>
      <c r="D11" s="9" t="s">
        <v>0</v>
      </c>
      <c r="E11" s="9" t="s">
        <v>234</v>
      </c>
      <c r="F11" s="9" t="s">
        <v>235</v>
      </c>
      <c r="G11" s="13" t="s">
        <v>236</v>
      </c>
      <c r="H11" s="9">
        <v>324</v>
      </c>
      <c r="I11" s="18"/>
      <c r="J11" s="18"/>
      <c r="K11" s="9" t="s">
        <v>237</v>
      </c>
      <c r="L11" s="9">
        <v>2025</v>
      </c>
      <c r="M11" s="9" t="s">
        <v>157</v>
      </c>
      <c r="N11" s="4" t="s">
        <v>238</v>
      </c>
      <c r="O11" s="9" t="s">
        <v>239</v>
      </c>
      <c r="P11" s="13" t="s">
        <v>240</v>
      </c>
      <c r="Q11" s="13" t="s">
        <v>241</v>
      </c>
      <c r="R11" s="9">
        <v>7.6</v>
      </c>
      <c r="S11" s="9" t="s">
        <v>242</v>
      </c>
      <c r="T11" s="9" t="s">
        <v>163</v>
      </c>
      <c r="U11" s="13" t="s">
        <v>243</v>
      </c>
      <c r="V11" s="55"/>
      <c r="W11" s="14"/>
      <c r="X11" s="14"/>
      <c r="Y11" s="72"/>
      <c r="Z11" s="14"/>
    </row>
    <row r="12" spans="1:26" ht="37.5" hidden="1" customHeight="1">
      <c r="A12" s="9" t="s">
        <v>34</v>
      </c>
      <c r="B12" s="9" t="s">
        <v>79</v>
      </c>
      <c r="C12" s="9" t="s">
        <v>80</v>
      </c>
      <c r="D12" s="9" t="s">
        <v>1</v>
      </c>
      <c r="E12" s="9" t="s">
        <v>244</v>
      </c>
      <c r="F12" s="9" t="s">
        <v>245</v>
      </c>
      <c r="G12" s="9" t="s">
        <v>246</v>
      </c>
      <c r="H12" s="9">
        <v>14</v>
      </c>
      <c r="I12" s="9">
        <v>5</v>
      </c>
      <c r="J12" s="9" t="s">
        <v>247</v>
      </c>
      <c r="K12" s="9" t="s">
        <v>168</v>
      </c>
      <c r="L12" s="9">
        <v>2025</v>
      </c>
      <c r="M12" s="9" t="s">
        <v>228</v>
      </c>
      <c r="N12" s="9" t="s">
        <v>248</v>
      </c>
      <c r="O12" s="9" t="s">
        <v>249</v>
      </c>
      <c r="P12" s="12" t="s">
        <v>250</v>
      </c>
      <c r="Q12" s="12" t="s">
        <v>251</v>
      </c>
      <c r="R12" s="4">
        <v>0.93</v>
      </c>
      <c r="S12" s="4" t="s">
        <v>162</v>
      </c>
      <c r="T12" s="4" t="s">
        <v>174</v>
      </c>
      <c r="U12" s="12" t="s">
        <v>252</v>
      </c>
      <c r="V12" s="54"/>
      <c r="W12" s="73"/>
      <c r="X12" s="54"/>
      <c r="Y12" s="15"/>
      <c r="Z12" s="54"/>
    </row>
    <row r="13" spans="1:26" ht="37.5" hidden="1" customHeight="1">
      <c r="A13" s="9" t="s">
        <v>35</v>
      </c>
      <c r="B13" s="9" t="s">
        <v>83</v>
      </c>
      <c r="C13" s="9" t="s">
        <v>84</v>
      </c>
      <c r="D13" s="9" t="s">
        <v>4</v>
      </c>
      <c r="E13" s="9" t="s">
        <v>187</v>
      </c>
      <c r="F13" s="9" t="s">
        <v>188</v>
      </c>
      <c r="G13" s="4" t="s">
        <v>253</v>
      </c>
      <c r="H13" s="9">
        <v>12</v>
      </c>
      <c r="I13" s="18"/>
      <c r="J13" s="18"/>
      <c r="K13" s="58">
        <v>45842</v>
      </c>
      <c r="L13" s="9">
        <v>2025</v>
      </c>
      <c r="M13" s="9" t="s">
        <v>180</v>
      </c>
      <c r="N13" s="9" t="s">
        <v>190</v>
      </c>
      <c r="O13" s="18"/>
      <c r="P13" s="13" t="s">
        <v>192</v>
      </c>
      <c r="Q13" s="13" t="s">
        <v>193</v>
      </c>
      <c r="R13" s="9">
        <v>6.4</v>
      </c>
      <c r="S13" s="9" t="s">
        <v>162</v>
      </c>
      <c r="T13" s="9" t="s">
        <v>163</v>
      </c>
      <c r="U13" s="13" t="s">
        <v>194</v>
      </c>
      <c r="V13" s="14"/>
      <c r="W13" s="74"/>
      <c r="X13" s="9"/>
      <c r="Y13" s="9"/>
      <c r="Z13" s="9"/>
    </row>
    <row r="14" spans="1:26" ht="37.5" hidden="1" customHeight="1">
      <c r="A14" s="4" t="s">
        <v>35</v>
      </c>
      <c r="B14" s="4" t="s">
        <v>83</v>
      </c>
      <c r="C14" s="4" t="s">
        <v>84</v>
      </c>
      <c r="D14" s="4" t="s">
        <v>4</v>
      </c>
      <c r="E14" s="4" t="s">
        <v>254</v>
      </c>
      <c r="F14" s="37" t="s">
        <v>255</v>
      </c>
      <c r="G14" s="4" t="s">
        <v>256</v>
      </c>
      <c r="H14" s="4">
        <v>37</v>
      </c>
      <c r="I14" s="17"/>
      <c r="J14" s="4" t="s">
        <v>257</v>
      </c>
      <c r="K14" s="75">
        <v>45847</v>
      </c>
      <c r="L14" s="4">
        <v>2025</v>
      </c>
      <c r="M14" s="4" t="s">
        <v>169</v>
      </c>
      <c r="N14" s="4" t="s">
        <v>190</v>
      </c>
      <c r="O14" s="4" t="s">
        <v>258</v>
      </c>
      <c r="P14" s="12" t="s">
        <v>259</v>
      </c>
      <c r="Q14" s="12" t="s">
        <v>260</v>
      </c>
      <c r="R14" s="4">
        <v>6.52</v>
      </c>
      <c r="S14" s="4" t="s">
        <v>162</v>
      </c>
      <c r="T14" s="4" t="s">
        <v>163</v>
      </c>
      <c r="U14" s="12" t="s">
        <v>194</v>
      </c>
      <c r="V14" s="15"/>
      <c r="W14" s="4"/>
      <c r="X14" s="8"/>
      <c r="Y14" s="4"/>
      <c r="Z14" s="8"/>
    </row>
    <row r="15" spans="1:26" ht="37.5" hidden="1" customHeight="1">
      <c r="A15" s="66" t="s">
        <v>39</v>
      </c>
      <c r="B15" s="66" t="s">
        <v>91</v>
      </c>
      <c r="C15" s="66" t="s">
        <v>261</v>
      </c>
      <c r="D15" s="66" t="s">
        <v>1</v>
      </c>
      <c r="E15" s="66" t="s">
        <v>262</v>
      </c>
      <c r="F15" s="66" t="s">
        <v>263</v>
      </c>
      <c r="G15" s="76" t="s">
        <v>246</v>
      </c>
      <c r="H15" s="66">
        <v>14</v>
      </c>
      <c r="I15" s="66">
        <v>2</v>
      </c>
      <c r="J15" s="66" t="s">
        <v>264</v>
      </c>
      <c r="K15" s="66" t="s">
        <v>265</v>
      </c>
      <c r="L15" s="66">
        <v>2025</v>
      </c>
      <c r="M15" s="66" t="s">
        <v>228</v>
      </c>
      <c r="N15" s="66" t="s">
        <v>248</v>
      </c>
      <c r="O15" s="66" t="s">
        <v>249</v>
      </c>
      <c r="P15" s="70" t="s">
        <v>266</v>
      </c>
      <c r="Q15" s="77" t="s">
        <v>267</v>
      </c>
      <c r="R15" s="66">
        <v>0.2</v>
      </c>
      <c r="S15" s="66" t="s">
        <v>162</v>
      </c>
      <c r="T15" s="66" t="s">
        <v>174</v>
      </c>
      <c r="U15" s="70" t="s">
        <v>268</v>
      </c>
      <c r="V15" s="78"/>
      <c r="W15" s="79"/>
      <c r="X15" s="78"/>
      <c r="Y15" s="14"/>
      <c r="Z15" s="78"/>
    </row>
    <row r="16" spans="1:26" ht="37.5" hidden="1" customHeight="1">
      <c r="A16" s="66" t="s">
        <v>39</v>
      </c>
      <c r="B16" s="66" t="s">
        <v>91</v>
      </c>
      <c r="C16" s="66" t="s">
        <v>261</v>
      </c>
      <c r="D16" s="66" t="s">
        <v>1</v>
      </c>
      <c r="E16" s="66" t="s">
        <v>269</v>
      </c>
      <c r="F16" s="66" t="s">
        <v>270</v>
      </c>
      <c r="G16" s="66" t="s">
        <v>271</v>
      </c>
      <c r="H16" s="66">
        <v>2</v>
      </c>
      <c r="I16" s="66">
        <v>5</v>
      </c>
      <c r="J16" s="66" t="s">
        <v>272</v>
      </c>
      <c r="K16" s="80">
        <v>45962</v>
      </c>
      <c r="L16" s="66">
        <v>2025</v>
      </c>
      <c r="M16" s="66" t="s">
        <v>273</v>
      </c>
      <c r="N16" s="66" t="s">
        <v>274</v>
      </c>
      <c r="O16" s="66" t="s">
        <v>275</v>
      </c>
      <c r="P16" s="66"/>
      <c r="Q16" s="70" t="s">
        <v>276</v>
      </c>
      <c r="R16" s="81"/>
      <c r="S16" s="66" t="s">
        <v>223</v>
      </c>
      <c r="T16" s="66" t="s">
        <v>277</v>
      </c>
      <c r="U16" s="70" t="s">
        <v>278</v>
      </c>
      <c r="V16" s="82"/>
      <c r="W16" s="79"/>
      <c r="X16" s="82"/>
      <c r="Y16" s="83"/>
      <c r="Z16" s="82"/>
    </row>
    <row r="17" spans="1:26" ht="37.5" hidden="1" customHeight="1">
      <c r="A17" s="66" t="s">
        <v>39</v>
      </c>
      <c r="B17" s="66" t="s">
        <v>91</v>
      </c>
      <c r="C17" s="66" t="s">
        <v>261</v>
      </c>
      <c r="D17" s="66" t="s">
        <v>1</v>
      </c>
      <c r="E17" s="66" t="s">
        <v>279</v>
      </c>
      <c r="F17" s="84" t="s">
        <v>280</v>
      </c>
      <c r="G17" s="85" t="s">
        <v>281</v>
      </c>
      <c r="H17" s="66"/>
      <c r="I17" s="66"/>
      <c r="J17" s="66"/>
      <c r="K17" s="80">
        <v>46023</v>
      </c>
      <c r="L17" s="66">
        <v>2026</v>
      </c>
      <c r="M17" s="66" t="s">
        <v>228</v>
      </c>
      <c r="N17" s="66" t="s">
        <v>158</v>
      </c>
      <c r="O17" s="86" t="s">
        <v>282</v>
      </c>
      <c r="P17" s="66"/>
      <c r="Q17" s="70" t="s">
        <v>283</v>
      </c>
      <c r="R17" s="81"/>
      <c r="S17" s="66" t="s">
        <v>223</v>
      </c>
      <c r="T17" s="66" t="s">
        <v>185</v>
      </c>
      <c r="U17" s="70" t="s">
        <v>284</v>
      </c>
      <c r="V17" s="82"/>
      <c r="W17" s="83"/>
      <c r="X17" s="83"/>
      <c r="Y17" s="83"/>
      <c r="Z17" s="83"/>
    </row>
    <row r="18" spans="1:26" ht="37.5" hidden="1" customHeight="1">
      <c r="A18" s="66" t="s">
        <v>131</v>
      </c>
      <c r="B18" s="66"/>
      <c r="C18" s="66" t="s">
        <v>132</v>
      </c>
      <c r="D18" s="66" t="s">
        <v>1</v>
      </c>
      <c r="E18" s="66" t="s">
        <v>279</v>
      </c>
      <c r="F18" s="84" t="s">
        <v>280</v>
      </c>
      <c r="G18" s="87" t="s">
        <v>281</v>
      </c>
      <c r="H18" s="66"/>
      <c r="I18" s="66"/>
      <c r="J18" s="66"/>
      <c r="K18" s="80">
        <v>46023</v>
      </c>
      <c r="L18" s="66">
        <v>2026</v>
      </c>
      <c r="M18" s="66" t="s">
        <v>228</v>
      </c>
      <c r="N18" s="66" t="s">
        <v>158</v>
      </c>
      <c r="O18" s="86" t="s">
        <v>282</v>
      </c>
      <c r="P18" s="66"/>
      <c r="Q18" s="70" t="s">
        <v>283</v>
      </c>
      <c r="R18" s="81"/>
      <c r="S18" s="66" t="s">
        <v>223</v>
      </c>
      <c r="T18" s="66" t="s">
        <v>185</v>
      </c>
      <c r="U18" s="70" t="s">
        <v>284</v>
      </c>
      <c r="V18" s="82"/>
      <c r="W18" s="83"/>
      <c r="X18" s="83"/>
      <c r="Y18" s="83"/>
      <c r="Z18" s="83"/>
    </row>
    <row r="19" spans="1:26" ht="37.5" customHeight="1">
      <c r="A19" s="9" t="s">
        <v>9</v>
      </c>
      <c r="B19" s="9" t="s">
        <v>285</v>
      </c>
      <c r="C19" s="9" t="s">
        <v>70</v>
      </c>
      <c r="D19" s="9" t="s">
        <v>0</v>
      </c>
      <c r="E19" s="9" t="s">
        <v>286</v>
      </c>
      <c r="F19" s="9" t="s">
        <v>287</v>
      </c>
      <c r="G19" s="9" t="s">
        <v>288</v>
      </c>
      <c r="H19" s="9">
        <v>24</v>
      </c>
      <c r="I19" s="9">
        <v>3</v>
      </c>
      <c r="J19" s="9" t="s">
        <v>289</v>
      </c>
      <c r="K19" s="9" t="s">
        <v>290</v>
      </c>
      <c r="L19" s="9">
        <v>2025</v>
      </c>
      <c r="M19" s="9" t="s">
        <v>228</v>
      </c>
      <c r="N19" s="9" t="s">
        <v>288</v>
      </c>
      <c r="O19" s="9" t="s">
        <v>291</v>
      </c>
      <c r="P19" s="13" t="s">
        <v>292</v>
      </c>
      <c r="Q19" s="10" t="s">
        <v>293</v>
      </c>
      <c r="R19" s="9">
        <v>3.3</v>
      </c>
      <c r="S19" s="9" t="s">
        <v>223</v>
      </c>
      <c r="T19" s="9" t="s">
        <v>185</v>
      </c>
      <c r="U19" s="13" t="s">
        <v>294</v>
      </c>
      <c r="V19" s="55"/>
      <c r="W19" s="14"/>
      <c r="X19" s="88"/>
      <c r="Y19" s="88"/>
      <c r="Z19" s="55"/>
    </row>
    <row r="20" spans="1:26" ht="37.5" customHeight="1">
      <c r="A20" s="4" t="s">
        <v>9</v>
      </c>
      <c r="B20" s="4" t="s">
        <v>285</v>
      </c>
      <c r="C20" s="4" t="s">
        <v>70</v>
      </c>
      <c r="D20" s="4" t="s">
        <v>0</v>
      </c>
      <c r="E20" s="4" t="s">
        <v>295</v>
      </c>
      <c r="F20" s="4" t="s">
        <v>296</v>
      </c>
      <c r="G20" s="4" t="s">
        <v>297</v>
      </c>
      <c r="H20" s="4">
        <v>52</v>
      </c>
      <c r="I20" s="4">
        <v>10</v>
      </c>
      <c r="J20" s="4" t="s">
        <v>298</v>
      </c>
      <c r="K20" s="89">
        <v>45931</v>
      </c>
      <c r="L20" s="4">
        <v>2025</v>
      </c>
      <c r="M20" s="4" t="s">
        <v>180</v>
      </c>
      <c r="N20" s="4" t="s">
        <v>299</v>
      </c>
      <c r="O20" s="4" t="s">
        <v>300</v>
      </c>
      <c r="P20" s="12" t="s">
        <v>301</v>
      </c>
      <c r="Q20" s="12" t="s">
        <v>302</v>
      </c>
      <c r="R20" s="4">
        <v>3.2</v>
      </c>
      <c r="S20" s="4" t="s">
        <v>223</v>
      </c>
      <c r="T20" s="4" t="s">
        <v>163</v>
      </c>
      <c r="U20" s="22"/>
      <c r="V20" s="90"/>
      <c r="W20" s="15"/>
      <c r="X20" s="91"/>
      <c r="Y20" s="91"/>
      <c r="Z20" s="90"/>
    </row>
    <row r="21" spans="1:26" ht="37.5" hidden="1" customHeight="1">
      <c r="A21" s="9" t="s">
        <v>42</v>
      </c>
      <c r="B21" s="9" t="s">
        <v>93</v>
      </c>
      <c r="C21" s="9" t="s">
        <v>80</v>
      </c>
      <c r="D21" s="4" t="s">
        <v>5</v>
      </c>
      <c r="E21" s="9" t="s">
        <v>303</v>
      </c>
      <c r="F21" s="9" t="s">
        <v>304</v>
      </c>
      <c r="G21" s="9" t="s">
        <v>305</v>
      </c>
      <c r="H21" s="9">
        <v>11</v>
      </c>
      <c r="I21" s="9">
        <v>6</v>
      </c>
      <c r="J21" s="9" t="s">
        <v>306</v>
      </c>
      <c r="K21" s="4" t="s">
        <v>307</v>
      </c>
      <c r="L21" s="9">
        <v>2025</v>
      </c>
      <c r="M21" s="9" t="s">
        <v>228</v>
      </c>
      <c r="N21" s="9" t="s">
        <v>308</v>
      </c>
      <c r="O21" s="9" t="s">
        <v>309</v>
      </c>
      <c r="P21" s="13" t="s">
        <v>310</v>
      </c>
      <c r="Q21" s="13" t="s">
        <v>311</v>
      </c>
      <c r="R21" s="11"/>
      <c r="S21" s="9" t="s">
        <v>162</v>
      </c>
      <c r="T21" s="9" t="s">
        <v>174</v>
      </c>
      <c r="U21" s="13" t="s">
        <v>94</v>
      </c>
      <c r="V21" s="55"/>
      <c r="W21" s="92"/>
      <c r="X21" s="55"/>
      <c r="Y21" s="55"/>
      <c r="Z21" s="55"/>
    </row>
    <row r="22" spans="1:26" ht="37.5" hidden="1" customHeight="1">
      <c r="A22" s="9" t="s">
        <v>42</v>
      </c>
      <c r="B22" s="4" t="s">
        <v>93</v>
      </c>
      <c r="C22" s="4" t="s">
        <v>80</v>
      </c>
      <c r="D22" s="4" t="s">
        <v>5</v>
      </c>
      <c r="E22" s="4" t="s">
        <v>312</v>
      </c>
      <c r="F22" s="4" t="s">
        <v>313</v>
      </c>
      <c r="G22" s="4" t="s">
        <v>314</v>
      </c>
      <c r="H22" s="4">
        <v>1</v>
      </c>
      <c r="I22" s="4">
        <v>1</v>
      </c>
      <c r="J22" s="93">
        <v>45667</v>
      </c>
      <c r="K22" s="4" t="s">
        <v>168</v>
      </c>
      <c r="L22" s="4">
        <v>2025</v>
      </c>
      <c r="M22" s="4" t="s">
        <v>162</v>
      </c>
      <c r="N22" s="4" t="s">
        <v>315</v>
      </c>
      <c r="O22" s="8"/>
      <c r="P22" s="90"/>
      <c r="Q22" s="12" t="s">
        <v>316</v>
      </c>
      <c r="R22" s="8"/>
      <c r="S22" s="4" t="s">
        <v>223</v>
      </c>
      <c r="T22" s="4" t="s">
        <v>317</v>
      </c>
      <c r="U22" s="12" t="s">
        <v>94</v>
      </c>
      <c r="V22" s="15"/>
      <c r="W22" s="73"/>
      <c r="X22" s="54"/>
      <c r="Y22" s="54"/>
      <c r="Z22" s="54"/>
    </row>
    <row r="23" spans="1:26" ht="37.5" hidden="1" customHeight="1">
      <c r="A23" s="66" t="s">
        <v>42</v>
      </c>
      <c r="B23" s="66" t="s">
        <v>93</v>
      </c>
      <c r="C23" s="66" t="s">
        <v>80</v>
      </c>
      <c r="D23" s="66" t="s">
        <v>5</v>
      </c>
      <c r="E23" s="66" t="s">
        <v>318</v>
      </c>
      <c r="F23" s="66" t="s">
        <v>319</v>
      </c>
      <c r="G23" s="66" t="s">
        <v>320</v>
      </c>
      <c r="H23" s="66">
        <v>2</v>
      </c>
      <c r="I23" s="66">
        <v>2</v>
      </c>
      <c r="J23" s="94">
        <v>45772</v>
      </c>
      <c r="K23" s="66" t="s">
        <v>321</v>
      </c>
      <c r="L23" s="66">
        <v>2025</v>
      </c>
      <c r="M23" s="66" t="s">
        <v>322</v>
      </c>
      <c r="N23" s="66" t="s">
        <v>323</v>
      </c>
      <c r="O23" s="66" t="s">
        <v>324</v>
      </c>
      <c r="P23" s="70" t="s">
        <v>325</v>
      </c>
      <c r="Q23" s="70" t="s">
        <v>326</v>
      </c>
      <c r="R23" s="95"/>
      <c r="S23" s="66" t="s">
        <v>162</v>
      </c>
      <c r="T23" s="66" t="s">
        <v>317</v>
      </c>
      <c r="U23" s="70" t="s">
        <v>327</v>
      </c>
      <c r="V23" s="83"/>
      <c r="W23" s="79"/>
      <c r="X23" s="78"/>
      <c r="Y23" s="78"/>
      <c r="Z23" s="78"/>
    </row>
    <row r="24" spans="1:26" ht="37.5" customHeight="1">
      <c r="A24" s="4" t="s">
        <v>10</v>
      </c>
      <c r="B24" s="4" t="s">
        <v>96</v>
      </c>
      <c r="C24" s="4" t="s">
        <v>70</v>
      </c>
      <c r="D24" s="4" t="s">
        <v>0</v>
      </c>
      <c r="E24" s="4" t="s">
        <v>10</v>
      </c>
      <c r="F24" s="4" t="s">
        <v>328</v>
      </c>
      <c r="G24" s="4" t="s">
        <v>305</v>
      </c>
      <c r="H24" s="4">
        <v>11</v>
      </c>
      <c r="I24" s="4">
        <v>23</v>
      </c>
      <c r="J24" s="4" t="s">
        <v>329</v>
      </c>
      <c r="K24" s="96">
        <v>45901</v>
      </c>
      <c r="L24" s="4">
        <v>2025</v>
      </c>
      <c r="M24" s="4" t="s">
        <v>228</v>
      </c>
      <c r="N24" s="4" t="s">
        <v>238</v>
      </c>
      <c r="O24" s="4" t="s">
        <v>309</v>
      </c>
      <c r="P24" s="12" t="s">
        <v>330</v>
      </c>
      <c r="Q24" s="12" t="s">
        <v>331</v>
      </c>
      <c r="R24" s="4">
        <v>1.4</v>
      </c>
      <c r="S24" s="4" t="s">
        <v>223</v>
      </c>
      <c r="T24" s="4" t="s">
        <v>332</v>
      </c>
      <c r="U24" s="12" t="s">
        <v>333</v>
      </c>
      <c r="V24" s="54"/>
      <c r="W24" s="15"/>
      <c r="X24" s="91"/>
      <c r="Y24" s="97"/>
      <c r="Z24" s="54"/>
    </row>
    <row r="25" spans="1:26" ht="37.5" hidden="1" customHeight="1">
      <c r="A25" s="9" t="s">
        <v>43</v>
      </c>
      <c r="B25" s="9" t="s">
        <v>334</v>
      </c>
      <c r="C25" s="9" t="s">
        <v>80</v>
      </c>
      <c r="D25" s="9" t="s">
        <v>7</v>
      </c>
      <c r="E25" s="9" t="s">
        <v>335</v>
      </c>
      <c r="F25" s="9" t="s">
        <v>336</v>
      </c>
      <c r="G25" s="9" t="s">
        <v>337</v>
      </c>
      <c r="H25" s="9">
        <v>15</v>
      </c>
      <c r="I25" s="9">
        <v>3</v>
      </c>
      <c r="J25" s="9" t="s">
        <v>338</v>
      </c>
      <c r="K25" s="98">
        <v>45708</v>
      </c>
      <c r="L25" s="9">
        <v>2025</v>
      </c>
      <c r="M25" s="9" t="s">
        <v>180</v>
      </c>
      <c r="N25" s="9" t="s">
        <v>339</v>
      </c>
      <c r="O25" s="9" t="s">
        <v>340</v>
      </c>
      <c r="P25" s="12" t="s">
        <v>341</v>
      </c>
      <c r="Q25" s="13" t="s">
        <v>342</v>
      </c>
      <c r="R25" s="9">
        <v>3.4</v>
      </c>
      <c r="S25" s="9" t="s">
        <v>162</v>
      </c>
      <c r="T25" s="9" t="s">
        <v>163</v>
      </c>
      <c r="U25" s="13" t="s">
        <v>343</v>
      </c>
      <c r="V25" s="14"/>
      <c r="W25" s="9"/>
      <c r="X25" s="16"/>
      <c r="Y25" s="9"/>
      <c r="Z25" s="55"/>
    </row>
    <row r="26" spans="1:26" ht="37.5" hidden="1" customHeight="1">
      <c r="A26" s="4" t="s">
        <v>43</v>
      </c>
      <c r="B26" s="4" t="s">
        <v>334</v>
      </c>
      <c r="C26" s="4" t="s">
        <v>80</v>
      </c>
      <c r="D26" s="4" t="s">
        <v>7</v>
      </c>
      <c r="E26" s="4" t="s">
        <v>344</v>
      </c>
      <c r="F26" s="4" t="s">
        <v>345</v>
      </c>
      <c r="G26" s="4" t="s">
        <v>346</v>
      </c>
      <c r="H26" s="4">
        <v>17</v>
      </c>
      <c r="I26" s="26"/>
      <c r="J26" s="99">
        <v>45668</v>
      </c>
      <c r="K26" s="37" t="s">
        <v>347</v>
      </c>
      <c r="L26" s="4">
        <v>2025</v>
      </c>
      <c r="M26" s="4" t="s">
        <v>228</v>
      </c>
      <c r="N26" s="4" t="s">
        <v>158</v>
      </c>
      <c r="O26" s="4" t="s">
        <v>282</v>
      </c>
      <c r="P26" s="7" t="s">
        <v>348</v>
      </c>
      <c r="Q26" s="12" t="s">
        <v>349</v>
      </c>
      <c r="R26" s="26"/>
      <c r="S26" s="4" t="s">
        <v>162</v>
      </c>
      <c r="T26" s="4" t="s">
        <v>185</v>
      </c>
      <c r="U26" s="12" t="s">
        <v>350</v>
      </c>
      <c r="V26" s="15"/>
      <c r="W26" s="4"/>
      <c r="X26" s="26"/>
      <c r="Y26" s="4"/>
      <c r="Z26" s="54"/>
    </row>
    <row r="27" spans="1:26" ht="37.5" hidden="1" customHeight="1">
      <c r="A27" s="9" t="s">
        <v>43</v>
      </c>
      <c r="B27" s="9" t="s">
        <v>334</v>
      </c>
      <c r="C27" s="9" t="s">
        <v>80</v>
      </c>
      <c r="D27" s="9" t="s">
        <v>7</v>
      </c>
      <c r="E27" s="9" t="s">
        <v>351</v>
      </c>
      <c r="F27" s="9" t="s">
        <v>352</v>
      </c>
      <c r="G27" s="9" t="s">
        <v>353</v>
      </c>
      <c r="H27" s="9">
        <v>16</v>
      </c>
      <c r="I27" s="9">
        <v>2</v>
      </c>
      <c r="J27" s="16"/>
      <c r="K27" s="43" t="s">
        <v>354</v>
      </c>
      <c r="L27" s="9">
        <v>2025</v>
      </c>
      <c r="M27" s="9"/>
      <c r="N27" s="9" t="s">
        <v>355</v>
      </c>
      <c r="O27" s="37" t="s">
        <v>356</v>
      </c>
      <c r="P27" s="13" t="s">
        <v>357</v>
      </c>
      <c r="Q27" s="13" t="s">
        <v>358</v>
      </c>
      <c r="R27" s="9" t="s">
        <v>359</v>
      </c>
      <c r="S27" s="9" t="s">
        <v>162</v>
      </c>
      <c r="T27" s="9" t="s">
        <v>317</v>
      </c>
      <c r="U27" s="10" t="s">
        <v>360</v>
      </c>
      <c r="V27" s="14"/>
      <c r="W27" s="9"/>
      <c r="X27" s="16"/>
      <c r="Y27" s="9"/>
      <c r="Z27" s="55"/>
    </row>
    <row r="28" spans="1:26" ht="37.5" hidden="1" customHeight="1">
      <c r="A28" s="4" t="s">
        <v>43</v>
      </c>
      <c r="B28" s="4" t="s">
        <v>334</v>
      </c>
      <c r="C28" s="4" t="s">
        <v>80</v>
      </c>
      <c r="D28" s="4" t="s">
        <v>7</v>
      </c>
      <c r="E28" s="4" t="s">
        <v>361</v>
      </c>
      <c r="F28" s="4" t="s">
        <v>362</v>
      </c>
      <c r="G28" s="4" t="s">
        <v>197</v>
      </c>
      <c r="H28" s="4">
        <v>2</v>
      </c>
      <c r="I28" s="4">
        <v>1</v>
      </c>
      <c r="J28" s="4" t="s">
        <v>363</v>
      </c>
      <c r="K28" s="37" t="s">
        <v>364</v>
      </c>
      <c r="L28" s="4">
        <v>2024</v>
      </c>
      <c r="M28" s="26"/>
      <c r="N28" s="4" t="s">
        <v>365</v>
      </c>
      <c r="O28" s="4" t="s">
        <v>201</v>
      </c>
      <c r="P28" s="12" t="s">
        <v>366</v>
      </c>
      <c r="Q28" s="12" t="s">
        <v>367</v>
      </c>
      <c r="R28" s="4" t="s">
        <v>359</v>
      </c>
      <c r="S28" s="4" t="s">
        <v>162</v>
      </c>
      <c r="T28" s="4" t="s">
        <v>317</v>
      </c>
      <c r="U28" s="7" t="s">
        <v>368</v>
      </c>
      <c r="V28" s="15"/>
      <c r="W28" s="4"/>
      <c r="X28" s="26"/>
      <c r="Y28" s="4"/>
      <c r="Z28" s="54"/>
    </row>
    <row r="29" spans="1:26" ht="37.5" hidden="1" customHeight="1">
      <c r="A29" s="9" t="s">
        <v>44</v>
      </c>
      <c r="B29" s="9" t="s">
        <v>369</v>
      </c>
      <c r="C29" s="9" t="s">
        <v>70</v>
      </c>
      <c r="D29" s="9" t="s">
        <v>7</v>
      </c>
      <c r="E29" s="9" t="s">
        <v>370</v>
      </c>
      <c r="F29" s="4" t="s">
        <v>371</v>
      </c>
      <c r="G29" s="9" t="s">
        <v>372</v>
      </c>
      <c r="H29" s="9">
        <v>13</v>
      </c>
      <c r="I29" s="9">
        <v>8</v>
      </c>
      <c r="J29" s="100">
        <v>45669</v>
      </c>
      <c r="K29" s="101">
        <v>45933</v>
      </c>
      <c r="L29" s="9">
        <v>2025</v>
      </c>
      <c r="M29" s="9" t="s">
        <v>228</v>
      </c>
      <c r="N29" s="9" t="s">
        <v>373</v>
      </c>
      <c r="O29" s="4" t="s">
        <v>374</v>
      </c>
      <c r="P29" s="13" t="s">
        <v>375</v>
      </c>
      <c r="Q29" s="10" t="s">
        <v>376</v>
      </c>
      <c r="R29" s="9">
        <v>2.1</v>
      </c>
      <c r="S29" s="9" t="s">
        <v>377</v>
      </c>
      <c r="T29" s="9" t="s">
        <v>332</v>
      </c>
      <c r="U29" s="13" t="s">
        <v>378</v>
      </c>
      <c r="V29" s="16"/>
      <c r="W29" s="9"/>
      <c r="X29" s="16"/>
      <c r="Y29" s="9"/>
      <c r="Z29" s="16"/>
    </row>
    <row r="30" spans="1:26" ht="37.5" hidden="1" customHeight="1">
      <c r="A30" s="4" t="s">
        <v>45</v>
      </c>
      <c r="B30" s="4" t="s">
        <v>97</v>
      </c>
      <c r="C30" s="4" t="s">
        <v>67</v>
      </c>
      <c r="D30" s="4" t="s">
        <v>5</v>
      </c>
      <c r="E30" s="4" t="s">
        <v>379</v>
      </c>
      <c r="F30" s="4" t="s">
        <v>380</v>
      </c>
      <c r="G30" s="4" t="s">
        <v>381</v>
      </c>
      <c r="H30" s="4">
        <v>13</v>
      </c>
      <c r="I30" s="4">
        <v>10</v>
      </c>
      <c r="J30" s="4" t="s">
        <v>382</v>
      </c>
      <c r="K30" s="4" t="s">
        <v>168</v>
      </c>
      <c r="L30" s="4">
        <v>2025</v>
      </c>
      <c r="M30" s="4" t="s">
        <v>228</v>
      </c>
      <c r="N30" s="4" t="s">
        <v>383</v>
      </c>
      <c r="O30" s="4">
        <v>10123407</v>
      </c>
      <c r="P30" s="12" t="s">
        <v>384</v>
      </c>
      <c r="Q30" s="12" t="s">
        <v>385</v>
      </c>
      <c r="R30" s="4">
        <v>4.5999999999999996</v>
      </c>
      <c r="S30" s="4" t="s">
        <v>162</v>
      </c>
      <c r="T30" s="4" t="s">
        <v>174</v>
      </c>
      <c r="U30" s="12" t="s">
        <v>98</v>
      </c>
      <c r="V30" s="54"/>
      <c r="W30" s="73"/>
      <c r="X30" s="54"/>
      <c r="Y30" s="54"/>
      <c r="Z30" s="54"/>
    </row>
    <row r="31" spans="1:26" ht="37.5" hidden="1" customHeight="1">
      <c r="A31" s="9" t="s">
        <v>45</v>
      </c>
      <c r="B31" s="9" t="s">
        <v>97</v>
      </c>
      <c r="C31" s="9" t="s">
        <v>67</v>
      </c>
      <c r="D31" s="4" t="s">
        <v>5</v>
      </c>
      <c r="E31" s="9" t="s">
        <v>386</v>
      </c>
      <c r="F31" s="9" t="s">
        <v>387</v>
      </c>
      <c r="G31" s="9" t="s">
        <v>388</v>
      </c>
      <c r="H31" s="9">
        <v>16</v>
      </c>
      <c r="I31" s="9">
        <v>3</v>
      </c>
      <c r="J31" s="9" t="s">
        <v>389</v>
      </c>
      <c r="K31" s="4" t="s">
        <v>390</v>
      </c>
      <c r="L31" s="9">
        <v>2025</v>
      </c>
      <c r="M31" s="9" t="s">
        <v>228</v>
      </c>
      <c r="N31" s="9" t="s">
        <v>391</v>
      </c>
      <c r="O31" s="9">
        <v>20937628</v>
      </c>
      <c r="P31" s="13" t="s">
        <v>392</v>
      </c>
      <c r="Q31" s="13" t="s">
        <v>393</v>
      </c>
      <c r="R31" s="9"/>
      <c r="S31" s="9" t="s">
        <v>162</v>
      </c>
      <c r="T31" s="9" t="s">
        <v>332</v>
      </c>
      <c r="U31" s="13" t="s">
        <v>98</v>
      </c>
      <c r="V31" s="55"/>
      <c r="W31" s="92"/>
      <c r="X31" s="55"/>
      <c r="Y31" s="55"/>
      <c r="Z31" s="55"/>
    </row>
    <row r="32" spans="1:26" ht="37.5" hidden="1" customHeight="1">
      <c r="A32" s="4" t="s">
        <v>46</v>
      </c>
      <c r="B32" s="4" t="s">
        <v>99</v>
      </c>
      <c r="C32" s="4" t="s">
        <v>67</v>
      </c>
      <c r="D32" s="4" t="s">
        <v>7</v>
      </c>
      <c r="E32" s="4" t="s">
        <v>394</v>
      </c>
      <c r="F32" s="4" t="s">
        <v>395</v>
      </c>
      <c r="G32" s="4" t="s">
        <v>396</v>
      </c>
      <c r="H32" s="4">
        <v>18</v>
      </c>
      <c r="I32" s="4"/>
      <c r="J32" s="4" t="s">
        <v>397</v>
      </c>
      <c r="K32" s="102">
        <v>45931</v>
      </c>
      <c r="L32" s="4">
        <v>2025</v>
      </c>
      <c r="M32" s="4" t="s">
        <v>180</v>
      </c>
      <c r="N32" s="4" t="s">
        <v>158</v>
      </c>
      <c r="O32" s="4" t="s">
        <v>398</v>
      </c>
      <c r="P32" s="12" t="s">
        <v>399</v>
      </c>
      <c r="Q32" s="12" t="s">
        <v>400</v>
      </c>
      <c r="R32" s="4">
        <v>2.7</v>
      </c>
      <c r="S32" s="4" t="s">
        <v>223</v>
      </c>
      <c r="T32" s="4" t="s">
        <v>185</v>
      </c>
      <c r="U32" s="12" t="s">
        <v>401</v>
      </c>
      <c r="V32" s="15"/>
      <c r="W32" s="4"/>
      <c r="X32" s="26"/>
      <c r="Y32" s="4"/>
      <c r="Z32" s="103"/>
    </row>
    <row r="33" spans="1:26" ht="37.5" hidden="1" customHeight="1">
      <c r="A33" s="9" t="s">
        <v>46</v>
      </c>
      <c r="B33" s="9" t="s">
        <v>99</v>
      </c>
      <c r="C33" s="9" t="s">
        <v>67</v>
      </c>
      <c r="D33" s="9" t="s">
        <v>7</v>
      </c>
      <c r="E33" s="9" t="s">
        <v>46</v>
      </c>
      <c r="F33" s="9" t="s">
        <v>402</v>
      </c>
      <c r="G33" s="9" t="s">
        <v>403</v>
      </c>
      <c r="H33" s="9">
        <v>39</v>
      </c>
      <c r="I33" s="9">
        <v>1</v>
      </c>
      <c r="J33" s="9">
        <v>2539395</v>
      </c>
      <c r="K33" s="104">
        <v>45870</v>
      </c>
      <c r="L33" s="9">
        <v>2025</v>
      </c>
      <c r="M33" s="9" t="s">
        <v>180</v>
      </c>
      <c r="N33" s="9" t="s">
        <v>404</v>
      </c>
      <c r="O33" s="9" t="s">
        <v>405</v>
      </c>
      <c r="P33" s="13" t="s">
        <v>406</v>
      </c>
      <c r="Q33" s="13" t="s">
        <v>407</v>
      </c>
      <c r="R33" s="9">
        <v>4.3</v>
      </c>
      <c r="S33" s="9" t="s">
        <v>162</v>
      </c>
      <c r="T33" s="9" t="s">
        <v>185</v>
      </c>
      <c r="U33" s="13" t="s">
        <v>408</v>
      </c>
      <c r="V33" s="14"/>
      <c r="W33" s="9"/>
      <c r="X33" s="16"/>
      <c r="Y33" s="9"/>
      <c r="Z33" s="103"/>
    </row>
    <row r="34" spans="1:26" ht="37.5" hidden="1" customHeight="1">
      <c r="A34" s="4" t="s">
        <v>46</v>
      </c>
      <c r="B34" s="4" t="s">
        <v>99</v>
      </c>
      <c r="C34" s="4" t="s">
        <v>67</v>
      </c>
      <c r="D34" s="4" t="s">
        <v>7</v>
      </c>
      <c r="E34" s="4" t="s">
        <v>46</v>
      </c>
      <c r="F34" s="4" t="s">
        <v>409</v>
      </c>
      <c r="G34" s="4" t="s">
        <v>410</v>
      </c>
      <c r="H34" s="4">
        <v>7</v>
      </c>
      <c r="I34" s="17"/>
      <c r="J34" s="4" t="s">
        <v>411</v>
      </c>
      <c r="K34" s="102">
        <v>45870</v>
      </c>
      <c r="L34" s="4">
        <v>2025</v>
      </c>
      <c r="M34" s="4" t="s">
        <v>412</v>
      </c>
      <c r="N34" s="4" t="s">
        <v>158</v>
      </c>
      <c r="O34" s="4" t="s">
        <v>413</v>
      </c>
      <c r="P34" s="12" t="s">
        <v>414</v>
      </c>
      <c r="Q34" s="12" t="s">
        <v>415</v>
      </c>
      <c r="R34" s="4">
        <v>2.8</v>
      </c>
      <c r="S34" s="4" t="s">
        <v>162</v>
      </c>
      <c r="T34" s="4" t="s">
        <v>185</v>
      </c>
      <c r="U34" s="12" t="s">
        <v>416</v>
      </c>
      <c r="V34" s="15"/>
      <c r="W34" s="4"/>
      <c r="X34" s="26"/>
      <c r="Y34" s="4"/>
      <c r="Z34" s="103"/>
    </row>
    <row r="35" spans="1:26" ht="37.5" hidden="1" customHeight="1">
      <c r="A35" s="9" t="s">
        <v>46</v>
      </c>
      <c r="B35" s="9" t="s">
        <v>99</v>
      </c>
      <c r="C35" s="9" t="s">
        <v>67</v>
      </c>
      <c r="D35" s="9" t="s">
        <v>7</v>
      </c>
      <c r="E35" s="9" t="s">
        <v>46</v>
      </c>
      <c r="F35" s="9" t="s">
        <v>417</v>
      </c>
      <c r="G35" s="9" t="s">
        <v>418</v>
      </c>
      <c r="H35" s="9">
        <v>28</v>
      </c>
      <c r="I35" s="18"/>
      <c r="J35" s="9" t="s">
        <v>419</v>
      </c>
      <c r="K35" s="104">
        <v>45901</v>
      </c>
      <c r="L35" s="9">
        <v>2025</v>
      </c>
      <c r="M35" s="9" t="s">
        <v>180</v>
      </c>
      <c r="N35" s="14" t="s">
        <v>158</v>
      </c>
      <c r="O35" s="9" t="s">
        <v>420</v>
      </c>
      <c r="P35" s="13" t="s">
        <v>421</v>
      </c>
      <c r="Q35" s="13" t="s">
        <v>422</v>
      </c>
      <c r="R35" s="9">
        <v>4.0999999999999996</v>
      </c>
      <c r="S35" s="9" t="s">
        <v>162</v>
      </c>
      <c r="T35" s="9" t="s">
        <v>163</v>
      </c>
      <c r="U35" s="13" t="s">
        <v>423</v>
      </c>
      <c r="V35" s="14"/>
      <c r="W35" s="9"/>
      <c r="X35" s="16"/>
      <c r="Y35" s="9"/>
      <c r="Z35" s="103"/>
    </row>
    <row r="36" spans="1:26" ht="37.5" hidden="1" customHeight="1">
      <c r="A36" s="27" t="s">
        <v>46</v>
      </c>
      <c r="B36" s="27" t="s">
        <v>99</v>
      </c>
      <c r="C36" s="27" t="s">
        <v>67</v>
      </c>
      <c r="D36" s="27" t="s">
        <v>7</v>
      </c>
      <c r="E36" s="27" t="s">
        <v>46</v>
      </c>
      <c r="F36" s="27" t="s">
        <v>424</v>
      </c>
      <c r="G36" s="27" t="s">
        <v>396</v>
      </c>
      <c r="H36" s="27">
        <v>19</v>
      </c>
      <c r="I36" s="27"/>
      <c r="J36" s="27">
        <v>30</v>
      </c>
      <c r="K36" s="105">
        <v>45992</v>
      </c>
      <c r="L36" s="27">
        <v>2025</v>
      </c>
      <c r="M36" s="27" t="s">
        <v>180</v>
      </c>
      <c r="N36" s="27" t="s">
        <v>158</v>
      </c>
      <c r="O36" s="27" t="s">
        <v>398</v>
      </c>
      <c r="P36" s="106" t="s">
        <v>425</v>
      </c>
      <c r="Q36" s="106" t="s">
        <v>425</v>
      </c>
      <c r="R36" s="27">
        <v>2.7</v>
      </c>
      <c r="S36" s="27" t="s">
        <v>162</v>
      </c>
      <c r="T36" s="27" t="s">
        <v>185</v>
      </c>
      <c r="U36" s="107" t="s">
        <v>426</v>
      </c>
      <c r="V36" s="107"/>
      <c r="W36" s="27"/>
      <c r="X36" s="108"/>
      <c r="Y36" s="4"/>
      <c r="Z36" s="109"/>
    </row>
    <row r="37" spans="1:26" ht="37.5" hidden="1" customHeight="1">
      <c r="A37" s="9" t="s">
        <v>427</v>
      </c>
      <c r="B37" s="9" t="s">
        <v>428</v>
      </c>
      <c r="C37" s="9" t="s">
        <v>429</v>
      </c>
      <c r="D37" s="9" t="s">
        <v>7</v>
      </c>
      <c r="E37" s="9" t="s">
        <v>430</v>
      </c>
      <c r="F37" s="9" t="s">
        <v>431</v>
      </c>
      <c r="G37" s="9" t="s">
        <v>432</v>
      </c>
      <c r="H37" s="9">
        <v>23</v>
      </c>
      <c r="I37" s="9">
        <v>1</v>
      </c>
      <c r="J37" s="110">
        <v>45727</v>
      </c>
      <c r="K37" s="9">
        <v>11</v>
      </c>
      <c r="L37" s="9">
        <v>2025</v>
      </c>
      <c r="M37" s="9" t="s">
        <v>433</v>
      </c>
      <c r="N37" s="9" t="s">
        <v>434</v>
      </c>
      <c r="O37" s="9" t="s">
        <v>435</v>
      </c>
      <c r="P37" s="13" t="s">
        <v>436</v>
      </c>
      <c r="Q37" s="13" t="s">
        <v>437</v>
      </c>
      <c r="R37" s="9" t="s">
        <v>359</v>
      </c>
      <c r="S37" s="9" t="s">
        <v>223</v>
      </c>
      <c r="T37" s="9" t="s">
        <v>359</v>
      </c>
      <c r="U37" s="13" t="s">
        <v>438</v>
      </c>
      <c r="V37" s="55"/>
      <c r="W37" s="9"/>
      <c r="X37" s="16"/>
      <c r="Y37" s="9"/>
      <c r="Z37" s="55"/>
    </row>
    <row r="38" spans="1:26" ht="37.5" customHeight="1">
      <c r="A38" s="66" t="s">
        <v>11</v>
      </c>
      <c r="B38" s="66" t="s">
        <v>102</v>
      </c>
      <c r="C38" s="66" t="s">
        <v>121</v>
      </c>
      <c r="D38" s="66" t="s">
        <v>0</v>
      </c>
      <c r="E38" s="66" t="s">
        <v>439</v>
      </c>
      <c r="F38" s="66" t="s">
        <v>440</v>
      </c>
      <c r="G38" s="66" t="s">
        <v>156</v>
      </c>
      <c r="H38" s="66">
        <v>15</v>
      </c>
      <c r="I38" s="71"/>
      <c r="J38" s="68">
        <v>45672</v>
      </c>
      <c r="K38" s="111" t="s">
        <v>364</v>
      </c>
      <c r="L38" s="66">
        <v>2025</v>
      </c>
      <c r="M38" s="66" t="s">
        <v>157</v>
      </c>
      <c r="N38" s="66" t="s">
        <v>158</v>
      </c>
      <c r="O38" s="66" t="s">
        <v>159</v>
      </c>
      <c r="P38" s="77" t="s">
        <v>441</v>
      </c>
      <c r="Q38" s="77" t="s">
        <v>442</v>
      </c>
      <c r="R38" s="66">
        <v>3.9</v>
      </c>
      <c r="S38" s="66" t="s">
        <v>162</v>
      </c>
      <c r="T38" s="66" t="s">
        <v>163</v>
      </c>
      <c r="U38" s="77" t="s">
        <v>443</v>
      </c>
      <c r="V38" s="83"/>
      <c r="W38" s="83"/>
      <c r="X38" s="91"/>
      <c r="Y38" s="91"/>
      <c r="Z38" s="78"/>
    </row>
    <row r="39" spans="1:26" ht="37.5" hidden="1" customHeight="1">
      <c r="A39" s="9" t="s">
        <v>48</v>
      </c>
      <c r="B39" s="9" t="s">
        <v>105</v>
      </c>
      <c r="C39" s="9" t="s">
        <v>67</v>
      </c>
      <c r="D39" s="9" t="s">
        <v>3</v>
      </c>
      <c r="E39" s="9" t="s">
        <v>444</v>
      </c>
      <c r="F39" s="9" t="s">
        <v>445</v>
      </c>
      <c r="G39" s="9" t="s">
        <v>446</v>
      </c>
      <c r="H39" s="9">
        <v>71</v>
      </c>
      <c r="I39" s="9">
        <v>3</v>
      </c>
      <c r="J39" s="9" t="s">
        <v>447</v>
      </c>
      <c r="K39" s="104">
        <v>45748</v>
      </c>
      <c r="L39" s="9">
        <v>2025</v>
      </c>
      <c r="M39" s="9" t="s">
        <v>157</v>
      </c>
      <c r="N39" s="9" t="s">
        <v>448</v>
      </c>
      <c r="O39" s="9" t="s">
        <v>449</v>
      </c>
      <c r="P39" s="13" t="s">
        <v>450</v>
      </c>
      <c r="Q39" s="13" t="s">
        <v>451</v>
      </c>
      <c r="R39" s="9">
        <v>10.9</v>
      </c>
      <c r="S39" s="9" t="s">
        <v>377</v>
      </c>
      <c r="T39" s="9" t="s">
        <v>163</v>
      </c>
      <c r="U39" s="10" t="s">
        <v>452</v>
      </c>
      <c r="V39" s="21"/>
      <c r="W39" s="9"/>
      <c r="X39" s="11"/>
      <c r="Y39" s="11"/>
      <c r="Z39" s="11"/>
    </row>
    <row r="40" spans="1:26" ht="37.5" hidden="1" customHeight="1">
      <c r="A40" s="4" t="s">
        <v>48</v>
      </c>
      <c r="B40" s="4" t="s">
        <v>105</v>
      </c>
      <c r="C40" s="4" t="s">
        <v>67</v>
      </c>
      <c r="D40" s="4" t="s">
        <v>3</v>
      </c>
      <c r="E40" s="4" t="s">
        <v>453</v>
      </c>
      <c r="F40" s="4" t="s">
        <v>454</v>
      </c>
      <c r="G40" s="4" t="s">
        <v>446</v>
      </c>
      <c r="H40" s="4">
        <v>71</v>
      </c>
      <c r="I40" s="4">
        <v>3</v>
      </c>
      <c r="J40" s="4" t="s">
        <v>455</v>
      </c>
      <c r="K40" s="4" t="s">
        <v>456</v>
      </c>
      <c r="L40" s="4">
        <v>2025</v>
      </c>
      <c r="M40" s="4" t="s">
        <v>157</v>
      </c>
      <c r="N40" s="4" t="s">
        <v>448</v>
      </c>
      <c r="O40" s="4" t="s">
        <v>449</v>
      </c>
      <c r="P40" s="12" t="s">
        <v>457</v>
      </c>
      <c r="Q40" s="12" t="s">
        <v>458</v>
      </c>
      <c r="R40" s="4">
        <v>10.9</v>
      </c>
      <c r="S40" s="4" t="s">
        <v>322</v>
      </c>
      <c r="T40" s="4" t="s">
        <v>163</v>
      </c>
      <c r="U40" s="7" t="s">
        <v>459</v>
      </c>
      <c r="V40" s="112"/>
      <c r="W40" s="4"/>
      <c r="X40" s="113"/>
      <c r="Y40" s="113"/>
      <c r="Z40" s="113"/>
    </row>
    <row r="41" spans="1:26" ht="37.5" hidden="1" customHeight="1">
      <c r="A41" s="9" t="s">
        <v>48</v>
      </c>
      <c r="B41" s="9" t="s">
        <v>105</v>
      </c>
      <c r="C41" s="9" t="s">
        <v>67</v>
      </c>
      <c r="D41" s="9" t="s">
        <v>3</v>
      </c>
      <c r="E41" s="9" t="s">
        <v>460</v>
      </c>
      <c r="F41" s="9" t="s">
        <v>461</v>
      </c>
      <c r="G41" s="9" t="s">
        <v>462</v>
      </c>
      <c r="H41" s="9">
        <v>12</v>
      </c>
      <c r="I41" s="9">
        <v>21</v>
      </c>
      <c r="J41" s="4" t="s">
        <v>463</v>
      </c>
      <c r="K41" s="9" t="s">
        <v>464</v>
      </c>
      <c r="L41" s="9">
        <v>2025</v>
      </c>
      <c r="M41" s="9" t="s">
        <v>157</v>
      </c>
      <c r="N41" s="9" t="s">
        <v>448</v>
      </c>
      <c r="O41" s="4" t="s">
        <v>465</v>
      </c>
      <c r="P41" s="13" t="s">
        <v>466</v>
      </c>
      <c r="Q41" s="13" t="s">
        <v>467</v>
      </c>
      <c r="R41" s="9">
        <v>8.9</v>
      </c>
      <c r="S41" s="9" t="s">
        <v>322</v>
      </c>
      <c r="T41" s="9" t="s">
        <v>163</v>
      </c>
      <c r="U41" s="13" t="s">
        <v>468</v>
      </c>
      <c r="V41" s="21"/>
      <c r="W41" s="14"/>
      <c r="X41" s="55"/>
      <c r="Y41" s="55"/>
      <c r="Z41" s="55"/>
    </row>
    <row r="42" spans="1:26" ht="37.5" customHeight="1">
      <c r="A42" s="4" t="s">
        <v>12</v>
      </c>
      <c r="B42" s="4" t="s">
        <v>106</v>
      </c>
      <c r="C42" s="4" t="s">
        <v>76</v>
      </c>
      <c r="D42" s="4" t="s">
        <v>0</v>
      </c>
      <c r="E42" s="4" t="s">
        <v>469</v>
      </c>
      <c r="F42" s="4" t="s">
        <v>470</v>
      </c>
      <c r="G42" s="4" t="s">
        <v>471</v>
      </c>
      <c r="H42" s="4">
        <v>2</v>
      </c>
      <c r="I42" s="4">
        <v>2</v>
      </c>
      <c r="J42" s="99">
        <v>45917</v>
      </c>
      <c r="K42" s="4" t="s">
        <v>472</v>
      </c>
      <c r="L42" s="4">
        <v>2025</v>
      </c>
      <c r="M42" s="4" t="s">
        <v>473</v>
      </c>
      <c r="N42" s="4" t="s">
        <v>474</v>
      </c>
      <c r="O42" s="4" t="s">
        <v>475</v>
      </c>
      <c r="P42" s="4"/>
      <c r="Q42" s="12" t="s">
        <v>476</v>
      </c>
      <c r="R42" s="4">
        <v>7.4</v>
      </c>
      <c r="S42" s="4" t="s">
        <v>162</v>
      </c>
      <c r="T42" s="4"/>
      <c r="U42" s="12" t="s">
        <v>477</v>
      </c>
      <c r="V42" s="54"/>
      <c r="W42" s="54"/>
      <c r="X42" s="88"/>
      <c r="Y42" s="114"/>
      <c r="Z42" s="54"/>
    </row>
    <row r="43" spans="1:26" ht="37.5" customHeight="1">
      <c r="A43" s="115" t="s">
        <v>12</v>
      </c>
      <c r="B43" s="115" t="s">
        <v>106</v>
      </c>
      <c r="C43" s="115" t="s">
        <v>76</v>
      </c>
      <c r="D43" s="115" t="s">
        <v>0</v>
      </c>
      <c r="E43" s="115" t="s">
        <v>478</v>
      </c>
      <c r="F43" s="115" t="s">
        <v>479</v>
      </c>
      <c r="G43" s="115"/>
      <c r="H43" s="115">
        <v>2</v>
      </c>
      <c r="I43" s="115">
        <v>3</v>
      </c>
      <c r="J43" s="116"/>
      <c r="K43" s="117">
        <v>45717</v>
      </c>
      <c r="L43" s="115">
        <v>2025</v>
      </c>
      <c r="M43" s="115" t="s">
        <v>473</v>
      </c>
      <c r="N43" s="115" t="s">
        <v>474</v>
      </c>
      <c r="O43" s="115" t="s">
        <v>480</v>
      </c>
      <c r="P43" s="118" t="s">
        <v>481</v>
      </c>
      <c r="Q43" s="118" t="s">
        <v>482</v>
      </c>
      <c r="R43" s="115">
        <v>7.4</v>
      </c>
      <c r="S43" s="115" t="s">
        <v>162</v>
      </c>
      <c r="T43" s="116"/>
      <c r="U43" s="118" t="s">
        <v>483</v>
      </c>
      <c r="V43" s="119"/>
      <c r="W43" s="119"/>
      <c r="X43" s="91"/>
      <c r="Y43" s="114"/>
      <c r="Z43" s="119"/>
    </row>
    <row r="44" spans="1:26" ht="37.5" customHeight="1">
      <c r="A44" s="115" t="s">
        <v>12</v>
      </c>
      <c r="B44" s="115" t="s">
        <v>106</v>
      </c>
      <c r="C44" s="115" t="s">
        <v>76</v>
      </c>
      <c r="D44" s="115" t="s">
        <v>0</v>
      </c>
      <c r="E44" s="115" t="s">
        <v>484</v>
      </c>
      <c r="F44" s="115" t="s">
        <v>485</v>
      </c>
      <c r="G44" s="120"/>
      <c r="H44" s="115">
        <v>16</v>
      </c>
      <c r="I44" s="115">
        <v>2</v>
      </c>
      <c r="J44" s="115"/>
      <c r="K44" s="117">
        <v>45809</v>
      </c>
      <c r="L44" s="115">
        <v>2025</v>
      </c>
      <c r="M44" s="115" t="s">
        <v>473</v>
      </c>
      <c r="N44" s="115" t="s">
        <v>486</v>
      </c>
      <c r="O44" s="115" t="s">
        <v>356</v>
      </c>
      <c r="P44" s="121"/>
      <c r="Q44" s="118" t="s">
        <v>487</v>
      </c>
      <c r="R44" s="115">
        <v>6.4</v>
      </c>
      <c r="S44" s="115" t="s">
        <v>488</v>
      </c>
      <c r="T44" s="115"/>
      <c r="U44" s="118" t="s">
        <v>487</v>
      </c>
      <c r="V44" s="122"/>
      <c r="W44" s="122"/>
      <c r="X44" s="123"/>
      <c r="Y44" s="114"/>
      <c r="Z44" s="122"/>
    </row>
    <row r="45" spans="1:26" ht="37.5" customHeight="1">
      <c r="A45" s="9" t="s">
        <v>12</v>
      </c>
      <c r="B45" s="9" t="s">
        <v>106</v>
      </c>
      <c r="C45" s="9" t="s">
        <v>76</v>
      </c>
      <c r="D45" s="9" t="s">
        <v>0</v>
      </c>
      <c r="E45" s="9" t="s">
        <v>489</v>
      </c>
      <c r="F45" s="9" t="s">
        <v>490</v>
      </c>
      <c r="G45" s="9" t="s">
        <v>491</v>
      </c>
      <c r="H45" s="9">
        <v>13</v>
      </c>
      <c r="I45" s="9">
        <v>1</v>
      </c>
      <c r="J45" s="9" t="s">
        <v>492</v>
      </c>
      <c r="K45" s="104">
        <v>45748</v>
      </c>
      <c r="L45" s="9">
        <v>2025</v>
      </c>
      <c r="M45" s="9" t="s">
        <v>473</v>
      </c>
      <c r="N45" s="9" t="s">
        <v>493</v>
      </c>
      <c r="O45" s="9" t="s">
        <v>494</v>
      </c>
      <c r="P45" s="14"/>
      <c r="Q45" s="13" t="s">
        <v>495</v>
      </c>
      <c r="R45" s="9">
        <v>6.1</v>
      </c>
      <c r="S45" s="9" t="s">
        <v>162</v>
      </c>
      <c r="T45" s="9"/>
      <c r="U45" s="13" t="s">
        <v>496</v>
      </c>
      <c r="V45" s="16"/>
      <c r="W45" s="16"/>
      <c r="X45" s="97"/>
      <c r="Y45" s="114"/>
      <c r="Z45" s="16"/>
    </row>
    <row r="46" spans="1:26" ht="37.5" hidden="1" customHeight="1">
      <c r="A46" s="59" t="s">
        <v>107</v>
      </c>
      <c r="B46" s="59" t="s">
        <v>108</v>
      </c>
      <c r="C46" s="59" t="s">
        <v>70</v>
      </c>
      <c r="D46" s="59" t="s">
        <v>2</v>
      </c>
      <c r="E46" s="59" t="s">
        <v>107</v>
      </c>
      <c r="F46" s="60" t="s">
        <v>497</v>
      </c>
      <c r="G46" s="59" t="s">
        <v>498</v>
      </c>
      <c r="H46" s="59">
        <v>30</v>
      </c>
      <c r="I46" s="59">
        <v>2</v>
      </c>
      <c r="J46" s="59">
        <v>495</v>
      </c>
      <c r="K46" s="124">
        <v>45689</v>
      </c>
      <c r="L46" s="59">
        <v>2025</v>
      </c>
      <c r="M46" s="59" t="s">
        <v>228</v>
      </c>
      <c r="N46" s="59" t="s">
        <v>499</v>
      </c>
      <c r="O46" s="59" t="s">
        <v>500</v>
      </c>
      <c r="P46" s="63" t="s">
        <v>501</v>
      </c>
      <c r="Q46" s="60" t="s">
        <v>502</v>
      </c>
      <c r="R46" s="59">
        <v>1.74</v>
      </c>
      <c r="S46" s="61"/>
      <c r="T46" s="59" t="s">
        <v>332</v>
      </c>
      <c r="U46" s="60" t="s">
        <v>503</v>
      </c>
      <c r="V46" s="64"/>
      <c r="W46" s="64"/>
      <c r="X46" s="65"/>
      <c r="Y46" s="64"/>
      <c r="Z46" s="64"/>
    </row>
    <row r="47" spans="1:26" ht="37.5" hidden="1" customHeight="1">
      <c r="A47" s="59" t="s">
        <v>107</v>
      </c>
      <c r="B47" s="59" t="s">
        <v>108</v>
      </c>
      <c r="C47" s="59" t="s">
        <v>70</v>
      </c>
      <c r="D47" s="59" t="s">
        <v>2</v>
      </c>
      <c r="E47" s="59" t="s">
        <v>107</v>
      </c>
      <c r="F47" s="125" t="s">
        <v>504</v>
      </c>
      <c r="G47" s="59" t="s">
        <v>505</v>
      </c>
      <c r="H47" s="59">
        <v>36</v>
      </c>
      <c r="I47" s="59">
        <v>10</v>
      </c>
      <c r="J47" s="59" t="s">
        <v>506</v>
      </c>
      <c r="K47" s="124">
        <v>45936</v>
      </c>
      <c r="L47" s="59">
        <v>2025</v>
      </c>
      <c r="M47" s="59" t="s">
        <v>180</v>
      </c>
      <c r="N47" s="59" t="s">
        <v>507</v>
      </c>
      <c r="O47" s="61"/>
      <c r="P47" s="60" t="s">
        <v>508</v>
      </c>
      <c r="Q47" s="60" t="s">
        <v>509</v>
      </c>
      <c r="R47" s="61"/>
      <c r="S47" s="61"/>
      <c r="T47" s="59" t="s">
        <v>185</v>
      </c>
      <c r="U47" s="60" t="s">
        <v>510</v>
      </c>
      <c r="V47" s="64"/>
      <c r="W47" s="64"/>
      <c r="X47" s="65"/>
      <c r="Y47" s="64"/>
      <c r="Z47" s="64"/>
    </row>
    <row r="48" spans="1:26" ht="37.5" hidden="1" customHeight="1">
      <c r="A48" s="4" t="s">
        <v>57</v>
      </c>
      <c r="B48" s="4" t="s">
        <v>511</v>
      </c>
      <c r="C48" s="4" t="s">
        <v>80</v>
      </c>
      <c r="D48" s="4" t="s">
        <v>2</v>
      </c>
      <c r="E48" s="4" t="s">
        <v>512</v>
      </c>
      <c r="F48" s="4" t="s">
        <v>513</v>
      </c>
      <c r="G48" s="4" t="s">
        <v>514</v>
      </c>
      <c r="H48" s="4">
        <v>28</v>
      </c>
      <c r="I48" s="17"/>
      <c r="J48" s="4" t="s">
        <v>515</v>
      </c>
      <c r="K48" s="89">
        <v>45992</v>
      </c>
      <c r="L48" s="4">
        <v>2025</v>
      </c>
      <c r="M48" s="4" t="s">
        <v>228</v>
      </c>
      <c r="N48" s="4" t="s">
        <v>516</v>
      </c>
      <c r="O48" s="4" t="s">
        <v>517</v>
      </c>
      <c r="P48" s="7" t="s">
        <v>518</v>
      </c>
      <c r="Q48" s="12" t="s">
        <v>519</v>
      </c>
      <c r="R48" s="4">
        <v>4.5</v>
      </c>
      <c r="S48" s="4" t="s">
        <v>322</v>
      </c>
      <c r="T48" s="4" t="s">
        <v>163</v>
      </c>
      <c r="U48" s="12" t="s">
        <v>520</v>
      </c>
      <c r="V48" s="90"/>
      <c r="W48" s="90"/>
      <c r="X48" s="15"/>
      <c r="Y48" s="90"/>
      <c r="Z48" s="90"/>
    </row>
    <row r="49" spans="1:26" ht="37.5" hidden="1" customHeight="1">
      <c r="A49" s="9" t="s">
        <v>57</v>
      </c>
      <c r="B49" s="9" t="s">
        <v>521</v>
      </c>
      <c r="C49" s="9" t="s">
        <v>80</v>
      </c>
      <c r="D49" s="9" t="s">
        <v>2</v>
      </c>
      <c r="E49" s="9" t="s">
        <v>522</v>
      </c>
      <c r="F49" s="9" t="s">
        <v>523</v>
      </c>
      <c r="G49" s="9" t="s">
        <v>524</v>
      </c>
      <c r="H49" s="9">
        <v>6</v>
      </c>
      <c r="I49" s="9">
        <v>3</v>
      </c>
      <c r="J49" s="100">
        <v>45671</v>
      </c>
      <c r="K49" s="126">
        <v>45931</v>
      </c>
      <c r="L49" s="9">
        <v>2025</v>
      </c>
      <c r="M49" s="9" t="s">
        <v>228</v>
      </c>
      <c r="N49" s="18"/>
      <c r="O49" s="9" t="s">
        <v>525</v>
      </c>
      <c r="P49" s="10" t="s">
        <v>526</v>
      </c>
      <c r="Q49" s="10" t="s">
        <v>527</v>
      </c>
      <c r="R49" s="18"/>
      <c r="S49" s="9" t="s">
        <v>322</v>
      </c>
      <c r="T49" s="9" t="s">
        <v>332</v>
      </c>
      <c r="U49" s="13" t="s">
        <v>528</v>
      </c>
      <c r="V49" s="127"/>
      <c r="W49" s="127"/>
      <c r="X49" s="14"/>
      <c r="Y49" s="13"/>
      <c r="Z49" s="127"/>
    </row>
    <row r="50" spans="1:26" ht="37.5" hidden="1" customHeight="1">
      <c r="A50" s="4" t="s">
        <v>57</v>
      </c>
      <c r="B50" s="4" t="s">
        <v>109</v>
      </c>
      <c r="C50" s="4" t="s">
        <v>80</v>
      </c>
      <c r="D50" s="4" t="s">
        <v>2</v>
      </c>
      <c r="E50" s="4" t="s">
        <v>529</v>
      </c>
      <c r="F50" s="4" t="s">
        <v>530</v>
      </c>
      <c r="G50" s="4" t="s">
        <v>524</v>
      </c>
      <c r="H50" s="4">
        <v>6</v>
      </c>
      <c r="I50" s="4">
        <v>3</v>
      </c>
      <c r="J50" s="99">
        <v>45673</v>
      </c>
      <c r="K50" s="89">
        <v>45932</v>
      </c>
      <c r="L50" s="4">
        <v>2025</v>
      </c>
      <c r="M50" s="4" t="s">
        <v>228</v>
      </c>
      <c r="N50" s="17"/>
      <c r="O50" s="4" t="s">
        <v>525</v>
      </c>
      <c r="P50" s="12" t="s">
        <v>531</v>
      </c>
      <c r="Q50" s="7" t="s">
        <v>532</v>
      </c>
      <c r="R50" s="17"/>
      <c r="S50" s="4" t="s">
        <v>322</v>
      </c>
      <c r="T50" s="4" t="s">
        <v>332</v>
      </c>
      <c r="U50" s="12" t="s">
        <v>533</v>
      </c>
      <c r="V50" s="90"/>
      <c r="W50" s="90"/>
      <c r="X50" s="15"/>
      <c r="Y50" s="12"/>
      <c r="Z50" s="90"/>
    </row>
    <row r="51" spans="1:26" ht="37.5" hidden="1" customHeight="1">
      <c r="A51" s="9" t="s">
        <v>57</v>
      </c>
      <c r="B51" s="9" t="s">
        <v>534</v>
      </c>
      <c r="C51" s="9" t="s">
        <v>80</v>
      </c>
      <c r="D51" s="9" t="s">
        <v>2</v>
      </c>
      <c r="E51" s="9" t="s">
        <v>535</v>
      </c>
      <c r="F51" s="9" t="s">
        <v>536</v>
      </c>
      <c r="G51" s="9" t="s">
        <v>537</v>
      </c>
      <c r="H51" s="9">
        <v>7</v>
      </c>
      <c r="I51" s="9">
        <v>7</v>
      </c>
      <c r="J51" s="100">
        <v>46043</v>
      </c>
      <c r="K51" s="126">
        <v>46023</v>
      </c>
      <c r="L51" s="9">
        <v>2026</v>
      </c>
      <c r="M51" s="9" t="s">
        <v>228</v>
      </c>
      <c r="N51" s="18"/>
      <c r="O51" s="9" t="s">
        <v>525</v>
      </c>
      <c r="P51" s="10" t="s">
        <v>538</v>
      </c>
      <c r="Q51" s="44" t="s">
        <v>539</v>
      </c>
      <c r="R51" s="18"/>
      <c r="S51" s="9" t="s">
        <v>377</v>
      </c>
      <c r="T51" s="9" t="s">
        <v>332</v>
      </c>
      <c r="U51" s="44" t="s">
        <v>540</v>
      </c>
      <c r="V51" s="127"/>
      <c r="W51" s="127"/>
      <c r="X51" s="14"/>
      <c r="Y51" s="13"/>
      <c r="Z51" s="127"/>
    </row>
    <row r="52" spans="1:26" ht="37.5" hidden="1" customHeight="1">
      <c r="A52" s="4" t="s">
        <v>19</v>
      </c>
      <c r="B52" s="4" t="s">
        <v>110</v>
      </c>
      <c r="C52" s="4" t="s">
        <v>67</v>
      </c>
      <c r="D52" s="4" t="s">
        <v>6</v>
      </c>
      <c r="E52" s="4" t="s">
        <v>187</v>
      </c>
      <c r="F52" s="4" t="s">
        <v>188</v>
      </c>
      <c r="G52" s="4" t="s">
        <v>253</v>
      </c>
      <c r="H52" s="4">
        <v>12</v>
      </c>
      <c r="I52" s="4" t="s">
        <v>207</v>
      </c>
      <c r="J52" s="4" t="s">
        <v>541</v>
      </c>
      <c r="K52" s="75">
        <v>45842</v>
      </c>
      <c r="L52" s="4">
        <v>2025</v>
      </c>
      <c r="M52" s="4" t="s">
        <v>180</v>
      </c>
      <c r="N52" s="4" t="s">
        <v>190</v>
      </c>
      <c r="O52" s="128" t="s">
        <v>191</v>
      </c>
      <c r="P52" s="129" t="s">
        <v>192</v>
      </c>
      <c r="Q52" s="12" t="s">
        <v>542</v>
      </c>
      <c r="R52" s="4">
        <v>6.4</v>
      </c>
      <c r="S52" s="4" t="s">
        <v>162</v>
      </c>
      <c r="T52" s="4" t="s">
        <v>163</v>
      </c>
      <c r="U52" s="12" t="s">
        <v>543</v>
      </c>
      <c r="V52" s="15"/>
      <c r="W52" s="15"/>
      <c r="X52" s="54"/>
      <c r="Y52" s="54"/>
      <c r="Z52" s="54"/>
    </row>
    <row r="53" spans="1:26" ht="37.5" hidden="1" customHeight="1">
      <c r="A53" s="9" t="s">
        <v>19</v>
      </c>
      <c r="B53" s="9" t="s">
        <v>110</v>
      </c>
      <c r="C53" s="9" t="s">
        <v>67</v>
      </c>
      <c r="D53" s="9" t="s">
        <v>6</v>
      </c>
      <c r="E53" s="9" t="s">
        <v>19</v>
      </c>
      <c r="F53" s="9" t="s">
        <v>544</v>
      </c>
      <c r="G53" s="9" t="s">
        <v>545</v>
      </c>
      <c r="H53" s="9">
        <v>1</v>
      </c>
      <c r="I53" s="9">
        <v>3</v>
      </c>
      <c r="J53" s="100">
        <v>45664</v>
      </c>
      <c r="K53" s="130">
        <v>45872</v>
      </c>
      <c r="L53" s="9">
        <v>2025</v>
      </c>
      <c r="M53" s="9" t="s">
        <v>433</v>
      </c>
      <c r="N53" s="9" t="s">
        <v>473</v>
      </c>
      <c r="O53" s="9" t="s">
        <v>359</v>
      </c>
      <c r="P53" s="12" t="s">
        <v>546</v>
      </c>
      <c r="Q53" s="13" t="s">
        <v>547</v>
      </c>
      <c r="R53" s="9" t="s">
        <v>548</v>
      </c>
      <c r="S53" s="9" t="s">
        <v>223</v>
      </c>
      <c r="T53" s="9" t="s">
        <v>359</v>
      </c>
      <c r="U53" s="13" t="s">
        <v>549</v>
      </c>
      <c r="V53" s="9"/>
      <c r="W53" s="9"/>
      <c r="X53" s="16"/>
      <c r="Y53" s="16"/>
      <c r="Z53" s="16"/>
    </row>
    <row r="54" spans="1:26" ht="37.5" hidden="1" customHeight="1">
      <c r="A54" s="59" t="s">
        <v>19</v>
      </c>
      <c r="B54" s="59" t="s">
        <v>110</v>
      </c>
      <c r="C54" s="59" t="s">
        <v>67</v>
      </c>
      <c r="D54" s="59" t="s">
        <v>6</v>
      </c>
      <c r="E54" s="59" t="s">
        <v>19</v>
      </c>
      <c r="F54" s="59" t="s">
        <v>550</v>
      </c>
      <c r="G54" s="59" t="s">
        <v>551</v>
      </c>
      <c r="H54" s="59">
        <v>1</v>
      </c>
      <c r="I54" s="59">
        <v>2</v>
      </c>
      <c r="J54" s="59" t="s">
        <v>552</v>
      </c>
      <c r="K54" s="59" t="s">
        <v>553</v>
      </c>
      <c r="L54" s="59">
        <v>2025</v>
      </c>
      <c r="M54" s="59" t="s">
        <v>433</v>
      </c>
      <c r="N54" s="59" t="s">
        <v>473</v>
      </c>
      <c r="O54" s="59" t="s">
        <v>359</v>
      </c>
      <c r="P54" s="60" t="s">
        <v>554</v>
      </c>
      <c r="Q54" s="60" t="s">
        <v>555</v>
      </c>
      <c r="R54" s="59" t="s">
        <v>359</v>
      </c>
      <c r="S54" s="59" t="s">
        <v>322</v>
      </c>
      <c r="T54" s="59" t="s">
        <v>359</v>
      </c>
      <c r="U54" s="60" t="s">
        <v>556</v>
      </c>
      <c r="V54" s="59"/>
      <c r="W54" s="59"/>
      <c r="X54" s="103"/>
      <c r="Y54" s="103"/>
      <c r="Z54" s="103"/>
    </row>
    <row r="55" spans="1:26" ht="37.5" hidden="1" customHeight="1">
      <c r="A55" s="59" t="s">
        <v>19</v>
      </c>
      <c r="B55" s="59" t="s">
        <v>110</v>
      </c>
      <c r="C55" s="59" t="s">
        <v>67</v>
      </c>
      <c r="D55" s="59" t="s">
        <v>6</v>
      </c>
      <c r="E55" s="59" t="s">
        <v>19</v>
      </c>
      <c r="F55" s="59" t="s">
        <v>557</v>
      </c>
      <c r="G55" s="59" t="s">
        <v>558</v>
      </c>
      <c r="H55" s="59">
        <v>13</v>
      </c>
      <c r="I55" s="59">
        <v>3</v>
      </c>
      <c r="J55" s="131">
        <v>45675</v>
      </c>
      <c r="K55" s="59" t="s">
        <v>559</v>
      </c>
      <c r="L55" s="59">
        <v>2025</v>
      </c>
      <c r="M55" s="59" t="s">
        <v>433</v>
      </c>
      <c r="N55" s="59" t="s">
        <v>473</v>
      </c>
      <c r="O55" s="59" t="s">
        <v>548</v>
      </c>
      <c r="P55" s="60" t="s">
        <v>560</v>
      </c>
      <c r="Q55" s="63" t="s">
        <v>561</v>
      </c>
      <c r="R55" s="59">
        <v>5.7610000000000001</v>
      </c>
      <c r="S55" s="59" t="s">
        <v>162</v>
      </c>
      <c r="T55" s="59" t="s">
        <v>562</v>
      </c>
      <c r="U55" s="60" t="s">
        <v>563</v>
      </c>
      <c r="V55" s="59"/>
      <c r="W55" s="59"/>
      <c r="X55" s="103"/>
      <c r="Y55" s="103"/>
      <c r="Z55" s="103"/>
    </row>
    <row r="56" spans="1:26" ht="37.5" hidden="1" customHeight="1">
      <c r="A56" s="66" t="s">
        <v>19</v>
      </c>
      <c r="B56" s="66" t="s">
        <v>110</v>
      </c>
      <c r="C56" s="66" t="s">
        <v>67</v>
      </c>
      <c r="D56" s="66" t="s">
        <v>6</v>
      </c>
      <c r="E56" s="66" t="s">
        <v>335</v>
      </c>
      <c r="F56" s="23" t="s">
        <v>336</v>
      </c>
      <c r="G56" s="23" t="s">
        <v>337</v>
      </c>
      <c r="H56" s="23">
        <v>15</v>
      </c>
      <c r="I56" s="23">
        <v>3</v>
      </c>
      <c r="J56" s="23" t="s">
        <v>338</v>
      </c>
      <c r="K56" s="132">
        <v>45708</v>
      </c>
      <c r="L56" s="23">
        <v>2025</v>
      </c>
      <c r="M56" s="133" t="s">
        <v>180</v>
      </c>
      <c r="N56" s="133" t="s">
        <v>339</v>
      </c>
      <c r="O56" s="133" t="s">
        <v>340</v>
      </c>
      <c r="P56" s="134" t="s">
        <v>564</v>
      </c>
      <c r="Q56" s="134" t="s">
        <v>342</v>
      </c>
      <c r="R56" s="133">
        <v>3.4</v>
      </c>
      <c r="S56" s="133" t="s">
        <v>162</v>
      </c>
      <c r="T56" s="133" t="s">
        <v>163</v>
      </c>
      <c r="U56" s="134" t="s">
        <v>343</v>
      </c>
      <c r="V56" s="83"/>
      <c r="W56" s="83"/>
      <c r="X56" s="78"/>
      <c r="Y56" s="78"/>
      <c r="Z56" s="78"/>
    </row>
    <row r="57" spans="1:26" ht="37.5" hidden="1" customHeight="1">
      <c r="A57" s="59" t="s">
        <v>19</v>
      </c>
      <c r="B57" s="59" t="s">
        <v>110</v>
      </c>
      <c r="C57" s="59" t="s">
        <v>67</v>
      </c>
      <c r="D57" s="59" t="s">
        <v>6</v>
      </c>
      <c r="E57" s="59" t="s">
        <v>565</v>
      </c>
      <c r="F57" s="59" t="s">
        <v>566</v>
      </c>
      <c r="G57" s="59" t="s">
        <v>353</v>
      </c>
      <c r="H57" s="59">
        <v>16</v>
      </c>
      <c r="I57" s="59">
        <v>1</v>
      </c>
      <c r="J57" s="59" t="s">
        <v>567</v>
      </c>
      <c r="K57" s="125" t="s">
        <v>568</v>
      </c>
      <c r="L57" s="59">
        <v>2025</v>
      </c>
      <c r="M57" s="59" t="s">
        <v>433</v>
      </c>
      <c r="N57" s="59" t="s">
        <v>473</v>
      </c>
      <c r="O57" s="59" t="s">
        <v>356</v>
      </c>
      <c r="P57" s="60" t="s">
        <v>569</v>
      </c>
      <c r="Q57" s="60" t="s">
        <v>570</v>
      </c>
      <c r="R57" s="59" t="s">
        <v>359</v>
      </c>
      <c r="S57" s="59" t="s">
        <v>322</v>
      </c>
      <c r="T57" s="59" t="s">
        <v>359</v>
      </c>
      <c r="U57" s="135" t="s">
        <v>359</v>
      </c>
      <c r="V57" s="65"/>
      <c r="W57" s="65"/>
      <c r="X57" s="136"/>
      <c r="Y57" s="136"/>
      <c r="Z57" s="136"/>
    </row>
    <row r="58" spans="1:26" ht="37.5" customHeight="1"/>
    <row r="59" spans="1:26" ht="37.5" customHeight="1">
      <c r="A59" s="9" t="s">
        <v>52</v>
      </c>
      <c r="B59" s="9" t="s">
        <v>571</v>
      </c>
      <c r="C59" s="9" t="s">
        <v>70</v>
      </c>
      <c r="D59" s="4" t="s">
        <v>5</v>
      </c>
      <c r="E59" s="9" t="s">
        <v>187</v>
      </c>
      <c r="F59" s="9" t="s">
        <v>188</v>
      </c>
      <c r="G59" s="4" t="s">
        <v>253</v>
      </c>
      <c r="H59" s="9">
        <v>12</v>
      </c>
      <c r="I59" s="9" t="s">
        <v>207</v>
      </c>
      <c r="J59" s="9" t="s">
        <v>541</v>
      </c>
      <c r="K59" s="58">
        <v>45842</v>
      </c>
      <c r="L59" s="9">
        <v>2025</v>
      </c>
      <c r="M59" s="9" t="s">
        <v>180</v>
      </c>
      <c r="N59" s="9" t="s">
        <v>190</v>
      </c>
      <c r="O59" s="128" t="s">
        <v>191</v>
      </c>
      <c r="P59" s="137" t="s">
        <v>192</v>
      </c>
      <c r="Q59" s="13" t="s">
        <v>542</v>
      </c>
      <c r="R59" s="9">
        <v>6.4</v>
      </c>
      <c r="S59" s="9" t="s">
        <v>162</v>
      </c>
      <c r="T59" s="9" t="s">
        <v>163</v>
      </c>
      <c r="U59" s="13" t="s">
        <v>543</v>
      </c>
      <c r="V59" s="14"/>
      <c r="W59" s="92"/>
      <c r="X59" s="55"/>
      <c r="Y59" s="55"/>
      <c r="Z59" s="55"/>
    </row>
    <row r="60" spans="1:26" ht="37.5" customHeight="1">
      <c r="A60" s="4" t="s">
        <v>52</v>
      </c>
      <c r="B60" s="4" t="s">
        <v>571</v>
      </c>
      <c r="C60" s="4" t="s">
        <v>70</v>
      </c>
      <c r="D60" s="4" t="s">
        <v>5</v>
      </c>
      <c r="E60" s="4" t="s">
        <v>572</v>
      </c>
      <c r="F60" s="4" t="s">
        <v>573</v>
      </c>
      <c r="G60" s="4" t="s">
        <v>574</v>
      </c>
      <c r="H60" s="4">
        <v>76</v>
      </c>
      <c r="I60" s="4" t="s">
        <v>575</v>
      </c>
      <c r="J60" s="4" t="s">
        <v>576</v>
      </c>
      <c r="K60" s="24">
        <v>45827</v>
      </c>
      <c r="L60" s="4">
        <v>2025</v>
      </c>
      <c r="M60" s="4" t="s">
        <v>180</v>
      </c>
      <c r="N60" s="4" t="s">
        <v>577</v>
      </c>
      <c r="O60" s="4" t="s">
        <v>578</v>
      </c>
      <c r="P60" s="12" t="s">
        <v>579</v>
      </c>
      <c r="Q60" s="12" t="s">
        <v>580</v>
      </c>
      <c r="R60" s="4">
        <v>1.2</v>
      </c>
      <c r="S60" s="4" t="s">
        <v>162</v>
      </c>
      <c r="T60" s="4" t="s">
        <v>332</v>
      </c>
      <c r="U60" s="12" t="s">
        <v>581</v>
      </c>
      <c r="V60" s="15"/>
      <c r="W60" s="73"/>
      <c r="X60" s="15"/>
      <c r="Y60" s="54"/>
      <c r="Z60" s="54"/>
    </row>
    <row r="61" spans="1:26" ht="37.5" customHeight="1">
      <c r="A61" s="9" t="s">
        <v>56</v>
      </c>
      <c r="B61" s="4" t="s">
        <v>122</v>
      </c>
      <c r="C61" s="9" t="s">
        <v>76</v>
      </c>
      <c r="D61" s="9" t="s">
        <v>3</v>
      </c>
      <c r="E61" s="9" t="s">
        <v>582</v>
      </c>
      <c r="F61" s="4" t="s">
        <v>583</v>
      </c>
      <c r="G61" s="4" t="s">
        <v>189</v>
      </c>
      <c r="H61" s="9">
        <v>7</v>
      </c>
      <c r="I61" s="9">
        <v>1</v>
      </c>
      <c r="J61" s="100">
        <v>45671</v>
      </c>
      <c r="K61" s="104">
        <v>45870</v>
      </c>
      <c r="L61" s="9">
        <v>2025</v>
      </c>
      <c r="M61" s="9" t="s">
        <v>584</v>
      </c>
      <c r="N61" s="9" t="s">
        <v>585</v>
      </c>
      <c r="O61" s="9" t="s">
        <v>586</v>
      </c>
      <c r="P61" s="12" t="s">
        <v>587</v>
      </c>
      <c r="Q61" s="10" t="s">
        <v>588</v>
      </c>
      <c r="R61" s="9">
        <v>2.1</v>
      </c>
      <c r="S61" s="9" t="s">
        <v>223</v>
      </c>
      <c r="T61" s="9" t="s">
        <v>185</v>
      </c>
      <c r="U61" s="13" t="s">
        <v>589</v>
      </c>
      <c r="V61" s="14"/>
      <c r="W61" s="55"/>
      <c r="X61" s="55"/>
      <c r="Y61" s="55"/>
      <c r="Z61" s="55"/>
    </row>
    <row r="62" spans="1:26" ht="37.5" customHeight="1">
      <c r="A62" s="4" t="s">
        <v>56</v>
      </c>
      <c r="B62" s="25" t="s">
        <v>122</v>
      </c>
      <c r="C62" s="4" t="s">
        <v>76</v>
      </c>
      <c r="D62" s="4" t="s">
        <v>3</v>
      </c>
      <c r="E62" s="7" t="s">
        <v>590</v>
      </c>
      <c r="F62" s="4" t="s">
        <v>591</v>
      </c>
      <c r="G62" s="4" t="s">
        <v>592</v>
      </c>
      <c r="H62" s="4">
        <v>26</v>
      </c>
      <c r="I62" s="25">
        <v>11</v>
      </c>
      <c r="J62" s="138">
        <v>45671</v>
      </c>
      <c r="K62" s="102">
        <v>45809</v>
      </c>
      <c r="L62" s="25">
        <v>2025</v>
      </c>
      <c r="M62" s="4" t="s">
        <v>412</v>
      </c>
      <c r="N62" s="4" t="s">
        <v>238</v>
      </c>
      <c r="O62" s="4" t="s">
        <v>593</v>
      </c>
      <c r="P62" s="7" t="s">
        <v>594</v>
      </c>
      <c r="Q62" s="12" t="s">
        <v>595</v>
      </c>
      <c r="R62" s="4">
        <v>5.6</v>
      </c>
      <c r="S62" s="25" t="s">
        <v>223</v>
      </c>
      <c r="T62" s="4" t="s">
        <v>163</v>
      </c>
      <c r="U62" s="139" t="s">
        <v>589</v>
      </c>
      <c r="V62" s="15"/>
      <c r="W62" s="54"/>
      <c r="X62" s="54"/>
      <c r="Y62" s="54"/>
      <c r="Z62" s="54"/>
    </row>
    <row r="63" spans="1:26" ht="37.5" customHeight="1">
      <c r="A63" s="9" t="s">
        <v>13</v>
      </c>
      <c r="B63" s="9" t="s">
        <v>126</v>
      </c>
      <c r="C63" s="9" t="s">
        <v>67</v>
      </c>
      <c r="D63" s="9" t="s">
        <v>0</v>
      </c>
      <c r="E63" s="9" t="s">
        <v>596</v>
      </c>
      <c r="F63" s="37" t="s">
        <v>597</v>
      </c>
      <c r="G63" s="9" t="s">
        <v>598</v>
      </c>
      <c r="H63" s="9">
        <v>13</v>
      </c>
      <c r="I63" s="18"/>
      <c r="J63" s="18"/>
      <c r="K63" s="9" t="s">
        <v>168</v>
      </c>
      <c r="L63" s="9">
        <v>2025</v>
      </c>
      <c r="M63" s="9" t="s">
        <v>180</v>
      </c>
      <c r="N63" s="9" t="s">
        <v>448</v>
      </c>
      <c r="O63" s="9" t="s">
        <v>599</v>
      </c>
      <c r="P63" s="13" t="s">
        <v>600</v>
      </c>
      <c r="Q63" s="13" t="s">
        <v>601</v>
      </c>
      <c r="R63" s="9">
        <v>3.9</v>
      </c>
      <c r="S63" s="9" t="s">
        <v>242</v>
      </c>
      <c r="T63" s="9" t="s">
        <v>163</v>
      </c>
      <c r="U63" s="13" t="s">
        <v>602</v>
      </c>
      <c r="V63" s="55"/>
      <c r="W63" s="14"/>
      <c r="X63" s="14"/>
      <c r="Y63" s="55"/>
      <c r="Z63" s="55"/>
    </row>
    <row r="64" spans="1:26" ht="37.5" customHeight="1">
      <c r="A64" s="59" t="s">
        <v>19</v>
      </c>
      <c r="B64" s="59" t="s">
        <v>110</v>
      </c>
      <c r="C64" s="59" t="s">
        <v>67</v>
      </c>
      <c r="D64" s="59" t="s">
        <v>6</v>
      </c>
      <c r="E64" s="59" t="s">
        <v>19</v>
      </c>
      <c r="F64" s="59" t="s">
        <v>603</v>
      </c>
      <c r="G64" s="140" t="s">
        <v>604</v>
      </c>
      <c r="H64" s="59">
        <v>13</v>
      </c>
      <c r="I64" s="59">
        <v>3</v>
      </c>
      <c r="J64" s="59" t="s">
        <v>605</v>
      </c>
      <c r="K64" s="125" t="s">
        <v>559</v>
      </c>
      <c r="L64" s="59">
        <v>2025</v>
      </c>
      <c r="M64" s="59" t="s">
        <v>433</v>
      </c>
      <c r="N64" s="59" t="s">
        <v>473</v>
      </c>
      <c r="O64" s="59" t="s">
        <v>606</v>
      </c>
      <c r="P64" s="60" t="s">
        <v>607</v>
      </c>
      <c r="Q64" s="60" t="s">
        <v>608</v>
      </c>
      <c r="R64" s="59" t="s">
        <v>359</v>
      </c>
      <c r="S64" s="59" t="s">
        <v>359</v>
      </c>
      <c r="T64" s="59" t="s">
        <v>359</v>
      </c>
      <c r="U64" s="135" t="s">
        <v>359</v>
      </c>
      <c r="V64" s="65"/>
      <c r="W64" s="65"/>
      <c r="X64" s="136"/>
      <c r="Y64" s="136"/>
      <c r="Z64" s="136"/>
    </row>
    <row r="65" spans="1:26" ht="15.75" customHeight="1">
      <c r="A65" s="3" t="s">
        <v>609</v>
      </c>
      <c r="B65" s="3" t="s">
        <v>69</v>
      </c>
      <c r="C65" s="3" t="s">
        <v>84</v>
      </c>
      <c r="D65" s="30" t="s">
        <v>7</v>
      </c>
      <c r="E65" s="141" t="s">
        <v>610</v>
      </c>
      <c r="F65" s="141" t="s">
        <v>611</v>
      </c>
      <c r="G65" s="3" t="s">
        <v>612</v>
      </c>
      <c r="H65" s="142">
        <v>332</v>
      </c>
      <c r="I65" s="142">
        <v>114927</v>
      </c>
      <c r="J65" s="143">
        <v>46048</v>
      </c>
      <c r="K65" s="142" t="s">
        <v>613</v>
      </c>
      <c r="L65" s="142">
        <v>2025</v>
      </c>
      <c r="M65" s="142" t="s">
        <v>180</v>
      </c>
      <c r="N65" s="39" t="s">
        <v>238</v>
      </c>
      <c r="O65" s="144" t="s">
        <v>614</v>
      </c>
      <c r="P65" s="145" t="s">
        <v>615</v>
      </c>
      <c r="Q65" s="146" t="s">
        <v>616</v>
      </c>
      <c r="R65" s="142">
        <v>7.6</v>
      </c>
      <c r="S65" s="3" t="s">
        <v>359</v>
      </c>
      <c r="T65" s="3" t="s">
        <v>163</v>
      </c>
      <c r="U65" s="146" t="s">
        <v>617</v>
      </c>
      <c r="V65" s="147"/>
      <c r="W65" s="3"/>
      <c r="X65" s="1"/>
      <c r="Y65" s="3"/>
      <c r="Z65" s="3"/>
    </row>
    <row r="66" spans="1:26" ht="47.25" customHeight="1">
      <c r="A66" s="148" t="s">
        <v>619</v>
      </c>
      <c r="B66" s="148" t="s">
        <v>620</v>
      </c>
      <c r="C66" s="4" t="s">
        <v>67</v>
      </c>
      <c r="D66" s="4" t="s">
        <v>3</v>
      </c>
      <c r="E66" s="4" t="s">
        <v>439</v>
      </c>
      <c r="F66" s="4" t="s">
        <v>440</v>
      </c>
      <c r="G66" s="4" t="s">
        <v>156</v>
      </c>
      <c r="H66" s="4">
        <v>15</v>
      </c>
      <c r="I66" s="26"/>
      <c r="J66" s="99">
        <v>45672</v>
      </c>
      <c r="K66" s="37" t="s">
        <v>364</v>
      </c>
      <c r="L66" s="4">
        <v>2025</v>
      </c>
      <c r="M66" s="4" t="s">
        <v>157</v>
      </c>
      <c r="N66" s="4" t="s">
        <v>158</v>
      </c>
      <c r="O66" s="4" t="s">
        <v>159</v>
      </c>
      <c r="P66" s="7" t="s">
        <v>441</v>
      </c>
      <c r="Q66" s="7" t="s">
        <v>442</v>
      </c>
      <c r="R66" s="4">
        <v>3.9</v>
      </c>
      <c r="S66" s="4" t="s">
        <v>162</v>
      </c>
      <c r="T66" s="4" t="s">
        <v>163</v>
      </c>
      <c r="U66" s="12" t="s">
        <v>621</v>
      </c>
      <c r="V66" s="15"/>
      <c r="W66" s="15"/>
      <c r="X66" s="91"/>
      <c r="Y66" s="91"/>
      <c r="Z66" s="26"/>
    </row>
    <row r="67" spans="1:26" ht="15.75" customHeight="1">
      <c r="A67" s="5" t="s">
        <v>58</v>
      </c>
      <c r="B67" s="5" t="s">
        <v>622</v>
      </c>
      <c r="C67" s="5" t="s">
        <v>70</v>
      </c>
      <c r="D67" s="5" t="s">
        <v>1</v>
      </c>
      <c r="E67" s="149" t="s">
        <v>623</v>
      </c>
      <c r="F67" s="150" t="s">
        <v>624</v>
      </c>
      <c r="G67" s="150" t="s">
        <v>625</v>
      </c>
      <c r="H67" s="150">
        <v>9</v>
      </c>
      <c r="I67" s="150">
        <v>127224</v>
      </c>
      <c r="J67" s="151"/>
      <c r="K67" s="152" t="s">
        <v>626</v>
      </c>
      <c r="L67" s="150">
        <v>2026</v>
      </c>
      <c r="M67" s="150" t="s">
        <v>627</v>
      </c>
      <c r="N67" s="150" t="s">
        <v>238</v>
      </c>
      <c r="O67" s="150" t="s">
        <v>628</v>
      </c>
      <c r="P67" s="153" t="s">
        <v>629</v>
      </c>
      <c r="Q67" s="154"/>
      <c r="R67" s="150">
        <v>2.5</v>
      </c>
      <c r="S67" s="150" t="s">
        <v>162</v>
      </c>
      <c r="T67" s="150" t="s">
        <v>163</v>
      </c>
      <c r="U67" s="155" t="s">
        <v>630</v>
      </c>
      <c r="V67" s="150"/>
      <c r="W67" s="150"/>
      <c r="X67" s="150"/>
      <c r="Y67" s="151"/>
      <c r="Z67" s="151"/>
    </row>
    <row r="68" spans="1:26" ht="15.75" customHeight="1">
      <c r="A68" s="5" t="s">
        <v>631</v>
      </c>
      <c r="B68" s="5" t="s">
        <v>83</v>
      </c>
      <c r="C68" s="5" t="s">
        <v>70</v>
      </c>
      <c r="D68" s="5" t="s">
        <v>4</v>
      </c>
      <c r="E68" s="149" t="s">
        <v>632</v>
      </c>
      <c r="F68" s="150" t="s">
        <v>633</v>
      </c>
      <c r="G68" s="150" t="s">
        <v>156</v>
      </c>
      <c r="H68" s="151"/>
      <c r="I68" s="151"/>
      <c r="J68" s="151"/>
      <c r="K68" s="152" t="s">
        <v>634</v>
      </c>
      <c r="L68" s="150">
        <v>2025</v>
      </c>
      <c r="M68" s="150" t="s">
        <v>180</v>
      </c>
      <c r="N68" s="150" t="s">
        <v>635</v>
      </c>
      <c r="O68" s="150" t="s">
        <v>636</v>
      </c>
      <c r="P68" s="156" t="s">
        <v>637</v>
      </c>
      <c r="Q68" s="156" t="s">
        <v>638</v>
      </c>
      <c r="R68" s="150">
        <v>3.9</v>
      </c>
      <c r="S68" s="150" t="s">
        <v>162</v>
      </c>
      <c r="T68" s="150" t="s">
        <v>163</v>
      </c>
      <c r="U68" s="155" t="s">
        <v>639</v>
      </c>
      <c r="V68" s="150"/>
      <c r="W68" s="150"/>
      <c r="X68" s="150"/>
      <c r="Y68" s="150"/>
      <c r="Z68" s="150"/>
    </row>
    <row r="69" spans="1:26" ht="15.75" customHeight="1">
      <c r="A69" s="5" t="s">
        <v>631</v>
      </c>
      <c r="B69" s="5" t="s">
        <v>83</v>
      </c>
      <c r="C69" s="5" t="s">
        <v>70</v>
      </c>
      <c r="D69" s="5" t="s">
        <v>4</v>
      </c>
      <c r="E69" s="149" t="s">
        <v>640</v>
      </c>
      <c r="F69" s="150" t="s">
        <v>641</v>
      </c>
      <c r="G69" s="150" t="s">
        <v>642</v>
      </c>
      <c r="H69" s="150">
        <v>8</v>
      </c>
      <c r="I69" s="151"/>
      <c r="J69" s="151"/>
      <c r="K69" s="152" t="s">
        <v>613</v>
      </c>
      <c r="L69" s="150">
        <v>2025</v>
      </c>
      <c r="M69" s="150" t="s">
        <v>412</v>
      </c>
      <c r="N69" s="150" t="s">
        <v>214</v>
      </c>
      <c r="O69" s="150" t="s">
        <v>643</v>
      </c>
      <c r="P69" s="157" t="s">
        <v>644</v>
      </c>
      <c r="Q69" s="156" t="s">
        <v>645</v>
      </c>
      <c r="R69" s="150">
        <v>4.7</v>
      </c>
      <c r="S69" s="150" t="s">
        <v>223</v>
      </c>
      <c r="T69" s="150" t="s">
        <v>185</v>
      </c>
      <c r="U69" s="155" t="s">
        <v>646</v>
      </c>
      <c r="V69" s="150"/>
      <c r="W69" s="150"/>
      <c r="X69" s="150"/>
      <c r="Y69" s="150"/>
      <c r="Z69" s="150"/>
    </row>
    <row r="70" spans="1:26" ht="15.75" customHeight="1">
      <c r="A70" s="5" t="s">
        <v>647</v>
      </c>
      <c r="B70" s="158" t="s">
        <v>648</v>
      </c>
      <c r="C70" s="5" t="s">
        <v>70</v>
      </c>
      <c r="D70" s="5" t="s">
        <v>5</v>
      </c>
      <c r="E70" s="149" t="s">
        <v>649</v>
      </c>
      <c r="F70" s="150" t="s">
        <v>650</v>
      </c>
      <c r="G70" s="150" t="s">
        <v>156</v>
      </c>
      <c r="H70" s="151"/>
      <c r="I70" s="151"/>
      <c r="J70" s="151"/>
      <c r="K70" s="152" t="s">
        <v>626</v>
      </c>
      <c r="L70" s="150">
        <v>2026</v>
      </c>
      <c r="M70" s="150" t="s">
        <v>180</v>
      </c>
      <c r="N70" s="150" t="s">
        <v>158</v>
      </c>
      <c r="O70" s="159" t="s">
        <v>636</v>
      </c>
      <c r="P70" s="160" t="s">
        <v>651</v>
      </c>
      <c r="Q70" s="156" t="s">
        <v>652</v>
      </c>
      <c r="R70" s="150">
        <v>3.9</v>
      </c>
      <c r="S70" s="150" t="s">
        <v>162</v>
      </c>
      <c r="T70" s="150" t="s">
        <v>163</v>
      </c>
      <c r="U70" s="155" t="s">
        <v>653</v>
      </c>
      <c r="V70" s="151"/>
      <c r="W70" s="151"/>
      <c r="X70" s="151"/>
      <c r="Y70" s="151"/>
      <c r="Z70" s="151"/>
    </row>
    <row r="71" spans="1:26" ht="15.75" customHeight="1">
      <c r="A71" s="5" t="s">
        <v>654</v>
      </c>
      <c r="B71" s="5" t="s">
        <v>655</v>
      </c>
      <c r="C71" s="5" t="s">
        <v>67</v>
      </c>
      <c r="D71" s="5" t="s">
        <v>656</v>
      </c>
      <c r="E71" s="5" t="s">
        <v>657</v>
      </c>
      <c r="F71" s="150" t="s">
        <v>658</v>
      </c>
      <c r="G71" s="150" t="s">
        <v>156</v>
      </c>
      <c r="I71" s="150">
        <v>15</v>
      </c>
      <c r="J71" s="151"/>
      <c r="K71" s="152" t="s">
        <v>659</v>
      </c>
      <c r="L71" s="150">
        <v>2025</v>
      </c>
      <c r="M71" s="150" t="s">
        <v>180</v>
      </c>
      <c r="N71" s="150" t="s">
        <v>158</v>
      </c>
      <c r="O71" s="161" t="s">
        <v>636</v>
      </c>
      <c r="P71" s="162" t="s">
        <v>660</v>
      </c>
      <c r="Q71" s="156" t="s">
        <v>661</v>
      </c>
      <c r="R71" s="150">
        <v>3.9</v>
      </c>
      <c r="S71" s="150" t="s">
        <v>162</v>
      </c>
      <c r="T71" s="150" t="s">
        <v>163</v>
      </c>
      <c r="U71" s="155" t="s">
        <v>662</v>
      </c>
      <c r="V71" s="151"/>
      <c r="W71" s="151"/>
      <c r="X71" s="151"/>
      <c r="Y71" s="151"/>
      <c r="Z71" s="151"/>
    </row>
    <row r="72" spans="1:26" ht="15.75" customHeight="1">
      <c r="A72" s="163" t="s">
        <v>663</v>
      </c>
      <c r="B72" s="164" t="s">
        <v>334</v>
      </c>
      <c r="C72" s="164" t="s">
        <v>80</v>
      </c>
      <c r="D72" s="164" t="s">
        <v>7</v>
      </c>
      <c r="E72" s="149" t="s">
        <v>632</v>
      </c>
      <c r="F72" s="150" t="s">
        <v>633</v>
      </c>
      <c r="G72" s="150" t="s">
        <v>156</v>
      </c>
      <c r="H72" s="151"/>
      <c r="I72" s="151"/>
      <c r="J72" s="151"/>
      <c r="K72" s="152" t="s">
        <v>634</v>
      </c>
      <c r="L72" s="150">
        <v>2025</v>
      </c>
      <c r="M72" s="150" t="s">
        <v>180</v>
      </c>
      <c r="N72" s="150" t="s">
        <v>635</v>
      </c>
      <c r="O72" s="150" t="s">
        <v>636</v>
      </c>
      <c r="P72" s="156" t="s">
        <v>637</v>
      </c>
      <c r="Q72" s="156" t="s">
        <v>638</v>
      </c>
      <c r="R72" s="150">
        <v>3.9</v>
      </c>
      <c r="S72" s="150" t="s">
        <v>162</v>
      </c>
      <c r="T72" s="150" t="s">
        <v>163</v>
      </c>
      <c r="U72" s="155" t="s">
        <v>639</v>
      </c>
      <c r="V72" s="150"/>
      <c r="W72" s="150"/>
      <c r="X72" s="151"/>
      <c r="Y72" s="150"/>
      <c r="Z72" s="151"/>
    </row>
    <row r="73" spans="1:26" ht="15.75" customHeight="1">
      <c r="A73" s="5" t="s">
        <v>664</v>
      </c>
      <c r="B73" s="164" t="s">
        <v>93</v>
      </c>
      <c r="C73" s="164" t="s">
        <v>80</v>
      </c>
      <c r="D73" s="165" t="s">
        <v>5</v>
      </c>
      <c r="E73" s="166" t="s">
        <v>665</v>
      </c>
      <c r="F73" s="150" t="s">
        <v>666</v>
      </c>
      <c r="G73" s="150" t="s">
        <v>667</v>
      </c>
      <c r="H73" s="150">
        <v>17</v>
      </c>
      <c r="I73" s="150">
        <v>6</v>
      </c>
      <c r="J73" s="150" t="s">
        <v>668</v>
      </c>
      <c r="K73" s="152" t="s">
        <v>634</v>
      </c>
      <c r="L73" s="150">
        <v>2025</v>
      </c>
      <c r="M73" s="150" t="s">
        <v>228</v>
      </c>
      <c r="N73" s="150" t="s">
        <v>669</v>
      </c>
      <c r="O73" s="167" t="s">
        <v>670</v>
      </c>
      <c r="P73" s="168" t="s">
        <v>671</v>
      </c>
      <c r="Q73" s="156" t="s">
        <v>672</v>
      </c>
      <c r="R73" s="151"/>
      <c r="S73" s="150" t="s">
        <v>162</v>
      </c>
      <c r="T73" s="150" t="s">
        <v>332</v>
      </c>
      <c r="U73" s="155" t="s">
        <v>673</v>
      </c>
      <c r="V73" s="150"/>
      <c r="W73" s="150"/>
      <c r="X73" s="150"/>
      <c r="Y73" s="150"/>
      <c r="Z73" s="150"/>
    </row>
    <row r="74" spans="1:26" ht="37.5" customHeight="1">
      <c r="A74" s="30" t="s">
        <v>57</v>
      </c>
      <c r="B74" s="30" t="s">
        <v>534</v>
      </c>
      <c r="C74" s="30" t="s">
        <v>80</v>
      </c>
      <c r="D74" s="30" t="s">
        <v>2</v>
      </c>
      <c r="E74" s="30" t="s">
        <v>535</v>
      </c>
      <c r="F74" s="30" t="s">
        <v>536</v>
      </c>
      <c r="G74" s="30" t="s">
        <v>537</v>
      </c>
      <c r="H74" s="30">
        <v>7</v>
      </c>
      <c r="I74" s="30">
        <v>7</v>
      </c>
      <c r="J74" s="169">
        <v>46043</v>
      </c>
      <c r="K74" s="170">
        <v>46023</v>
      </c>
      <c r="L74" s="30">
        <v>2026</v>
      </c>
      <c r="M74" s="30" t="s">
        <v>228</v>
      </c>
      <c r="N74" s="171"/>
      <c r="O74" s="30" t="s">
        <v>525</v>
      </c>
      <c r="P74" s="40" t="s">
        <v>674</v>
      </c>
      <c r="Q74" s="172" t="s">
        <v>539</v>
      </c>
      <c r="R74" s="171"/>
      <c r="S74" s="30" t="s">
        <v>377</v>
      </c>
      <c r="T74" s="30" t="s">
        <v>332</v>
      </c>
      <c r="U74" s="172" t="s">
        <v>540</v>
      </c>
      <c r="V74" s="173"/>
      <c r="W74" s="173"/>
      <c r="X74" s="174"/>
      <c r="Y74" s="31"/>
      <c r="Z74" s="173"/>
    </row>
    <row r="75" spans="1:26" ht="37.5" customHeight="1">
      <c r="A75" s="30" t="s">
        <v>675</v>
      </c>
      <c r="B75" s="30" t="s">
        <v>97</v>
      </c>
      <c r="C75" s="30" t="s">
        <v>67</v>
      </c>
      <c r="D75" s="4" t="s">
        <v>5</v>
      </c>
      <c r="E75" s="33" t="s">
        <v>676</v>
      </c>
      <c r="F75" s="39" t="s">
        <v>677</v>
      </c>
      <c r="G75" s="33" t="s">
        <v>678</v>
      </c>
      <c r="H75" s="30"/>
      <c r="I75" s="30"/>
      <c r="J75" s="175">
        <v>46042</v>
      </c>
      <c r="K75" s="39" t="s">
        <v>626</v>
      </c>
      <c r="L75" s="30">
        <v>2026</v>
      </c>
      <c r="M75" s="30" t="s">
        <v>228</v>
      </c>
      <c r="N75" s="176" t="s">
        <v>679</v>
      </c>
      <c r="O75" s="30">
        <v>14759217</v>
      </c>
      <c r="P75" s="177" t="s">
        <v>680</v>
      </c>
      <c r="Q75" s="31" t="s">
        <v>681</v>
      </c>
      <c r="R75" s="30">
        <v>5.7</v>
      </c>
      <c r="S75" s="30" t="s">
        <v>162</v>
      </c>
      <c r="T75" s="30" t="s">
        <v>163</v>
      </c>
      <c r="U75" s="31" t="s">
        <v>682</v>
      </c>
      <c r="V75" s="174"/>
      <c r="W75" s="178"/>
      <c r="X75" s="179"/>
      <c r="Y75" s="179"/>
      <c r="Z75" s="179"/>
    </row>
    <row r="76" spans="1:26" ht="15.75" customHeight="1">
      <c r="A76" s="180" t="s">
        <v>664</v>
      </c>
      <c r="B76" s="180" t="s">
        <v>93</v>
      </c>
      <c r="C76" s="180" t="s">
        <v>80</v>
      </c>
      <c r="D76" s="4" t="s">
        <v>5</v>
      </c>
      <c r="E76" s="180" t="s">
        <v>683</v>
      </c>
      <c r="F76" s="150" t="s">
        <v>684</v>
      </c>
      <c r="G76" s="180" t="s">
        <v>685</v>
      </c>
      <c r="H76" s="180">
        <v>37</v>
      </c>
      <c r="I76" s="180">
        <v>2</v>
      </c>
      <c r="J76" s="181">
        <v>46040</v>
      </c>
      <c r="K76" s="182">
        <v>46054</v>
      </c>
      <c r="L76" s="180">
        <v>2026</v>
      </c>
      <c r="M76" s="180" t="s">
        <v>180</v>
      </c>
      <c r="N76" s="183" t="s">
        <v>686</v>
      </c>
      <c r="O76" s="184" t="s">
        <v>687</v>
      </c>
      <c r="P76" s="185" t="s">
        <v>688</v>
      </c>
      <c r="Q76" s="186" t="s">
        <v>689</v>
      </c>
      <c r="R76" s="180">
        <v>2.5</v>
      </c>
      <c r="S76" s="180" t="s">
        <v>162</v>
      </c>
      <c r="T76" s="180" t="s">
        <v>185</v>
      </c>
      <c r="U76" s="186" t="s">
        <v>690</v>
      </c>
      <c r="V76" s="187"/>
      <c r="W76" s="188"/>
      <c r="X76" s="187"/>
      <c r="Y76" s="187"/>
      <c r="Z76" s="187"/>
    </row>
    <row r="77" spans="1:26" ht="15.75" customHeight="1">
      <c r="E77" s="47"/>
      <c r="H77" s="189"/>
      <c r="I77" s="189"/>
      <c r="J77" s="189"/>
      <c r="K77" s="189"/>
      <c r="L77" s="189"/>
      <c r="M77" s="189"/>
      <c r="N77" s="190"/>
      <c r="R77" s="189"/>
      <c r="V77" s="47"/>
    </row>
    <row r="78" spans="1:26" ht="15.75" customHeight="1">
      <c r="E78" s="47"/>
      <c r="H78" s="189"/>
      <c r="I78" s="189"/>
      <c r="J78" s="189"/>
      <c r="K78" s="189"/>
      <c r="L78" s="189"/>
      <c r="M78" s="189"/>
      <c r="N78" s="190"/>
      <c r="R78" s="189"/>
      <c r="V78" s="47"/>
    </row>
    <row r="79" spans="1:26" ht="15.75" customHeight="1">
      <c r="E79" s="47"/>
      <c r="H79" s="189"/>
      <c r="I79" s="189"/>
      <c r="J79" s="189"/>
      <c r="K79" s="189"/>
      <c r="L79" s="189"/>
      <c r="M79" s="189"/>
      <c r="N79" s="190"/>
      <c r="R79" s="189"/>
      <c r="V79" s="47"/>
    </row>
    <row r="80" spans="1:26" ht="15.75" customHeight="1">
      <c r="E80" s="47"/>
      <c r="H80" s="189"/>
      <c r="I80" s="189"/>
      <c r="J80" s="189"/>
      <c r="K80" s="189"/>
      <c r="L80" s="189"/>
      <c r="M80" s="189"/>
      <c r="N80" s="190"/>
      <c r="R80" s="189"/>
      <c r="V80" s="47"/>
    </row>
    <row r="81" spans="5:22" ht="15.75" customHeight="1">
      <c r="E81" s="47"/>
      <c r="H81" s="189"/>
      <c r="I81" s="189"/>
      <c r="J81" s="189"/>
      <c r="K81" s="189"/>
      <c r="L81" s="189"/>
      <c r="M81" s="189"/>
      <c r="N81" s="190"/>
      <c r="R81" s="189"/>
      <c r="V81" s="47"/>
    </row>
    <row r="82" spans="5:22" ht="15.75" customHeight="1">
      <c r="E82" s="47"/>
      <c r="H82" s="189"/>
      <c r="I82" s="189"/>
      <c r="J82" s="189"/>
      <c r="K82" s="189"/>
      <c r="L82" s="189"/>
      <c r="M82" s="189"/>
      <c r="N82" s="190"/>
      <c r="R82" s="189"/>
      <c r="V82" s="47"/>
    </row>
    <row r="83" spans="5:22" ht="15.75" customHeight="1">
      <c r="E83" s="47"/>
      <c r="H83" s="189"/>
      <c r="I83" s="189"/>
      <c r="J83" s="189"/>
      <c r="K83" s="189"/>
      <c r="L83" s="189"/>
      <c r="M83" s="189"/>
      <c r="N83" s="190"/>
      <c r="R83" s="189"/>
      <c r="V83" s="47"/>
    </row>
    <row r="84" spans="5:22" ht="15.75" customHeight="1">
      <c r="E84" s="47"/>
      <c r="H84" s="189"/>
      <c r="I84" s="189"/>
      <c r="J84" s="189"/>
      <c r="K84" s="189"/>
      <c r="L84" s="189"/>
      <c r="M84" s="189"/>
      <c r="N84" s="190"/>
      <c r="R84" s="189"/>
      <c r="V84" s="47"/>
    </row>
    <row r="85" spans="5:22" ht="15.75" customHeight="1">
      <c r="E85" s="47"/>
      <c r="H85" s="189"/>
      <c r="I85" s="189"/>
      <c r="J85" s="189"/>
      <c r="K85" s="189"/>
      <c r="L85" s="189"/>
      <c r="M85" s="189"/>
      <c r="N85" s="190"/>
      <c r="R85" s="189"/>
      <c r="V85" s="47"/>
    </row>
    <row r="86" spans="5:22" ht="15.75" customHeight="1">
      <c r="E86" s="47"/>
      <c r="H86" s="189"/>
      <c r="I86" s="189"/>
      <c r="J86" s="189"/>
      <c r="K86" s="189"/>
      <c r="L86" s="189"/>
      <c r="M86" s="189"/>
      <c r="N86" s="190"/>
      <c r="R86" s="189"/>
      <c r="V86" s="47"/>
    </row>
    <row r="87" spans="5:22" ht="15.75" customHeight="1">
      <c r="E87" s="47"/>
      <c r="H87" s="189"/>
      <c r="I87" s="189"/>
      <c r="J87" s="189"/>
      <c r="K87" s="189"/>
      <c r="L87" s="189"/>
      <c r="M87" s="189"/>
      <c r="N87" s="190"/>
      <c r="R87" s="189"/>
      <c r="V87" s="47"/>
    </row>
    <row r="88" spans="5:22" ht="15.75" customHeight="1">
      <c r="E88" s="47"/>
      <c r="H88" s="189"/>
      <c r="I88" s="189"/>
      <c r="J88" s="189"/>
      <c r="K88" s="189"/>
      <c r="L88" s="189"/>
      <c r="M88" s="189"/>
      <c r="N88" s="190"/>
      <c r="R88" s="189"/>
      <c r="V88" s="47"/>
    </row>
    <row r="89" spans="5:22" ht="15.75" customHeight="1">
      <c r="E89" s="47"/>
      <c r="H89" s="189"/>
      <c r="I89" s="189"/>
      <c r="J89" s="189"/>
      <c r="K89" s="189"/>
      <c r="L89" s="189"/>
      <c r="M89" s="189"/>
      <c r="N89" s="190"/>
      <c r="R89" s="189"/>
      <c r="V89" s="47"/>
    </row>
    <row r="90" spans="5:22" ht="15.75" customHeight="1">
      <c r="E90" s="47"/>
      <c r="H90" s="189"/>
      <c r="I90" s="189"/>
      <c r="J90" s="189"/>
      <c r="K90" s="189"/>
      <c r="L90" s="189"/>
      <c r="M90" s="189"/>
      <c r="N90" s="190"/>
      <c r="R90" s="189"/>
      <c r="V90" s="47"/>
    </row>
    <row r="91" spans="5:22" ht="15.75" customHeight="1">
      <c r="E91" s="47"/>
      <c r="H91" s="189"/>
      <c r="I91" s="189"/>
      <c r="J91" s="189"/>
      <c r="K91" s="189"/>
      <c r="L91" s="189"/>
      <c r="M91" s="189"/>
      <c r="N91" s="190"/>
      <c r="R91" s="189"/>
      <c r="V91" s="47"/>
    </row>
    <row r="92" spans="5:22" ht="15.75" customHeight="1">
      <c r="E92" s="47"/>
      <c r="H92" s="189"/>
      <c r="I92" s="189"/>
      <c r="J92" s="189"/>
      <c r="K92" s="189"/>
      <c r="L92" s="189"/>
      <c r="M92" s="189"/>
      <c r="N92" s="190"/>
      <c r="R92" s="189"/>
      <c r="V92" s="47"/>
    </row>
    <row r="93" spans="5:22" ht="15.75" customHeight="1">
      <c r="E93" s="47"/>
      <c r="H93" s="189"/>
      <c r="I93" s="189"/>
      <c r="J93" s="189"/>
      <c r="K93" s="189"/>
      <c r="L93" s="189"/>
      <c r="M93" s="189"/>
      <c r="N93" s="190"/>
      <c r="R93" s="189"/>
      <c r="V93" s="47"/>
    </row>
    <row r="94" spans="5:22" ht="15.75" customHeight="1">
      <c r="E94" s="47"/>
      <c r="H94" s="189"/>
      <c r="I94" s="189"/>
      <c r="J94" s="189"/>
      <c r="K94" s="189"/>
      <c r="L94" s="189"/>
      <c r="M94" s="189"/>
      <c r="N94" s="190"/>
      <c r="R94" s="189"/>
      <c r="V94" s="47"/>
    </row>
    <row r="95" spans="5:22" ht="15.75" customHeight="1">
      <c r="E95" s="47"/>
      <c r="H95" s="189"/>
      <c r="I95" s="189"/>
      <c r="J95" s="189"/>
      <c r="K95" s="189"/>
      <c r="L95" s="189"/>
      <c r="M95" s="189"/>
      <c r="N95" s="190"/>
      <c r="R95" s="189"/>
      <c r="V95" s="47"/>
    </row>
    <row r="96" spans="5:22" ht="15.75" customHeight="1">
      <c r="E96" s="47"/>
      <c r="H96" s="189"/>
      <c r="I96" s="189"/>
      <c r="J96" s="189"/>
      <c r="K96" s="189"/>
      <c r="L96" s="189"/>
      <c r="M96" s="189"/>
      <c r="N96" s="190"/>
      <c r="R96" s="189"/>
      <c r="V96" s="47"/>
    </row>
    <row r="97" spans="5:22" ht="15.75" customHeight="1">
      <c r="E97" s="47"/>
      <c r="H97" s="189"/>
      <c r="I97" s="189"/>
      <c r="J97" s="189"/>
      <c r="K97" s="189"/>
      <c r="L97" s="189"/>
      <c r="M97" s="189"/>
      <c r="N97" s="190"/>
      <c r="R97" s="189"/>
      <c r="V97" s="47"/>
    </row>
    <row r="98" spans="5:22" ht="15.75" customHeight="1">
      <c r="E98" s="47"/>
      <c r="H98" s="189"/>
      <c r="I98" s="189"/>
      <c r="J98" s="189"/>
      <c r="K98" s="189"/>
      <c r="L98" s="189"/>
      <c r="M98" s="189"/>
      <c r="N98" s="190"/>
      <c r="R98" s="189"/>
      <c r="V98" s="47"/>
    </row>
    <row r="99" spans="5:22" ht="15.75" customHeight="1">
      <c r="E99" s="47"/>
      <c r="H99" s="189"/>
      <c r="I99" s="189"/>
      <c r="J99" s="189"/>
      <c r="K99" s="189"/>
      <c r="L99" s="189"/>
      <c r="M99" s="189"/>
      <c r="N99" s="190"/>
      <c r="R99" s="189"/>
      <c r="V99" s="47"/>
    </row>
    <row r="100" spans="5:22" ht="15.75" customHeight="1">
      <c r="E100" s="47"/>
      <c r="H100" s="189"/>
      <c r="I100" s="189"/>
      <c r="J100" s="189"/>
      <c r="K100" s="189"/>
      <c r="L100" s="189"/>
      <c r="M100" s="189"/>
      <c r="N100" s="190"/>
      <c r="R100" s="189"/>
      <c r="V100" s="47"/>
    </row>
    <row r="101" spans="5:22" ht="15.75" customHeight="1">
      <c r="E101" s="47"/>
      <c r="H101" s="189"/>
      <c r="I101" s="189"/>
      <c r="J101" s="189"/>
      <c r="K101" s="189"/>
      <c r="L101" s="189"/>
      <c r="M101" s="189"/>
      <c r="N101" s="190"/>
      <c r="R101" s="189"/>
      <c r="V101" s="47"/>
    </row>
    <row r="102" spans="5:22" ht="15.75" customHeight="1">
      <c r="E102" s="47"/>
      <c r="H102" s="189"/>
      <c r="I102" s="189"/>
      <c r="J102" s="189"/>
      <c r="K102" s="189"/>
      <c r="L102" s="189"/>
      <c r="M102" s="189"/>
      <c r="N102" s="190"/>
      <c r="R102" s="189"/>
      <c r="V102" s="47"/>
    </row>
    <row r="103" spans="5:22" ht="15.75" customHeight="1">
      <c r="E103" s="47"/>
      <c r="H103" s="189"/>
      <c r="I103" s="189"/>
      <c r="J103" s="189"/>
      <c r="K103" s="189"/>
      <c r="L103" s="189"/>
      <c r="M103" s="189"/>
      <c r="N103" s="190"/>
      <c r="R103" s="189"/>
      <c r="V103" s="47"/>
    </row>
    <row r="104" spans="5:22" ht="15.75" customHeight="1">
      <c r="E104" s="47"/>
      <c r="H104" s="189"/>
      <c r="I104" s="189"/>
      <c r="J104" s="189"/>
      <c r="K104" s="189"/>
      <c r="L104" s="189"/>
      <c r="M104" s="189"/>
      <c r="N104" s="190"/>
      <c r="R104" s="189"/>
      <c r="V104" s="47"/>
    </row>
    <row r="105" spans="5:22" ht="15.75" customHeight="1">
      <c r="E105" s="47"/>
      <c r="H105" s="189"/>
      <c r="I105" s="189"/>
      <c r="J105" s="189"/>
      <c r="K105" s="189"/>
      <c r="L105" s="189"/>
      <c r="M105" s="189"/>
      <c r="N105" s="190"/>
      <c r="R105" s="189"/>
      <c r="V105" s="47"/>
    </row>
    <row r="106" spans="5:22" ht="15.75" customHeight="1">
      <c r="E106" s="47"/>
      <c r="H106" s="189"/>
      <c r="I106" s="189"/>
      <c r="J106" s="189"/>
      <c r="K106" s="189"/>
      <c r="L106" s="189"/>
      <c r="M106" s="189"/>
      <c r="N106" s="190"/>
      <c r="R106" s="189"/>
      <c r="V106" s="47"/>
    </row>
    <row r="107" spans="5:22" ht="15.75" customHeight="1">
      <c r="E107" s="47"/>
      <c r="H107" s="189"/>
      <c r="I107" s="189"/>
      <c r="J107" s="189"/>
      <c r="K107" s="189"/>
      <c r="L107" s="189"/>
      <c r="M107" s="189"/>
      <c r="N107" s="190"/>
      <c r="R107" s="189"/>
      <c r="V107" s="47"/>
    </row>
    <row r="108" spans="5:22" ht="15.75" customHeight="1">
      <c r="E108" s="47"/>
      <c r="H108" s="189"/>
      <c r="I108" s="189"/>
      <c r="J108" s="189"/>
      <c r="K108" s="189"/>
      <c r="L108" s="189"/>
      <c r="M108" s="189"/>
      <c r="N108" s="190"/>
      <c r="R108" s="189"/>
      <c r="V108" s="47"/>
    </row>
    <row r="109" spans="5:22" ht="15.75" customHeight="1">
      <c r="E109" s="47"/>
      <c r="H109" s="189"/>
      <c r="I109" s="189"/>
      <c r="J109" s="189"/>
      <c r="K109" s="189"/>
      <c r="L109" s="189"/>
      <c r="M109" s="189"/>
      <c r="N109" s="190"/>
      <c r="R109" s="189"/>
      <c r="V109" s="47"/>
    </row>
    <row r="110" spans="5:22" ht="15.75" customHeight="1">
      <c r="E110" s="47"/>
      <c r="H110" s="189"/>
      <c r="I110" s="189"/>
      <c r="J110" s="189"/>
      <c r="K110" s="189"/>
      <c r="L110" s="189"/>
      <c r="M110" s="189"/>
      <c r="N110" s="190"/>
      <c r="R110" s="189"/>
      <c r="V110" s="47"/>
    </row>
    <row r="111" spans="5:22" ht="15.75" customHeight="1">
      <c r="E111" s="47"/>
      <c r="H111" s="189"/>
      <c r="I111" s="189"/>
      <c r="J111" s="189"/>
      <c r="K111" s="189"/>
      <c r="L111" s="189"/>
      <c r="M111" s="189"/>
      <c r="N111" s="190"/>
      <c r="R111" s="189"/>
      <c r="V111" s="47"/>
    </row>
    <row r="112" spans="5:22" ht="15.75" customHeight="1">
      <c r="E112" s="47"/>
      <c r="H112" s="189"/>
      <c r="I112" s="189"/>
      <c r="J112" s="189"/>
      <c r="K112" s="189"/>
      <c r="L112" s="189"/>
      <c r="M112" s="189"/>
      <c r="N112" s="190"/>
      <c r="R112" s="189"/>
      <c r="V112" s="47"/>
    </row>
    <row r="113" spans="5:22" ht="15.75" customHeight="1">
      <c r="E113" s="47"/>
      <c r="H113" s="189"/>
      <c r="I113" s="189"/>
      <c r="J113" s="189"/>
      <c r="K113" s="189"/>
      <c r="L113" s="189"/>
      <c r="M113" s="189"/>
      <c r="N113" s="190"/>
      <c r="R113" s="189"/>
      <c r="V113" s="47"/>
    </row>
    <row r="114" spans="5:22" ht="15.75" customHeight="1">
      <c r="E114" s="47"/>
      <c r="H114" s="189"/>
      <c r="I114" s="189"/>
      <c r="J114" s="189"/>
      <c r="K114" s="189"/>
      <c r="L114" s="189"/>
      <c r="M114" s="189"/>
      <c r="N114" s="190"/>
      <c r="R114" s="189"/>
      <c r="V114" s="47"/>
    </row>
    <row r="115" spans="5:22" ht="15.75" customHeight="1">
      <c r="E115" s="47"/>
      <c r="H115" s="189"/>
      <c r="I115" s="189"/>
      <c r="J115" s="189"/>
      <c r="K115" s="189"/>
      <c r="L115" s="189"/>
      <c r="M115" s="189"/>
      <c r="N115" s="190"/>
      <c r="R115" s="189"/>
      <c r="V115" s="47"/>
    </row>
    <row r="116" spans="5:22" ht="15.75" customHeight="1">
      <c r="E116" s="47"/>
      <c r="H116" s="189"/>
      <c r="I116" s="189"/>
      <c r="J116" s="189"/>
      <c r="K116" s="189"/>
      <c r="L116" s="189"/>
      <c r="M116" s="189"/>
      <c r="N116" s="190"/>
      <c r="R116" s="189"/>
      <c r="V116" s="47"/>
    </row>
    <row r="117" spans="5:22" ht="15.75" customHeight="1">
      <c r="E117" s="47"/>
      <c r="H117" s="189"/>
      <c r="I117" s="189"/>
      <c r="J117" s="189"/>
      <c r="K117" s="189"/>
      <c r="L117" s="189"/>
      <c r="M117" s="189"/>
      <c r="N117" s="190"/>
      <c r="R117" s="189"/>
      <c r="V117" s="47"/>
    </row>
    <row r="118" spans="5:22" ht="15.75" customHeight="1">
      <c r="E118" s="47"/>
      <c r="H118" s="189"/>
      <c r="I118" s="189"/>
      <c r="J118" s="189"/>
      <c r="K118" s="189"/>
      <c r="L118" s="189"/>
      <c r="M118" s="189"/>
      <c r="N118" s="190"/>
      <c r="R118" s="189"/>
      <c r="V118" s="47"/>
    </row>
    <row r="119" spans="5:22" ht="15.75" customHeight="1">
      <c r="E119" s="47"/>
      <c r="H119" s="189"/>
      <c r="I119" s="189"/>
      <c r="J119" s="189"/>
      <c r="K119" s="189"/>
      <c r="L119" s="189"/>
      <c r="M119" s="189"/>
      <c r="N119" s="190"/>
      <c r="R119" s="189"/>
      <c r="V119" s="47"/>
    </row>
    <row r="120" spans="5:22" ht="15.75" customHeight="1">
      <c r="E120" s="47"/>
      <c r="H120" s="189"/>
      <c r="I120" s="189"/>
      <c r="J120" s="189"/>
      <c r="K120" s="189"/>
      <c r="L120" s="189"/>
      <c r="M120" s="189"/>
      <c r="N120" s="190"/>
      <c r="R120" s="189"/>
      <c r="V120" s="47"/>
    </row>
    <row r="121" spans="5:22" ht="15.75" customHeight="1">
      <c r="E121" s="47"/>
      <c r="H121" s="189"/>
      <c r="I121" s="189"/>
      <c r="J121" s="189"/>
      <c r="K121" s="189"/>
      <c r="L121" s="189"/>
      <c r="M121" s="189"/>
      <c r="N121" s="190"/>
      <c r="R121" s="189"/>
      <c r="V121" s="47"/>
    </row>
    <row r="122" spans="5:22" ht="15.75" customHeight="1">
      <c r="E122" s="47"/>
      <c r="H122" s="189"/>
      <c r="I122" s="189"/>
      <c r="J122" s="189"/>
      <c r="K122" s="189"/>
      <c r="L122" s="189"/>
      <c r="M122" s="189"/>
      <c r="N122" s="190"/>
      <c r="R122" s="189"/>
      <c r="V122" s="47"/>
    </row>
    <row r="123" spans="5:22" ht="15.75" customHeight="1">
      <c r="E123" s="47"/>
      <c r="H123" s="189"/>
      <c r="I123" s="189"/>
      <c r="J123" s="189"/>
      <c r="K123" s="189"/>
      <c r="L123" s="189"/>
      <c r="M123" s="189"/>
      <c r="N123" s="190"/>
      <c r="R123" s="189"/>
      <c r="V123" s="47"/>
    </row>
    <row r="124" spans="5:22" ht="15.75" customHeight="1">
      <c r="E124" s="47"/>
      <c r="H124" s="189"/>
      <c r="I124" s="189"/>
      <c r="J124" s="189"/>
      <c r="K124" s="189"/>
      <c r="L124" s="189"/>
      <c r="M124" s="189"/>
      <c r="N124" s="190"/>
      <c r="R124" s="189"/>
      <c r="V124" s="47"/>
    </row>
    <row r="125" spans="5:22" ht="15.75" customHeight="1">
      <c r="E125" s="47"/>
      <c r="H125" s="189"/>
      <c r="I125" s="189"/>
      <c r="J125" s="189"/>
      <c r="K125" s="189"/>
      <c r="L125" s="189"/>
      <c r="M125" s="189"/>
      <c r="N125" s="190"/>
      <c r="R125" s="189"/>
      <c r="V125" s="47"/>
    </row>
    <row r="126" spans="5:22" ht="15.75" customHeight="1">
      <c r="E126" s="47"/>
      <c r="H126" s="189"/>
      <c r="I126" s="189"/>
      <c r="J126" s="189"/>
      <c r="K126" s="189"/>
      <c r="L126" s="189"/>
      <c r="M126" s="189"/>
      <c r="N126" s="190"/>
      <c r="R126" s="189"/>
      <c r="V126" s="47"/>
    </row>
    <row r="127" spans="5:22" ht="15.75" customHeight="1">
      <c r="E127" s="47"/>
      <c r="H127" s="189"/>
      <c r="I127" s="189"/>
      <c r="J127" s="189"/>
      <c r="K127" s="189"/>
      <c r="L127" s="189"/>
      <c r="M127" s="189"/>
      <c r="N127" s="190"/>
      <c r="R127" s="189"/>
      <c r="V127" s="47"/>
    </row>
    <row r="128" spans="5:22" ht="15.75" customHeight="1">
      <c r="E128" s="47"/>
      <c r="H128" s="189"/>
      <c r="I128" s="189"/>
      <c r="J128" s="189"/>
      <c r="K128" s="189"/>
      <c r="L128" s="189"/>
      <c r="M128" s="189"/>
      <c r="N128" s="190"/>
      <c r="R128" s="189"/>
      <c r="V128" s="47"/>
    </row>
    <row r="129" spans="5:22" ht="15.75" customHeight="1">
      <c r="E129" s="47"/>
      <c r="H129" s="189"/>
      <c r="I129" s="189"/>
      <c r="J129" s="189"/>
      <c r="K129" s="189"/>
      <c r="L129" s="189"/>
      <c r="M129" s="189"/>
      <c r="N129" s="190"/>
      <c r="R129" s="189"/>
      <c r="V129" s="47"/>
    </row>
    <row r="130" spans="5:22" ht="15.75" customHeight="1">
      <c r="E130" s="47"/>
      <c r="H130" s="189"/>
      <c r="I130" s="189"/>
      <c r="J130" s="189"/>
      <c r="K130" s="189"/>
      <c r="L130" s="189"/>
      <c r="M130" s="189"/>
      <c r="N130" s="190"/>
      <c r="R130" s="189"/>
      <c r="V130" s="47"/>
    </row>
    <row r="131" spans="5:22" ht="15.75" customHeight="1">
      <c r="E131" s="47"/>
      <c r="H131" s="189"/>
      <c r="I131" s="189"/>
      <c r="J131" s="189"/>
      <c r="K131" s="189"/>
      <c r="L131" s="189"/>
      <c r="M131" s="189"/>
      <c r="N131" s="190"/>
      <c r="R131" s="189"/>
      <c r="V131" s="47"/>
    </row>
    <row r="132" spans="5:22" ht="15.75" customHeight="1">
      <c r="E132" s="47"/>
      <c r="H132" s="189"/>
      <c r="I132" s="189"/>
      <c r="J132" s="189"/>
      <c r="K132" s="189"/>
      <c r="L132" s="189"/>
      <c r="M132" s="189"/>
      <c r="N132" s="190"/>
      <c r="R132" s="189"/>
      <c r="V132" s="47"/>
    </row>
    <row r="133" spans="5:22" ht="15.75" customHeight="1">
      <c r="E133" s="47"/>
      <c r="H133" s="189"/>
      <c r="I133" s="189"/>
      <c r="J133" s="189"/>
      <c r="K133" s="189"/>
      <c r="L133" s="189"/>
      <c r="M133" s="189"/>
      <c r="N133" s="190"/>
      <c r="R133" s="189"/>
      <c r="V133" s="47"/>
    </row>
    <row r="134" spans="5:22" ht="15.75" customHeight="1">
      <c r="E134" s="47"/>
      <c r="H134" s="189"/>
      <c r="I134" s="189"/>
      <c r="J134" s="189"/>
      <c r="K134" s="189"/>
      <c r="L134" s="189"/>
      <c r="M134" s="189"/>
      <c r="N134" s="190"/>
      <c r="R134" s="189"/>
      <c r="V134" s="47"/>
    </row>
    <row r="135" spans="5:22" ht="15.75" customHeight="1">
      <c r="E135" s="47"/>
      <c r="H135" s="189"/>
      <c r="I135" s="189"/>
      <c r="J135" s="189"/>
      <c r="K135" s="189"/>
      <c r="L135" s="189"/>
      <c r="M135" s="189"/>
      <c r="N135" s="190"/>
      <c r="R135" s="189"/>
      <c r="V135" s="47"/>
    </row>
    <row r="136" spans="5:22" ht="15.75" customHeight="1">
      <c r="E136" s="47"/>
      <c r="H136" s="189"/>
      <c r="I136" s="189"/>
      <c r="J136" s="189"/>
      <c r="K136" s="189"/>
      <c r="L136" s="189"/>
      <c r="M136" s="189"/>
      <c r="N136" s="190"/>
      <c r="R136" s="189"/>
      <c r="V136" s="47"/>
    </row>
    <row r="137" spans="5:22" ht="15.75" customHeight="1">
      <c r="E137" s="47"/>
      <c r="H137" s="189"/>
      <c r="I137" s="189"/>
      <c r="J137" s="189"/>
      <c r="K137" s="189"/>
      <c r="L137" s="189"/>
      <c r="M137" s="189"/>
      <c r="N137" s="190"/>
      <c r="R137" s="189"/>
      <c r="V137" s="47"/>
    </row>
    <row r="138" spans="5:22" ht="15.75" customHeight="1">
      <c r="E138" s="47"/>
      <c r="H138" s="189"/>
      <c r="I138" s="189"/>
      <c r="J138" s="189"/>
      <c r="K138" s="189"/>
      <c r="L138" s="189"/>
      <c r="M138" s="189"/>
      <c r="N138" s="190"/>
      <c r="R138" s="189"/>
      <c r="V138" s="47"/>
    </row>
    <row r="139" spans="5:22" ht="15.75" customHeight="1">
      <c r="E139" s="47"/>
      <c r="H139" s="189"/>
      <c r="I139" s="189"/>
      <c r="J139" s="189"/>
      <c r="K139" s="189"/>
      <c r="L139" s="189"/>
      <c r="M139" s="189"/>
      <c r="N139" s="190"/>
      <c r="R139" s="189"/>
      <c r="V139" s="47"/>
    </row>
    <row r="140" spans="5:22" ht="15.75" customHeight="1">
      <c r="E140" s="47"/>
      <c r="H140" s="189"/>
      <c r="I140" s="189"/>
      <c r="J140" s="189"/>
      <c r="K140" s="189"/>
      <c r="L140" s="189"/>
      <c r="M140" s="189"/>
      <c r="N140" s="190"/>
      <c r="R140" s="189"/>
      <c r="V140" s="47"/>
    </row>
    <row r="141" spans="5:22" ht="15.75" customHeight="1">
      <c r="E141" s="47"/>
      <c r="H141" s="189"/>
      <c r="I141" s="189"/>
      <c r="J141" s="189"/>
      <c r="K141" s="189"/>
      <c r="L141" s="189"/>
      <c r="M141" s="189"/>
      <c r="N141" s="190"/>
      <c r="R141" s="189"/>
      <c r="V141" s="47"/>
    </row>
    <row r="142" spans="5:22" ht="15.75" customHeight="1">
      <c r="E142" s="47"/>
      <c r="H142" s="189"/>
      <c r="I142" s="189"/>
      <c r="J142" s="189"/>
      <c r="K142" s="189"/>
      <c r="L142" s="189"/>
      <c r="M142" s="189"/>
      <c r="N142" s="190"/>
      <c r="R142" s="189"/>
      <c r="V142" s="47"/>
    </row>
    <row r="143" spans="5:22" ht="15.75" customHeight="1">
      <c r="E143" s="47"/>
      <c r="H143" s="189"/>
      <c r="I143" s="189"/>
      <c r="J143" s="189"/>
      <c r="K143" s="189"/>
      <c r="L143" s="189"/>
      <c r="M143" s="189"/>
      <c r="N143" s="190"/>
      <c r="R143" s="189"/>
      <c r="V143" s="47"/>
    </row>
    <row r="144" spans="5:22" ht="15.75" customHeight="1">
      <c r="E144" s="47"/>
      <c r="H144" s="189"/>
      <c r="I144" s="189"/>
      <c r="J144" s="189"/>
      <c r="K144" s="189"/>
      <c r="L144" s="189"/>
      <c r="M144" s="189"/>
      <c r="N144" s="190"/>
      <c r="R144" s="189"/>
      <c r="V144" s="47"/>
    </row>
    <row r="145" spans="5:22" ht="15.75" customHeight="1">
      <c r="E145" s="47"/>
      <c r="H145" s="189"/>
      <c r="I145" s="189"/>
      <c r="J145" s="189"/>
      <c r="K145" s="189"/>
      <c r="L145" s="189"/>
      <c r="M145" s="189"/>
      <c r="N145" s="190"/>
      <c r="R145" s="189"/>
      <c r="V145" s="47"/>
    </row>
    <row r="146" spans="5:22" ht="15.75" customHeight="1">
      <c r="E146" s="47"/>
      <c r="H146" s="189"/>
      <c r="I146" s="189"/>
      <c r="J146" s="189"/>
      <c r="K146" s="189"/>
      <c r="L146" s="189"/>
      <c r="M146" s="189"/>
      <c r="N146" s="190"/>
      <c r="R146" s="189"/>
      <c r="V146" s="47"/>
    </row>
    <row r="147" spans="5:22" ht="15.75" customHeight="1">
      <c r="E147" s="47"/>
      <c r="H147" s="189"/>
      <c r="I147" s="189"/>
      <c r="J147" s="189"/>
      <c r="K147" s="189"/>
      <c r="L147" s="189"/>
      <c r="M147" s="189"/>
      <c r="N147" s="190"/>
      <c r="R147" s="189"/>
      <c r="V147" s="47"/>
    </row>
    <row r="148" spans="5:22" ht="15.75" customHeight="1">
      <c r="E148" s="47"/>
      <c r="H148" s="189"/>
      <c r="I148" s="189"/>
      <c r="J148" s="189"/>
      <c r="K148" s="189"/>
      <c r="L148" s="189"/>
      <c r="M148" s="189"/>
      <c r="N148" s="190"/>
      <c r="R148" s="189"/>
      <c r="V148" s="47"/>
    </row>
    <row r="149" spans="5:22" ht="15.75" customHeight="1">
      <c r="E149" s="47"/>
      <c r="H149" s="189"/>
      <c r="I149" s="189"/>
      <c r="J149" s="189"/>
      <c r="K149" s="189"/>
      <c r="L149" s="189"/>
      <c r="M149" s="189"/>
      <c r="N149" s="190"/>
      <c r="R149" s="189"/>
      <c r="V149" s="47"/>
    </row>
    <row r="150" spans="5:22" ht="15.75" customHeight="1">
      <c r="E150" s="47"/>
      <c r="H150" s="189"/>
      <c r="I150" s="189"/>
      <c r="J150" s="189"/>
      <c r="K150" s="189"/>
      <c r="L150" s="189"/>
      <c r="M150" s="189"/>
      <c r="N150" s="190"/>
      <c r="R150" s="189"/>
      <c r="V150" s="47"/>
    </row>
    <row r="151" spans="5:22" ht="15.75" customHeight="1">
      <c r="E151" s="47"/>
      <c r="H151" s="189"/>
      <c r="I151" s="189"/>
      <c r="J151" s="189"/>
      <c r="K151" s="189"/>
      <c r="L151" s="189"/>
      <c r="M151" s="189"/>
      <c r="N151" s="190"/>
      <c r="R151" s="189"/>
      <c r="V151" s="47"/>
    </row>
    <row r="152" spans="5:22" ht="15.75" customHeight="1">
      <c r="E152" s="47"/>
      <c r="H152" s="189"/>
      <c r="I152" s="189"/>
      <c r="J152" s="189"/>
      <c r="K152" s="189"/>
      <c r="L152" s="189"/>
      <c r="M152" s="189"/>
      <c r="N152" s="190"/>
      <c r="R152" s="189"/>
      <c r="V152" s="47"/>
    </row>
    <row r="153" spans="5:22" ht="15.75" customHeight="1">
      <c r="E153" s="47"/>
      <c r="H153" s="189"/>
      <c r="I153" s="189"/>
      <c r="J153" s="189"/>
      <c r="K153" s="189"/>
      <c r="L153" s="189"/>
      <c r="M153" s="189"/>
      <c r="N153" s="190"/>
      <c r="R153" s="189"/>
      <c r="V153" s="47"/>
    </row>
    <row r="154" spans="5:22" ht="15.75" customHeight="1">
      <c r="E154" s="47"/>
      <c r="H154" s="189"/>
      <c r="I154" s="189"/>
      <c r="J154" s="189"/>
      <c r="K154" s="189"/>
      <c r="L154" s="189"/>
      <c r="M154" s="189"/>
      <c r="N154" s="190"/>
      <c r="R154" s="189"/>
      <c r="V154" s="47"/>
    </row>
    <row r="155" spans="5:22" ht="15.75" customHeight="1">
      <c r="E155" s="47"/>
      <c r="H155" s="189"/>
      <c r="I155" s="189"/>
      <c r="J155" s="189"/>
      <c r="K155" s="189"/>
      <c r="L155" s="189"/>
      <c r="M155" s="189"/>
      <c r="N155" s="190"/>
      <c r="R155" s="189"/>
      <c r="V155" s="47"/>
    </row>
    <row r="156" spans="5:22" ht="15.75" customHeight="1">
      <c r="E156" s="47"/>
      <c r="H156" s="189"/>
      <c r="I156" s="189"/>
      <c r="J156" s="189"/>
      <c r="K156" s="189"/>
      <c r="L156" s="189"/>
      <c r="M156" s="189"/>
      <c r="N156" s="190"/>
      <c r="R156" s="189"/>
      <c r="V156" s="47"/>
    </row>
    <row r="157" spans="5:22" ht="15.75" customHeight="1">
      <c r="E157" s="47"/>
      <c r="H157" s="189"/>
      <c r="I157" s="189"/>
      <c r="J157" s="189"/>
      <c r="K157" s="189"/>
      <c r="L157" s="189"/>
      <c r="M157" s="189"/>
      <c r="N157" s="190"/>
      <c r="R157" s="189"/>
      <c r="V157" s="47"/>
    </row>
    <row r="158" spans="5:22" ht="15.75" customHeight="1">
      <c r="E158" s="47"/>
      <c r="H158" s="189"/>
      <c r="I158" s="189"/>
      <c r="J158" s="189"/>
      <c r="K158" s="189"/>
      <c r="L158" s="189"/>
      <c r="M158" s="189"/>
      <c r="N158" s="190"/>
      <c r="R158" s="189"/>
      <c r="V158" s="47"/>
    </row>
    <row r="159" spans="5:22" ht="15.75" customHeight="1">
      <c r="E159" s="47"/>
      <c r="H159" s="189"/>
      <c r="I159" s="189"/>
      <c r="J159" s="189"/>
      <c r="K159" s="189"/>
      <c r="L159" s="189"/>
      <c r="M159" s="189"/>
      <c r="N159" s="190"/>
      <c r="R159" s="189"/>
      <c r="V159" s="47"/>
    </row>
    <row r="160" spans="5:22" ht="15.75" customHeight="1">
      <c r="E160" s="47"/>
      <c r="H160" s="189"/>
      <c r="I160" s="189"/>
      <c r="J160" s="189"/>
      <c r="K160" s="189"/>
      <c r="L160" s="189"/>
      <c r="M160" s="189"/>
      <c r="N160" s="190"/>
      <c r="R160" s="189"/>
      <c r="V160" s="47"/>
    </row>
    <row r="161" spans="5:22" ht="15.75" customHeight="1">
      <c r="E161" s="47"/>
      <c r="H161" s="189"/>
      <c r="I161" s="189"/>
      <c r="J161" s="189"/>
      <c r="K161" s="189"/>
      <c r="L161" s="189"/>
      <c r="M161" s="189"/>
      <c r="N161" s="190"/>
      <c r="R161" s="189"/>
      <c r="V161" s="47"/>
    </row>
    <row r="162" spans="5:22" ht="15.75" customHeight="1">
      <c r="E162" s="47"/>
      <c r="H162" s="189"/>
      <c r="I162" s="189"/>
      <c r="J162" s="189"/>
      <c r="K162" s="189"/>
      <c r="L162" s="189"/>
      <c r="M162" s="189"/>
      <c r="N162" s="190"/>
      <c r="R162" s="189"/>
      <c r="V162" s="47"/>
    </row>
    <row r="163" spans="5:22" ht="15.75" customHeight="1">
      <c r="E163" s="47"/>
      <c r="H163" s="189"/>
      <c r="I163" s="189"/>
      <c r="J163" s="189"/>
      <c r="K163" s="189"/>
      <c r="L163" s="189"/>
      <c r="M163" s="189"/>
      <c r="N163" s="190"/>
      <c r="R163" s="189"/>
      <c r="V163" s="47"/>
    </row>
    <row r="164" spans="5:22" ht="15.75" customHeight="1">
      <c r="E164" s="47"/>
      <c r="H164" s="189"/>
      <c r="I164" s="189"/>
      <c r="J164" s="189"/>
      <c r="K164" s="189"/>
      <c r="L164" s="189"/>
      <c r="M164" s="189"/>
      <c r="N164" s="190"/>
      <c r="R164" s="189"/>
      <c r="V164" s="47"/>
    </row>
    <row r="165" spans="5:22" ht="15.75" customHeight="1">
      <c r="E165" s="47"/>
      <c r="H165" s="189"/>
      <c r="I165" s="189"/>
      <c r="J165" s="189"/>
      <c r="K165" s="189"/>
      <c r="L165" s="189"/>
      <c r="M165" s="189"/>
      <c r="N165" s="190"/>
      <c r="R165" s="189"/>
      <c r="V165" s="47"/>
    </row>
    <row r="166" spans="5:22" ht="15.75" customHeight="1">
      <c r="E166" s="47"/>
      <c r="H166" s="189"/>
      <c r="I166" s="189"/>
      <c r="J166" s="189"/>
      <c r="K166" s="189"/>
      <c r="L166" s="189"/>
      <c r="M166" s="189"/>
      <c r="N166" s="190"/>
      <c r="R166" s="189"/>
      <c r="V166" s="47"/>
    </row>
    <row r="167" spans="5:22" ht="15.75" customHeight="1">
      <c r="E167" s="47"/>
      <c r="H167" s="189"/>
      <c r="I167" s="189"/>
      <c r="J167" s="189"/>
      <c r="K167" s="189"/>
      <c r="L167" s="189"/>
      <c r="M167" s="189"/>
      <c r="N167" s="190"/>
      <c r="R167" s="189"/>
      <c r="V167" s="47"/>
    </row>
    <row r="168" spans="5:22" ht="15.75" customHeight="1">
      <c r="E168" s="47"/>
      <c r="H168" s="189"/>
      <c r="I168" s="189"/>
      <c r="J168" s="189"/>
      <c r="K168" s="189"/>
      <c r="L168" s="189"/>
      <c r="M168" s="189"/>
      <c r="N168" s="190"/>
      <c r="R168" s="189"/>
      <c r="V168" s="47"/>
    </row>
    <row r="169" spans="5:22" ht="15.75" customHeight="1">
      <c r="E169" s="47"/>
      <c r="H169" s="189"/>
      <c r="I169" s="189"/>
      <c r="J169" s="189"/>
      <c r="K169" s="189"/>
      <c r="L169" s="189"/>
      <c r="M169" s="189"/>
      <c r="N169" s="190"/>
      <c r="R169" s="189"/>
      <c r="V169" s="47"/>
    </row>
    <row r="170" spans="5:22" ht="15.75" customHeight="1">
      <c r="E170" s="47"/>
      <c r="H170" s="189"/>
      <c r="I170" s="189"/>
      <c r="J170" s="189"/>
      <c r="K170" s="189"/>
      <c r="L170" s="189"/>
      <c r="M170" s="189"/>
      <c r="N170" s="190"/>
      <c r="R170" s="189"/>
      <c r="V170" s="47"/>
    </row>
    <row r="171" spans="5:22" ht="15.75" customHeight="1">
      <c r="E171" s="47"/>
      <c r="H171" s="189"/>
      <c r="I171" s="189"/>
      <c r="J171" s="189"/>
      <c r="K171" s="189"/>
      <c r="L171" s="189"/>
      <c r="M171" s="189"/>
      <c r="N171" s="190"/>
      <c r="R171" s="189"/>
      <c r="V171" s="47"/>
    </row>
    <row r="172" spans="5:22" ht="15.75" customHeight="1">
      <c r="E172" s="47"/>
      <c r="H172" s="189"/>
      <c r="I172" s="189"/>
      <c r="J172" s="189"/>
      <c r="K172" s="189"/>
      <c r="L172" s="189"/>
      <c r="M172" s="189"/>
      <c r="N172" s="190"/>
      <c r="R172" s="189"/>
      <c r="V172" s="47"/>
    </row>
    <row r="173" spans="5:22" ht="15.75" customHeight="1">
      <c r="E173" s="47"/>
      <c r="H173" s="189"/>
      <c r="I173" s="189"/>
      <c r="J173" s="189"/>
      <c r="K173" s="189"/>
      <c r="L173" s="189"/>
      <c r="M173" s="189"/>
      <c r="N173" s="190"/>
      <c r="R173" s="189"/>
      <c r="V173" s="47"/>
    </row>
    <row r="174" spans="5:22" ht="15.75" customHeight="1">
      <c r="E174" s="47"/>
      <c r="H174" s="189"/>
      <c r="I174" s="189"/>
      <c r="J174" s="189"/>
      <c r="K174" s="189"/>
      <c r="L174" s="189"/>
      <c r="M174" s="189"/>
      <c r="N174" s="190"/>
      <c r="R174" s="189"/>
      <c r="V174" s="47"/>
    </row>
    <row r="175" spans="5:22" ht="15.75" customHeight="1">
      <c r="E175" s="47"/>
      <c r="H175" s="189"/>
      <c r="I175" s="189"/>
      <c r="J175" s="189"/>
      <c r="K175" s="189"/>
      <c r="L175" s="189"/>
      <c r="M175" s="189"/>
      <c r="N175" s="190"/>
      <c r="R175" s="189"/>
      <c r="V175" s="47"/>
    </row>
    <row r="176" spans="5:22" ht="15.75" customHeight="1">
      <c r="E176" s="47"/>
      <c r="H176" s="189"/>
      <c r="I176" s="189"/>
      <c r="J176" s="189"/>
      <c r="K176" s="189"/>
      <c r="L176" s="189"/>
      <c r="M176" s="189"/>
      <c r="N176" s="190"/>
      <c r="R176" s="189"/>
      <c r="V176" s="47"/>
    </row>
    <row r="177" spans="5:22" ht="15.75" customHeight="1">
      <c r="E177" s="47"/>
      <c r="H177" s="189"/>
      <c r="I177" s="189"/>
      <c r="J177" s="189"/>
      <c r="K177" s="189"/>
      <c r="L177" s="189"/>
      <c r="M177" s="189"/>
      <c r="N177" s="190"/>
      <c r="R177" s="189"/>
      <c r="V177" s="47"/>
    </row>
    <row r="178" spans="5:22" ht="15.75" customHeight="1">
      <c r="E178" s="47"/>
      <c r="H178" s="189"/>
      <c r="I178" s="189"/>
      <c r="J178" s="189"/>
      <c r="K178" s="189"/>
      <c r="L178" s="189"/>
      <c r="M178" s="189"/>
      <c r="N178" s="190"/>
      <c r="R178" s="189"/>
      <c r="V178" s="47"/>
    </row>
    <row r="179" spans="5:22" ht="15.75" customHeight="1">
      <c r="E179" s="47"/>
      <c r="H179" s="189"/>
      <c r="I179" s="189"/>
      <c r="J179" s="189"/>
      <c r="K179" s="189"/>
      <c r="L179" s="189"/>
      <c r="M179" s="189"/>
      <c r="N179" s="190"/>
      <c r="R179" s="189"/>
      <c r="V179" s="47"/>
    </row>
    <row r="180" spans="5:22" ht="15.75" customHeight="1">
      <c r="E180" s="47"/>
      <c r="H180" s="189"/>
      <c r="I180" s="189"/>
      <c r="J180" s="189"/>
      <c r="K180" s="189"/>
      <c r="L180" s="189"/>
      <c r="M180" s="189"/>
      <c r="N180" s="190"/>
      <c r="R180" s="189"/>
      <c r="V180" s="47"/>
    </row>
    <row r="181" spans="5:22" ht="15.75" customHeight="1">
      <c r="E181" s="47"/>
      <c r="H181" s="189"/>
      <c r="I181" s="189"/>
      <c r="J181" s="189"/>
      <c r="K181" s="189"/>
      <c r="L181" s="189"/>
      <c r="M181" s="189"/>
      <c r="N181" s="190"/>
      <c r="R181" s="189"/>
      <c r="V181" s="47"/>
    </row>
    <row r="182" spans="5:22" ht="15.75" customHeight="1">
      <c r="E182" s="47"/>
      <c r="H182" s="189"/>
      <c r="I182" s="189"/>
      <c r="J182" s="189"/>
      <c r="K182" s="189"/>
      <c r="L182" s="189"/>
      <c r="M182" s="189"/>
      <c r="N182" s="190"/>
      <c r="R182" s="189"/>
      <c r="V182" s="47"/>
    </row>
    <row r="183" spans="5:22" ht="15.75" customHeight="1">
      <c r="E183" s="47"/>
      <c r="H183" s="189"/>
      <c r="I183" s="189"/>
      <c r="J183" s="189"/>
      <c r="K183" s="189"/>
      <c r="L183" s="189"/>
      <c r="M183" s="189"/>
      <c r="N183" s="190"/>
      <c r="R183" s="189"/>
      <c r="V183" s="47"/>
    </row>
    <row r="184" spans="5:22" ht="15.75" customHeight="1">
      <c r="E184" s="47"/>
      <c r="H184" s="189"/>
      <c r="I184" s="189"/>
      <c r="J184" s="189"/>
      <c r="K184" s="189"/>
      <c r="L184" s="189"/>
      <c r="M184" s="189"/>
      <c r="N184" s="190"/>
      <c r="R184" s="189"/>
      <c r="V184" s="47"/>
    </row>
    <row r="185" spans="5:22" ht="15.75" customHeight="1">
      <c r="E185" s="47"/>
      <c r="H185" s="189"/>
      <c r="I185" s="189"/>
      <c r="J185" s="189"/>
      <c r="K185" s="189"/>
      <c r="L185" s="189"/>
      <c r="M185" s="189"/>
      <c r="N185" s="190"/>
      <c r="R185" s="189"/>
      <c r="V185" s="47"/>
    </row>
    <row r="186" spans="5:22" ht="15.75" customHeight="1">
      <c r="E186" s="47"/>
      <c r="H186" s="189"/>
      <c r="I186" s="189"/>
      <c r="J186" s="189"/>
      <c r="K186" s="189"/>
      <c r="L186" s="189"/>
      <c r="M186" s="189"/>
      <c r="N186" s="190"/>
      <c r="R186" s="189"/>
      <c r="V186" s="47"/>
    </row>
    <row r="187" spans="5:22" ht="15.75" customHeight="1">
      <c r="E187" s="47"/>
      <c r="H187" s="189"/>
      <c r="I187" s="189"/>
      <c r="J187" s="189"/>
      <c r="K187" s="189"/>
      <c r="L187" s="189"/>
      <c r="M187" s="189"/>
      <c r="N187" s="190"/>
      <c r="R187" s="189"/>
      <c r="V187" s="47"/>
    </row>
    <row r="188" spans="5:22" ht="15.75" customHeight="1">
      <c r="E188" s="47"/>
      <c r="H188" s="189"/>
      <c r="I188" s="189"/>
      <c r="J188" s="189"/>
      <c r="K188" s="189"/>
      <c r="L188" s="189"/>
      <c r="M188" s="189"/>
      <c r="N188" s="190"/>
      <c r="R188" s="189"/>
      <c r="V188" s="47"/>
    </row>
    <row r="189" spans="5:22" ht="15.75" customHeight="1">
      <c r="E189" s="47"/>
      <c r="H189" s="189"/>
      <c r="I189" s="189"/>
      <c r="J189" s="189"/>
      <c r="K189" s="189"/>
      <c r="L189" s="189"/>
      <c r="M189" s="189"/>
      <c r="N189" s="190"/>
      <c r="R189" s="189"/>
      <c r="V189" s="47"/>
    </row>
    <row r="190" spans="5:22" ht="15.75" customHeight="1">
      <c r="E190" s="47"/>
      <c r="H190" s="189"/>
      <c r="I190" s="189"/>
      <c r="J190" s="189"/>
      <c r="K190" s="189"/>
      <c r="L190" s="189"/>
      <c r="M190" s="189"/>
      <c r="N190" s="190"/>
      <c r="R190" s="189"/>
      <c r="V190" s="47"/>
    </row>
    <row r="191" spans="5:22" ht="15.75" customHeight="1">
      <c r="E191" s="47"/>
      <c r="H191" s="189"/>
      <c r="I191" s="189"/>
      <c r="J191" s="189"/>
      <c r="K191" s="189"/>
      <c r="L191" s="189"/>
      <c r="M191" s="189"/>
      <c r="N191" s="190"/>
      <c r="R191" s="189"/>
      <c r="V191" s="47"/>
    </row>
    <row r="192" spans="5:22" ht="15.75" customHeight="1">
      <c r="E192" s="47"/>
      <c r="H192" s="189"/>
      <c r="I192" s="189"/>
      <c r="J192" s="189"/>
      <c r="K192" s="189"/>
      <c r="L192" s="189"/>
      <c r="M192" s="189"/>
      <c r="N192" s="190"/>
      <c r="R192" s="189"/>
      <c r="V192" s="47"/>
    </row>
    <row r="193" spans="5:22" ht="15.75" customHeight="1">
      <c r="E193" s="47"/>
      <c r="H193" s="189"/>
      <c r="I193" s="189"/>
      <c r="J193" s="189"/>
      <c r="K193" s="189"/>
      <c r="L193" s="189"/>
      <c r="M193" s="189"/>
      <c r="N193" s="190"/>
      <c r="R193" s="189"/>
      <c r="V193" s="47"/>
    </row>
    <row r="194" spans="5:22" ht="15.75" customHeight="1">
      <c r="E194" s="47"/>
      <c r="H194" s="189"/>
      <c r="I194" s="189"/>
      <c r="J194" s="189"/>
      <c r="K194" s="189"/>
      <c r="L194" s="189"/>
      <c r="M194" s="189"/>
      <c r="N194" s="190"/>
      <c r="R194" s="189"/>
      <c r="V194" s="47"/>
    </row>
    <row r="195" spans="5:22" ht="15.75" customHeight="1">
      <c r="E195" s="47"/>
      <c r="H195" s="189"/>
      <c r="I195" s="189"/>
      <c r="J195" s="189"/>
      <c r="K195" s="189"/>
      <c r="L195" s="189"/>
      <c r="M195" s="189"/>
      <c r="N195" s="190"/>
      <c r="R195" s="189"/>
      <c r="V195" s="47"/>
    </row>
    <row r="196" spans="5:22" ht="15.75" customHeight="1">
      <c r="E196" s="47"/>
      <c r="H196" s="189"/>
      <c r="I196" s="189"/>
      <c r="J196" s="189"/>
      <c r="K196" s="189"/>
      <c r="L196" s="189"/>
      <c r="M196" s="189"/>
      <c r="N196" s="190"/>
      <c r="R196" s="189"/>
      <c r="V196" s="47"/>
    </row>
    <row r="197" spans="5:22" ht="15.75" customHeight="1">
      <c r="E197" s="47"/>
      <c r="H197" s="189"/>
      <c r="I197" s="189"/>
      <c r="J197" s="189"/>
      <c r="K197" s="189"/>
      <c r="L197" s="189"/>
      <c r="M197" s="189"/>
      <c r="N197" s="190"/>
      <c r="R197" s="189"/>
      <c r="V197" s="47"/>
    </row>
    <row r="198" spans="5:22" ht="15.75" customHeight="1">
      <c r="E198" s="47"/>
      <c r="H198" s="189"/>
      <c r="I198" s="189"/>
      <c r="J198" s="189"/>
      <c r="K198" s="189"/>
      <c r="L198" s="189"/>
      <c r="M198" s="189"/>
      <c r="N198" s="190"/>
      <c r="R198" s="189"/>
      <c r="V198" s="47"/>
    </row>
    <row r="199" spans="5:22" ht="15.75" customHeight="1">
      <c r="E199" s="47"/>
      <c r="H199" s="189"/>
      <c r="I199" s="189"/>
      <c r="J199" s="189"/>
      <c r="K199" s="189"/>
      <c r="L199" s="189"/>
      <c r="M199" s="189"/>
      <c r="N199" s="190"/>
      <c r="R199" s="189"/>
      <c r="V199" s="47"/>
    </row>
    <row r="200" spans="5:22" ht="15.75" customHeight="1">
      <c r="E200" s="47"/>
      <c r="H200" s="189"/>
      <c r="I200" s="189"/>
      <c r="J200" s="189"/>
      <c r="K200" s="189"/>
      <c r="L200" s="189"/>
      <c r="M200" s="189"/>
      <c r="N200" s="190"/>
      <c r="R200" s="189"/>
      <c r="V200" s="47"/>
    </row>
    <row r="201" spans="5:22" ht="15.75" customHeight="1">
      <c r="E201" s="47"/>
      <c r="H201" s="189"/>
      <c r="I201" s="189"/>
      <c r="J201" s="189"/>
      <c r="K201" s="189"/>
      <c r="L201" s="189"/>
      <c r="M201" s="189"/>
      <c r="N201" s="190"/>
      <c r="R201" s="189"/>
      <c r="V201" s="47"/>
    </row>
    <row r="202" spans="5:22" ht="15.75" customHeight="1">
      <c r="E202" s="47"/>
      <c r="H202" s="189"/>
      <c r="I202" s="189"/>
      <c r="J202" s="189"/>
      <c r="K202" s="189"/>
      <c r="L202" s="189"/>
      <c r="M202" s="189"/>
      <c r="N202" s="190"/>
      <c r="R202" s="189"/>
      <c r="V202" s="47"/>
    </row>
    <row r="203" spans="5:22" ht="15.75" customHeight="1">
      <c r="E203" s="47"/>
      <c r="H203" s="189"/>
      <c r="I203" s="189"/>
      <c r="J203" s="189"/>
      <c r="K203" s="189"/>
      <c r="L203" s="189"/>
      <c r="M203" s="189"/>
      <c r="N203" s="190"/>
      <c r="R203" s="189"/>
      <c r="V203" s="47"/>
    </row>
    <row r="204" spans="5:22" ht="15.75" customHeight="1">
      <c r="E204" s="47"/>
      <c r="H204" s="189"/>
      <c r="I204" s="189"/>
      <c r="J204" s="189"/>
      <c r="K204" s="189"/>
      <c r="L204" s="189"/>
      <c r="M204" s="189"/>
      <c r="N204" s="190"/>
      <c r="R204" s="189"/>
      <c r="V204" s="47"/>
    </row>
    <row r="205" spans="5:22" ht="15.75" customHeight="1">
      <c r="E205" s="47"/>
      <c r="H205" s="189"/>
      <c r="I205" s="189"/>
      <c r="J205" s="189"/>
      <c r="K205" s="189"/>
      <c r="L205" s="189"/>
      <c r="M205" s="189"/>
      <c r="N205" s="190"/>
      <c r="R205" s="189"/>
      <c r="V205" s="47"/>
    </row>
    <row r="206" spans="5:22" ht="15.75" customHeight="1">
      <c r="E206" s="47"/>
      <c r="H206" s="189"/>
      <c r="I206" s="189"/>
      <c r="J206" s="189"/>
      <c r="K206" s="189"/>
      <c r="L206" s="189"/>
      <c r="M206" s="189"/>
      <c r="N206" s="190"/>
      <c r="R206" s="189"/>
      <c r="V206" s="47"/>
    </row>
    <row r="207" spans="5:22" ht="15.75" customHeight="1">
      <c r="E207" s="47"/>
      <c r="H207" s="189"/>
      <c r="I207" s="189"/>
      <c r="J207" s="189"/>
      <c r="K207" s="189"/>
      <c r="L207" s="189"/>
      <c r="M207" s="189"/>
      <c r="N207" s="190"/>
      <c r="R207" s="189"/>
      <c r="V207" s="47"/>
    </row>
    <row r="208" spans="5:22" ht="15.75" customHeight="1">
      <c r="E208" s="47"/>
      <c r="H208" s="189"/>
      <c r="I208" s="189"/>
      <c r="J208" s="189"/>
      <c r="K208" s="189"/>
      <c r="L208" s="189"/>
      <c r="M208" s="189"/>
      <c r="N208" s="190"/>
      <c r="R208" s="189"/>
      <c r="V208" s="47"/>
    </row>
    <row r="209" spans="5:22" ht="15.75" customHeight="1">
      <c r="E209" s="47"/>
      <c r="H209" s="189"/>
      <c r="I209" s="189"/>
      <c r="J209" s="189"/>
      <c r="K209" s="189"/>
      <c r="L209" s="189"/>
      <c r="M209" s="189"/>
      <c r="N209" s="190"/>
      <c r="R209" s="189"/>
      <c r="V209" s="47"/>
    </row>
    <row r="210" spans="5:22" ht="15.75" customHeight="1">
      <c r="E210" s="47"/>
      <c r="H210" s="189"/>
      <c r="I210" s="189"/>
      <c r="J210" s="189"/>
      <c r="K210" s="189"/>
      <c r="L210" s="189"/>
      <c r="M210" s="189"/>
      <c r="N210" s="190"/>
      <c r="R210" s="189"/>
      <c r="V210" s="47"/>
    </row>
    <row r="211" spans="5:22" ht="15.75" customHeight="1">
      <c r="E211" s="47"/>
      <c r="H211" s="189"/>
      <c r="I211" s="189"/>
      <c r="J211" s="189"/>
      <c r="K211" s="189"/>
      <c r="L211" s="189"/>
      <c r="M211" s="189"/>
      <c r="N211" s="190"/>
      <c r="R211" s="189"/>
      <c r="V211" s="47"/>
    </row>
    <row r="212" spans="5:22" ht="15.75" customHeight="1">
      <c r="E212" s="47"/>
      <c r="H212" s="189"/>
      <c r="I212" s="189"/>
      <c r="J212" s="189"/>
      <c r="K212" s="189"/>
      <c r="L212" s="189"/>
      <c r="M212" s="189"/>
      <c r="N212" s="190"/>
      <c r="R212" s="189"/>
      <c r="V212" s="47"/>
    </row>
    <row r="213" spans="5:22" ht="15.75" customHeight="1">
      <c r="E213" s="47"/>
      <c r="H213" s="189"/>
      <c r="I213" s="189"/>
      <c r="J213" s="189"/>
      <c r="K213" s="189"/>
      <c r="L213" s="189"/>
      <c r="M213" s="189"/>
      <c r="N213" s="190"/>
      <c r="R213" s="189"/>
      <c r="V213" s="47"/>
    </row>
    <row r="214" spans="5:22" ht="15.75" customHeight="1">
      <c r="E214" s="47"/>
      <c r="H214" s="189"/>
      <c r="I214" s="189"/>
      <c r="J214" s="189"/>
      <c r="K214" s="189"/>
      <c r="L214" s="189"/>
      <c r="M214" s="189"/>
      <c r="N214" s="190"/>
      <c r="R214" s="189"/>
      <c r="V214" s="47"/>
    </row>
    <row r="215" spans="5:22" ht="15.75" customHeight="1">
      <c r="E215" s="47"/>
      <c r="H215" s="189"/>
      <c r="I215" s="189"/>
      <c r="J215" s="189"/>
      <c r="K215" s="189"/>
      <c r="L215" s="189"/>
      <c r="M215" s="189"/>
      <c r="N215" s="190"/>
      <c r="R215" s="189"/>
      <c r="V215" s="47"/>
    </row>
    <row r="216" spans="5:22" ht="15.75" customHeight="1">
      <c r="E216" s="47"/>
      <c r="H216" s="189"/>
      <c r="I216" s="189"/>
      <c r="J216" s="189"/>
      <c r="K216" s="189"/>
      <c r="L216" s="189"/>
      <c r="M216" s="189"/>
      <c r="N216" s="190"/>
      <c r="R216" s="189"/>
      <c r="V216" s="47"/>
    </row>
    <row r="217" spans="5:22" ht="15.75" customHeight="1">
      <c r="E217" s="47"/>
      <c r="H217" s="189"/>
      <c r="I217" s="189"/>
      <c r="J217" s="189"/>
      <c r="K217" s="189"/>
      <c r="L217" s="189"/>
      <c r="M217" s="189"/>
      <c r="N217" s="190"/>
      <c r="R217" s="189"/>
      <c r="V217" s="47"/>
    </row>
    <row r="218" spans="5:22" ht="15.75" customHeight="1">
      <c r="E218" s="47"/>
      <c r="H218" s="189"/>
      <c r="I218" s="189"/>
      <c r="J218" s="189"/>
      <c r="K218" s="189"/>
      <c r="L218" s="189"/>
      <c r="M218" s="189"/>
      <c r="N218" s="190"/>
      <c r="R218" s="189"/>
      <c r="V218" s="47"/>
    </row>
    <row r="219" spans="5:22" ht="15.75" customHeight="1">
      <c r="E219" s="47"/>
      <c r="H219" s="189"/>
      <c r="I219" s="189"/>
      <c r="J219" s="189"/>
      <c r="K219" s="189"/>
      <c r="L219" s="189"/>
      <c r="M219" s="189"/>
      <c r="N219" s="190"/>
      <c r="R219" s="189"/>
      <c r="V219" s="47"/>
    </row>
    <row r="220" spans="5:22" ht="15.75" customHeight="1">
      <c r="E220" s="47"/>
      <c r="H220" s="189"/>
      <c r="I220" s="189"/>
      <c r="J220" s="189"/>
      <c r="K220" s="189"/>
      <c r="L220" s="189"/>
      <c r="M220" s="189"/>
      <c r="N220" s="190"/>
      <c r="R220" s="189"/>
      <c r="V220" s="47"/>
    </row>
    <row r="221" spans="5:22" ht="15.75" customHeight="1">
      <c r="E221" s="47"/>
      <c r="H221" s="189"/>
      <c r="I221" s="189"/>
      <c r="J221" s="189"/>
      <c r="K221" s="189"/>
      <c r="L221" s="189"/>
      <c r="M221" s="189"/>
      <c r="N221" s="190"/>
      <c r="R221" s="189"/>
      <c r="V221" s="47"/>
    </row>
    <row r="222" spans="5:22" ht="15.75" customHeight="1">
      <c r="E222" s="47"/>
      <c r="H222" s="189"/>
      <c r="I222" s="189"/>
      <c r="J222" s="189"/>
      <c r="K222" s="189"/>
      <c r="L222" s="189"/>
      <c r="M222" s="189"/>
      <c r="N222" s="190"/>
      <c r="R222" s="189"/>
      <c r="V222" s="47"/>
    </row>
    <row r="223" spans="5:22" ht="15.75" customHeight="1">
      <c r="E223" s="47"/>
      <c r="H223" s="189"/>
      <c r="I223" s="189"/>
      <c r="J223" s="189"/>
      <c r="K223" s="189"/>
      <c r="L223" s="189"/>
      <c r="M223" s="189"/>
      <c r="N223" s="190"/>
      <c r="R223" s="189"/>
      <c r="V223" s="47"/>
    </row>
    <row r="224" spans="5:22" ht="15.75" customHeight="1">
      <c r="E224" s="47"/>
      <c r="H224" s="189"/>
      <c r="I224" s="189"/>
      <c r="J224" s="189"/>
      <c r="K224" s="189"/>
      <c r="L224" s="189"/>
      <c r="M224" s="189"/>
      <c r="N224" s="190"/>
      <c r="R224" s="189"/>
      <c r="V224" s="47"/>
    </row>
    <row r="225" spans="5:22" ht="15.75" customHeight="1">
      <c r="E225" s="47"/>
      <c r="H225" s="189"/>
      <c r="I225" s="189"/>
      <c r="J225" s="189"/>
      <c r="K225" s="189"/>
      <c r="L225" s="189"/>
      <c r="M225" s="189"/>
      <c r="N225" s="190"/>
      <c r="R225" s="189"/>
      <c r="V225" s="47"/>
    </row>
    <row r="226" spans="5:22" ht="15.75" customHeight="1">
      <c r="E226" s="47"/>
      <c r="H226" s="189"/>
      <c r="I226" s="189"/>
      <c r="J226" s="189"/>
      <c r="K226" s="189"/>
      <c r="L226" s="189"/>
      <c r="M226" s="189"/>
      <c r="N226" s="190"/>
      <c r="R226" s="189"/>
      <c r="V226" s="47"/>
    </row>
    <row r="227" spans="5:22" ht="15.75" customHeight="1">
      <c r="E227" s="47"/>
      <c r="H227" s="189"/>
      <c r="I227" s="189"/>
      <c r="J227" s="189"/>
      <c r="K227" s="189"/>
      <c r="L227" s="189"/>
      <c r="M227" s="189"/>
      <c r="N227" s="190"/>
      <c r="R227" s="189"/>
      <c r="V227" s="47"/>
    </row>
    <row r="228" spans="5:22" ht="15.75" customHeight="1">
      <c r="E228" s="47"/>
      <c r="H228" s="189"/>
      <c r="I228" s="189"/>
      <c r="J228" s="189"/>
      <c r="K228" s="189"/>
      <c r="L228" s="189"/>
      <c r="M228" s="189"/>
      <c r="N228" s="190"/>
      <c r="R228" s="189"/>
      <c r="V228" s="47"/>
    </row>
    <row r="229" spans="5:22" ht="15.75" customHeight="1">
      <c r="E229" s="47"/>
      <c r="H229" s="189"/>
      <c r="I229" s="189"/>
      <c r="J229" s="189"/>
      <c r="K229" s="189"/>
      <c r="L229" s="189"/>
      <c r="M229" s="189"/>
      <c r="N229" s="190"/>
      <c r="R229" s="189"/>
      <c r="V229" s="47"/>
    </row>
    <row r="230" spans="5:22" ht="15.75" customHeight="1">
      <c r="E230" s="47"/>
      <c r="H230" s="189"/>
      <c r="I230" s="189"/>
      <c r="J230" s="189"/>
      <c r="K230" s="189"/>
      <c r="L230" s="189"/>
      <c r="M230" s="189"/>
      <c r="N230" s="190"/>
      <c r="R230" s="189"/>
      <c r="V230" s="47"/>
    </row>
    <row r="231" spans="5:22" ht="15.75" customHeight="1">
      <c r="E231" s="47"/>
      <c r="H231" s="189"/>
      <c r="I231" s="189"/>
      <c r="J231" s="189"/>
      <c r="K231" s="189"/>
      <c r="L231" s="189"/>
      <c r="M231" s="189"/>
      <c r="N231" s="190"/>
      <c r="R231" s="189"/>
      <c r="V231" s="47"/>
    </row>
    <row r="232" spans="5:22" ht="15.75" customHeight="1">
      <c r="E232" s="47"/>
      <c r="H232" s="189"/>
      <c r="I232" s="189"/>
      <c r="J232" s="189"/>
      <c r="K232" s="189"/>
      <c r="L232" s="189"/>
      <c r="M232" s="189"/>
      <c r="N232" s="190"/>
      <c r="R232" s="189"/>
      <c r="V232" s="47"/>
    </row>
    <row r="233" spans="5:22" ht="15.75" customHeight="1">
      <c r="E233" s="47"/>
      <c r="H233" s="189"/>
      <c r="I233" s="189"/>
      <c r="J233" s="189"/>
      <c r="K233" s="189"/>
      <c r="L233" s="189"/>
      <c r="M233" s="189"/>
      <c r="N233" s="190"/>
      <c r="R233" s="189"/>
      <c r="V233" s="47"/>
    </row>
    <row r="234" spans="5:22" ht="15.75" customHeight="1">
      <c r="E234" s="47"/>
      <c r="H234" s="189"/>
      <c r="I234" s="189"/>
      <c r="J234" s="189"/>
      <c r="K234" s="189"/>
      <c r="L234" s="189"/>
      <c r="M234" s="189"/>
      <c r="N234" s="190"/>
      <c r="R234" s="189"/>
      <c r="V234" s="47"/>
    </row>
    <row r="235" spans="5:22" ht="15.75" customHeight="1">
      <c r="E235" s="47"/>
      <c r="H235" s="189"/>
      <c r="I235" s="189"/>
      <c r="J235" s="189"/>
      <c r="K235" s="189"/>
      <c r="L235" s="189"/>
      <c r="M235" s="189"/>
      <c r="N235" s="190"/>
      <c r="R235" s="189"/>
      <c r="V235" s="47"/>
    </row>
    <row r="236" spans="5:22" ht="15.75" customHeight="1">
      <c r="E236" s="47"/>
      <c r="H236" s="189"/>
      <c r="I236" s="189"/>
      <c r="J236" s="189"/>
      <c r="K236" s="189"/>
      <c r="L236" s="189"/>
      <c r="M236" s="189"/>
      <c r="N236" s="190"/>
      <c r="R236" s="189"/>
      <c r="V236" s="47"/>
    </row>
    <row r="237" spans="5:22" ht="15.75" customHeight="1">
      <c r="E237" s="47"/>
      <c r="H237" s="189"/>
      <c r="I237" s="189"/>
      <c r="J237" s="189"/>
      <c r="K237" s="189"/>
      <c r="L237" s="189"/>
      <c r="M237" s="189"/>
      <c r="N237" s="190"/>
      <c r="R237" s="189"/>
      <c r="V237" s="47"/>
    </row>
    <row r="238" spans="5:22" ht="15.75" customHeight="1">
      <c r="E238" s="47"/>
      <c r="H238" s="189"/>
      <c r="I238" s="189"/>
      <c r="J238" s="189"/>
      <c r="K238" s="189"/>
      <c r="L238" s="189"/>
      <c r="M238" s="189"/>
      <c r="N238" s="190"/>
      <c r="R238" s="189"/>
      <c r="V238" s="47"/>
    </row>
    <row r="239" spans="5:22" ht="15.75" customHeight="1">
      <c r="E239" s="47"/>
      <c r="H239" s="189"/>
      <c r="I239" s="189"/>
      <c r="J239" s="189"/>
      <c r="K239" s="189"/>
      <c r="L239" s="189"/>
      <c r="M239" s="189"/>
      <c r="N239" s="190"/>
      <c r="R239" s="189"/>
      <c r="V239" s="47"/>
    </row>
    <row r="240" spans="5:22" ht="15.75" customHeight="1">
      <c r="E240" s="47"/>
      <c r="H240" s="189"/>
      <c r="I240" s="189"/>
      <c r="J240" s="189"/>
      <c r="K240" s="189"/>
      <c r="L240" s="189"/>
      <c r="M240" s="189"/>
      <c r="N240" s="190"/>
      <c r="R240" s="189"/>
      <c r="V240" s="47"/>
    </row>
    <row r="241" spans="5:22" ht="15.75" customHeight="1">
      <c r="E241" s="47"/>
      <c r="H241" s="189"/>
      <c r="I241" s="189"/>
      <c r="J241" s="189"/>
      <c r="K241" s="189"/>
      <c r="L241" s="189"/>
      <c r="M241" s="189"/>
      <c r="N241" s="190"/>
      <c r="R241" s="189"/>
      <c r="V241" s="47"/>
    </row>
    <row r="242" spans="5:22" ht="15.75" customHeight="1">
      <c r="E242" s="47"/>
      <c r="H242" s="189"/>
      <c r="I242" s="189"/>
      <c r="J242" s="189"/>
      <c r="K242" s="189"/>
      <c r="L242" s="189"/>
      <c r="M242" s="189"/>
      <c r="N242" s="190"/>
      <c r="R242" s="189"/>
      <c r="V242" s="47"/>
    </row>
    <row r="243" spans="5:22" ht="15.75" customHeight="1">
      <c r="E243" s="47"/>
      <c r="H243" s="189"/>
      <c r="I243" s="189"/>
      <c r="J243" s="189"/>
      <c r="K243" s="189"/>
      <c r="L243" s="189"/>
      <c r="M243" s="189"/>
      <c r="N243" s="190"/>
      <c r="R243" s="189"/>
      <c r="V243" s="47"/>
    </row>
    <row r="244" spans="5:22" ht="15.75" customHeight="1">
      <c r="E244" s="47"/>
      <c r="H244" s="189"/>
      <c r="I244" s="189"/>
      <c r="J244" s="189"/>
      <c r="K244" s="189"/>
      <c r="L244" s="189"/>
      <c r="M244" s="189"/>
      <c r="N244" s="190"/>
      <c r="R244" s="189"/>
      <c r="V244" s="47"/>
    </row>
    <row r="245" spans="5:22" ht="15.75" customHeight="1">
      <c r="E245" s="47"/>
      <c r="H245" s="189"/>
      <c r="I245" s="189"/>
      <c r="J245" s="189"/>
      <c r="K245" s="189"/>
      <c r="L245" s="189"/>
      <c r="M245" s="189"/>
      <c r="N245" s="190"/>
      <c r="R245" s="189"/>
      <c r="V245" s="47"/>
    </row>
    <row r="246" spans="5:22" ht="15.75" customHeight="1">
      <c r="E246" s="47"/>
      <c r="H246" s="189"/>
      <c r="I246" s="189"/>
      <c r="J246" s="189"/>
      <c r="K246" s="189"/>
      <c r="L246" s="189"/>
      <c r="M246" s="189"/>
      <c r="N246" s="190"/>
      <c r="R246" s="189"/>
      <c r="V246" s="47"/>
    </row>
    <row r="247" spans="5:22" ht="15.75" customHeight="1">
      <c r="E247" s="47"/>
      <c r="H247" s="189"/>
      <c r="I247" s="189"/>
      <c r="J247" s="189"/>
      <c r="K247" s="189"/>
      <c r="L247" s="189"/>
      <c r="M247" s="189"/>
      <c r="N247" s="190"/>
      <c r="R247" s="189"/>
      <c r="V247" s="47"/>
    </row>
    <row r="248" spans="5:22" ht="15.75" customHeight="1">
      <c r="E248" s="47"/>
      <c r="H248" s="189"/>
      <c r="I248" s="189"/>
      <c r="J248" s="189"/>
      <c r="K248" s="189"/>
      <c r="L248" s="189"/>
      <c r="M248" s="189"/>
      <c r="N248" s="190"/>
      <c r="R248" s="189"/>
      <c r="V248" s="47"/>
    </row>
    <row r="249" spans="5:22" ht="15.75" customHeight="1">
      <c r="E249" s="47"/>
      <c r="H249" s="189"/>
      <c r="I249" s="189"/>
      <c r="J249" s="189"/>
      <c r="K249" s="189"/>
      <c r="L249" s="189"/>
      <c r="M249" s="189"/>
      <c r="N249" s="190"/>
      <c r="R249" s="189"/>
      <c r="V249" s="47"/>
    </row>
    <row r="250" spans="5:22" ht="15.75" customHeight="1">
      <c r="E250" s="47"/>
      <c r="H250" s="189"/>
      <c r="I250" s="189"/>
      <c r="J250" s="189"/>
      <c r="K250" s="189"/>
      <c r="L250" s="189"/>
      <c r="M250" s="189"/>
      <c r="N250" s="190"/>
      <c r="R250" s="189"/>
      <c r="V250" s="47"/>
    </row>
    <row r="251" spans="5:22" ht="15.75" customHeight="1">
      <c r="E251" s="47"/>
      <c r="H251" s="189"/>
      <c r="I251" s="189"/>
      <c r="J251" s="189"/>
      <c r="K251" s="189"/>
      <c r="L251" s="189"/>
      <c r="M251" s="189"/>
      <c r="N251" s="190"/>
      <c r="R251" s="189"/>
      <c r="V251" s="47"/>
    </row>
    <row r="252" spans="5:22" ht="15.75" customHeight="1">
      <c r="E252" s="47"/>
      <c r="H252" s="189"/>
      <c r="I252" s="189"/>
      <c r="J252" s="189"/>
      <c r="K252" s="189"/>
      <c r="L252" s="189"/>
      <c r="M252" s="189"/>
      <c r="N252" s="190"/>
      <c r="R252" s="189"/>
      <c r="V252" s="47"/>
    </row>
    <row r="253" spans="5:22" ht="15.75" customHeight="1">
      <c r="E253" s="47"/>
      <c r="H253" s="189"/>
      <c r="I253" s="189"/>
      <c r="J253" s="189"/>
      <c r="K253" s="189"/>
      <c r="L253" s="189"/>
      <c r="M253" s="189"/>
      <c r="N253" s="190"/>
      <c r="R253" s="189"/>
      <c r="V253" s="47"/>
    </row>
    <row r="254" spans="5:22" ht="15.75" customHeight="1">
      <c r="E254" s="47"/>
      <c r="H254" s="189"/>
      <c r="I254" s="189"/>
      <c r="J254" s="189"/>
      <c r="K254" s="189"/>
      <c r="L254" s="189"/>
      <c r="M254" s="189"/>
      <c r="N254" s="190"/>
      <c r="R254" s="189"/>
      <c r="V254" s="47"/>
    </row>
    <row r="255" spans="5:22" ht="15.75" customHeight="1">
      <c r="E255" s="47"/>
      <c r="H255" s="189"/>
      <c r="I255" s="189"/>
      <c r="J255" s="189"/>
      <c r="K255" s="189"/>
      <c r="L255" s="189"/>
      <c r="M255" s="189"/>
      <c r="N255" s="190"/>
      <c r="R255" s="189"/>
      <c r="V255" s="47"/>
    </row>
    <row r="256" spans="5:22" ht="15.75" customHeight="1">
      <c r="E256" s="47"/>
      <c r="H256" s="189"/>
      <c r="I256" s="189"/>
      <c r="J256" s="189"/>
      <c r="K256" s="189"/>
      <c r="L256" s="189"/>
      <c r="M256" s="189"/>
      <c r="N256" s="190"/>
      <c r="R256" s="189"/>
      <c r="V256" s="47"/>
    </row>
    <row r="257" spans="5:22" ht="15.75" customHeight="1">
      <c r="E257" s="47"/>
      <c r="H257" s="189"/>
      <c r="I257" s="189"/>
      <c r="J257" s="189"/>
      <c r="K257" s="189"/>
      <c r="L257" s="189"/>
      <c r="M257" s="189"/>
      <c r="N257" s="190"/>
      <c r="R257" s="189"/>
      <c r="V257" s="47"/>
    </row>
    <row r="258" spans="5:22" ht="15.75" customHeight="1">
      <c r="E258" s="47"/>
      <c r="H258" s="189"/>
      <c r="I258" s="189"/>
      <c r="J258" s="189"/>
      <c r="K258" s="189"/>
      <c r="L258" s="189"/>
      <c r="M258" s="189"/>
      <c r="N258" s="190"/>
      <c r="R258" s="189"/>
      <c r="V258" s="47"/>
    </row>
    <row r="259" spans="5:22" ht="15.75" customHeight="1">
      <c r="E259" s="47"/>
      <c r="H259" s="189"/>
      <c r="I259" s="189"/>
      <c r="J259" s="189"/>
      <c r="K259" s="189"/>
      <c r="L259" s="189"/>
      <c r="M259" s="189"/>
      <c r="N259" s="190"/>
      <c r="R259" s="189"/>
      <c r="V259" s="47"/>
    </row>
    <row r="260" spans="5:22" ht="15.75" customHeight="1">
      <c r="E260" s="47"/>
      <c r="H260" s="189"/>
      <c r="I260" s="189"/>
      <c r="J260" s="189"/>
      <c r="K260" s="189"/>
      <c r="L260" s="189"/>
      <c r="M260" s="189"/>
      <c r="N260" s="190"/>
      <c r="R260" s="189"/>
      <c r="V260" s="47"/>
    </row>
    <row r="261" spans="5:22" ht="15.75" customHeight="1">
      <c r="E261" s="47"/>
      <c r="H261" s="189"/>
      <c r="I261" s="189"/>
      <c r="J261" s="189"/>
      <c r="K261" s="189"/>
      <c r="L261" s="189"/>
      <c r="M261" s="189"/>
      <c r="N261" s="190"/>
      <c r="R261" s="189"/>
      <c r="V261" s="47"/>
    </row>
    <row r="262" spans="5:22" ht="15.75" customHeight="1">
      <c r="E262" s="47"/>
      <c r="H262" s="189"/>
      <c r="I262" s="189"/>
      <c r="J262" s="189"/>
      <c r="K262" s="189"/>
      <c r="L262" s="189"/>
      <c r="M262" s="189"/>
      <c r="N262" s="190"/>
      <c r="R262" s="189"/>
      <c r="V262" s="47"/>
    </row>
    <row r="263" spans="5:22" ht="15.75" customHeight="1">
      <c r="E263" s="47"/>
      <c r="H263" s="189"/>
      <c r="I263" s="189"/>
      <c r="J263" s="189"/>
      <c r="K263" s="189"/>
      <c r="L263" s="189"/>
      <c r="M263" s="189"/>
      <c r="N263" s="190"/>
      <c r="R263" s="189"/>
      <c r="V263" s="47"/>
    </row>
    <row r="264" spans="5:22" ht="15.75" customHeight="1">
      <c r="E264" s="47"/>
      <c r="H264" s="189"/>
      <c r="I264" s="189"/>
      <c r="J264" s="189"/>
      <c r="K264" s="189"/>
      <c r="L264" s="189"/>
      <c r="M264" s="189"/>
      <c r="N264" s="190"/>
      <c r="R264" s="189"/>
      <c r="V264" s="47"/>
    </row>
    <row r="265" spans="5:22" ht="15.75" customHeight="1">
      <c r="E265" s="47"/>
      <c r="H265" s="189"/>
      <c r="I265" s="189"/>
      <c r="J265" s="189"/>
      <c r="K265" s="189"/>
      <c r="L265" s="189"/>
      <c r="M265" s="189"/>
      <c r="N265" s="190"/>
      <c r="R265" s="189"/>
      <c r="V265" s="47"/>
    </row>
    <row r="266" spans="5:22" ht="15.75" customHeight="1">
      <c r="E266" s="47"/>
      <c r="H266" s="189"/>
      <c r="I266" s="189"/>
      <c r="J266" s="189"/>
      <c r="K266" s="189"/>
      <c r="L266" s="189"/>
      <c r="M266" s="189"/>
      <c r="N266" s="190"/>
      <c r="R266" s="189"/>
      <c r="V266" s="47"/>
    </row>
    <row r="267" spans="5:22" ht="15.75" customHeight="1">
      <c r="E267" s="47"/>
      <c r="H267" s="189"/>
      <c r="I267" s="189"/>
      <c r="J267" s="189"/>
      <c r="K267" s="189"/>
      <c r="L267" s="189"/>
      <c r="M267" s="189"/>
      <c r="N267" s="190"/>
      <c r="R267" s="189"/>
      <c r="V267" s="47"/>
    </row>
    <row r="268" spans="5:22" ht="15.75" customHeight="1">
      <c r="E268" s="47"/>
      <c r="H268" s="189"/>
      <c r="I268" s="189"/>
      <c r="J268" s="189"/>
      <c r="K268" s="189"/>
      <c r="L268" s="189"/>
      <c r="M268" s="189"/>
      <c r="N268" s="190"/>
      <c r="R268" s="189"/>
      <c r="V268" s="47"/>
    </row>
    <row r="269" spans="5:22" ht="15.75" customHeight="1">
      <c r="E269" s="47"/>
      <c r="H269" s="189"/>
      <c r="I269" s="189"/>
      <c r="J269" s="189"/>
      <c r="K269" s="189"/>
      <c r="L269" s="189"/>
      <c r="M269" s="189"/>
      <c r="N269" s="190"/>
      <c r="R269" s="189"/>
      <c r="V269" s="47"/>
    </row>
    <row r="270" spans="5:22" ht="15.75" customHeight="1">
      <c r="E270" s="47"/>
      <c r="H270" s="189"/>
      <c r="I270" s="189"/>
      <c r="J270" s="189"/>
      <c r="K270" s="189"/>
      <c r="L270" s="189"/>
      <c r="M270" s="189"/>
      <c r="N270" s="190"/>
      <c r="R270" s="189"/>
      <c r="V270" s="47"/>
    </row>
    <row r="271" spans="5:22" ht="15.75" customHeight="1">
      <c r="E271" s="47"/>
      <c r="H271" s="189"/>
      <c r="I271" s="189"/>
      <c r="J271" s="189"/>
      <c r="K271" s="189"/>
      <c r="L271" s="189"/>
      <c r="M271" s="189"/>
      <c r="N271" s="190"/>
      <c r="R271" s="189"/>
      <c r="V271" s="47"/>
    </row>
    <row r="272" spans="5:22" ht="15.75" customHeight="1">
      <c r="E272" s="47"/>
      <c r="H272" s="189"/>
      <c r="I272" s="189"/>
      <c r="J272" s="189"/>
      <c r="K272" s="189"/>
      <c r="L272" s="189"/>
      <c r="M272" s="189"/>
      <c r="N272" s="190"/>
      <c r="R272" s="189"/>
      <c r="V272" s="47"/>
    </row>
    <row r="273" spans="5:22" ht="15.75" customHeight="1">
      <c r="E273" s="47"/>
      <c r="H273" s="189"/>
      <c r="I273" s="189"/>
      <c r="J273" s="189"/>
      <c r="K273" s="189"/>
      <c r="L273" s="189"/>
      <c r="M273" s="189"/>
      <c r="N273" s="190"/>
      <c r="R273" s="189"/>
      <c r="V273" s="47"/>
    </row>
    <row r="274" spans="5:22" ht="15.75" customHeight="1">
      <c r="E274" s="47"/>
      <c r="H274" s="189"/>
      <c r="I274" s="189"/>
      <c r="J274" s="189"/>
      <c r="K274" s="189"/>
      <c r="L274" s="189"/>
      <c r="M274" s="189"/>
      <c r="N274" s="190"/>
      <c r="R274" s="189"/>
      <c r="V274" s="47"/>
    </row>
    <row r="275" spans="5:22" ht="15.75" customHeight="1">
      <c r="E275" s="47"/>
      <c r="H275" s="189"/>
      <c r="I275" s="189"/>
      <c r="J275" s="189"/>
      <c r="K275" s="189"/>
      <c r="L275" s="189"/>
      <c r="M275" s="189"/>
      <c r="N275" s="190"/>
      <c r="R275" s="189"/>
      <c r="V275" s="47"/>
    </row>
    <row r="276" spans="5:22" ht="15.75" customHeight="1">
      <c r="E276" s="47"/>
      <c r="H276" s="189"/>
      <c r="I276" s="189"/>
      <c r="J276" s="189"/>
      <c r="K276" s="189"/>
      <c r="L276" s="189"/>
      <c r="M276" s="189"/>
      <c r="N276" s="190"/>
      <c r="R276" s="189"/>
      <c r="V276" s="47"/>
    </row>
    <row r="277" spans="5:22" ht="15.75" customHeight="1">
      <c r="E277" s="47"/>
      <c r="H277" s="189"/>
      <c r="I277" s="189"/>
      <c r="J277" s="189"/>
      <c r="K277" s="189"/>
      <c r="L277" s="189"/>
      <c r="M277" s="189"/>
      <c r="N277" s="190"/>
      <c r="R277" s="189"/>
      <c r="V277" s="47"/>
    </row>
    <row r="278" spans="5:22" ht="15.75" customHeight="1">
      <c r="E278" s="47"/>
      <c r="H278" s="189"/>
      <c r="I278" s="189"/>
      <c r="J278" s="189"/>
      <c r="K278" s="189"/>
      <c r="L278" s="189"/>
      <c r="M278" s="189"/>
      <c r="N278" s="190"/>
      <c r="R278" s="189"/>
      <c r="V278" s="47"/>
    </row>
    <row r="279" spans="5:22" ht="15.75" customHeight="1">
      <c r="E279" s="47"/>
      <c r="H279" s="189"/>
      <c r="I279" s="189"/>
      <c r="J279" s="189"/>
      <c r="K279" s="189"/>
      <c r="L279" s="189"/>
      <c r="M279" s="189"/>
      <c r="N279" s="190"/>
      <c r="R279" s="189"/>
      <c r="V279" s="47"/>
    </row>
    <row r="280" spans="5:22" ht="15.75" customHeight="1">
      <c r="E280" s="47"/>
      <c r="H280" s="189"/>
      <c r="I280" s="189"/>
      <c r="J280" s="189"/>
      <c r="K280" s="189"/>
      <c r="L280" s="189"/>
      <c r="M280" s="189"/>
      <c r="N280" s="190"/>
      <c r="R280" s="189"/>
      <c r="V280" s="47"/>
    </row>
    <row r="281" spans="5:22" ht="15.75" customHeight="1">
      <c r="E281" s="47"/>
      <c r="H281" s="189"/>
      <c r="I281" s="189"/>
      <c r="J281" s="189"/>
      <c r="K281" s="189"/>
      <c r="L281" s="189"/>
      <c r="M281" s="189"/>
      <c r="N281" s="190"/>
      <c r="R281" s="189"/>
      <c r="V281" s="47"/>
    </row>
    <row r="282" spans="5:22" ht="15.75" customHeight="1">
      <c r="E282" s="47"/>
      <c r="H282" s="189"/>
      <c r="I282" s="189"/>
      <c r="J282" s="189"/>
      <c r="K282" s="189"/>
      <c r="L282" s="189"/>
      <c r="M282" s="189"/>
      <c r="N282" s="190"/>
      <c r="R282" s="189"/>
      <c r="V282" s="47"/>
    </row>
    <row r="283" spans="5:22" ht="15.75" customHeight="1">
      <c r="E283" s="47"/>
      <c r="H283" s="189"/>
      <c r="I283" s="189"/>
      <c r="J283" s="189"/>
      <c r="K283" s="189"/>
      <c r="L283" s="189"/>
      <c r="M283" s="189"/>
      <c r="N283" s="190"/>
      <c r="R283" s="189"/>
      <c r="V283" s="47"/>
    </row>
    <row r="284" spans="5:22" ht="15.75" customHeight="1">
      <c r="E284" s="47"/>
      <c r="H284" s="189"/>
      <c r="I284" s="189"/>
      <c r="J284" s="189"/>
      <c r="K284" s="189"/>
      <c r="L284" s="189"/>
      <c r="M284" s="189"/>
      <c r="N284" s="190"/>
      <c r="R284" s="189"/>
      <c r="V284" s="47"/>
    </row>
    <row r="285" spans="5:22" ht="15.75" customHeight="1">
      <c r="E285" s="47"/>
      <c r="H285" s="189"/>
      <c r="I285" s="189"/>
      <c r="J285" s="189"/>
      <c r="K285" s="189"/>
      <c r="L285" s="189"/>
      <c r="M285" s="189"/>
      <c r="N285" s="190"/>
      <c r="R285" s="189"/>
      <c r="V285" s="47"/>
    </row>
    <row r="286" spans="5:22" ht="15.75" customHeight="1">
      <c r="E286" s="47"/>
      <c r="H286" s="189"/>
      <c r="I286" s="189"/>
      <c r="J286" s="189"/>
      <c r="K286" s="189"/>
      <c r="L286" s="189"/>
      <c r="M286" s="189"/>
      <c r="N286" s="190"/>
      <c r="R286" s="189"/>
      <c r="V286" s="47"/>
    </row>
    <row r="287" spans="5:22" ht="15.75" customHeight="1">
      <c r="E287" s="47"/>
      <c r="H287" s="189"/>
      <c r="I287" s="189"/>
      <c r="J287" s="189"/>
      <c r="K287" s="189"/>
      <c r="L287" s="189"/>
      <c r="M287" s="189"/>
      <c r="N287" s="190"/>
      <c r="R287" s="189"/>
      <c r="V287" s="47"/>
    </row>
    <row r="288" spans="5:22" ht="15.75" customHeight="1">
      <c r="E288" s="47"/>
      <c r="H288" s="189"/>
      <c r="I288" s="189"/>
      <c r="J288" s="189"/>
      <c r="K288" s="189"/>
      <c r="L288" s="189"/>
      <c r="M288" s="189"/>
      <c r="N288" s="190"/>
      <c r="R288" s="189"/>
      <c r="V288" s="47"/>
    </row>
    <row r="289" spans="5:22" ht="15.75" customHeight="1">
      <c r="E289" s="47"/>
      <c r="H289" s="189"/>
      <c r="I289" s="189"/>
      <c r="J289" s="189"/>
      <c r="K289" s="189"/>
      <c r="L289" s="189"/>
      <c r="M289" s="189"/>
      <c r="N289" s="190"/>
      <c r="R289" s="189"/>
      <c r="V289" s="47"/>
    </row>
    <row r="290" spans="5:22" ht="15.75" customHeight="1">
      <c r="E290" s="47"/>
      <c r="H290" s="189"/>
      <c r="I290" s="189"/>
      <c r="J290" s="189"/>
      <c r="K290" s="189"/>
      <c r="L290" s="189"/>
      <c r="M290" s="189"/>
      <c r="N290" s="190"/>
      <c r="R290" s="189"/>
      <c r="V290" s="47"/>
    </row>
    <row r="291" spans="5:22" ht="15.75" customHeight="1">
      <c r="E291" s="47"/>
      <c r="H291" s="189"/>
      <c r="I291" s="189"/>
      <c r="J291" s="189"/>
      <c r="K291" s="189"/>
      <c r="L291" s="189"/>
      <c r="M291" s="189"/>
      <c r="N291" s="190"/>
      <c r="R291" s="189"/>
      <c r="V291" s="47"/>
    </row>
    <row r="292" spans="5:22" ht="15.75" customHeight="1">
      <c r="E292" s="47"/>
      <c r="H292" s="189"/>
      <c r="I292" s="189"/>
      <c r="J292" s="189"/>
      <c r="K292" s="189"/>
      <c r="L292" s="189"/>
      <c r="M292" s="189"/>
      <c r="N292" s="190"/>
      <c r="R292" s="189"/>
      <c r="V292" s="47"/>
    </row>
    <row r="293" spans="5:22" ht="15.75" customHeight="1">
      <c r="E293" s="47"/>
      <c r="H293" s="189"/>
      <c r="I293" s="189"/>
      <c r="J293" s="189"/>
      <c r="K293" s="189"/>
      <c r="L293" s="189"/>
      <c r="M293" s="189"/>
      <c r="N293" s="190"/>
      <c r="R293" s="189"/>
      <c r="V293" s="47"/>
    </row>
    <row r="294" spans="5:22" ht="15.75" customHeight="1">
      <c r="E294" s="47"/>
      <c r="H294" s="189"/>
      <c r="I294" s="189"/>
      <c r="J294" s="189"/>
      <c r="K294" s="189"/>
      <c r="L294" s="189"/>
      <c r="M294" s="189"/>
      <c r="N294" s="190"/>
      <c r="R294" s="189"/>
      <c r="V294" s="47"/>
    </row>
    <row r="295" spans="5:22" ht="15.75" customHeight="1">
      <c r="E295" s="47"/>
      <c r="H295" s="189"/>
      <c r="I295" s="189"/>
      <c r="J295" s="189"/>
      <c r="K295" s="189"/>
      <c r="L295" s="189"/>
      <c r="M295" s="189"/>
      <c r="N295" s="190"/>
      <c r="R295" s="189"/>
      <c r="V295" s="47"/>
    </row>
    <row r="296" spans="5:22" ht="15.75" customHeight="1">
      <c r="E296" s="47"/>
      <c r="H296" s="189"/>
      <c r="I296" s="189"/>
      <c r="J296" s="189"/>
      <c r="K296" s="189"/>
      <c r="L296" s="189"/>
      <c r="M296" s="189"/>
      <c r="N296" s="190"/>
      <c r="R296" s="189"/>
      <c r="V296" s="47"/>
    </row>
    <row r="297" spans="5:22" ht="15.75" customHeight="1">
      <c r="E297" s="47"/>
      <c r="H297" s="189"/>
      <c r="I297" s="189"/>
      <c r="J297" s="189"/>
      <c r="K297" s="189"/>
      <c r="L297" s="189"/>
      <c r="M297" s="189"/>
      <c r="N297" s="190"/>
      <c r="R297" s="189"/>
      <c r="V297" s="47"/>
    </row>
    <row r="298" spans="5:22" ht="15.75" customHeight="1">
      <c r="E298" s="47"/>
      <c r="H298" s="189"/>
      <c r="I298" s="189"/>
      <c r="J298" s="189"/>
      <c r="K298" s="189"/>
      <c r="L298" s="189"/>
      <c r="M298" s="189"/>
      <c r="N298" s="190"/>
      <c r="R298" s="189"/>
      <c r="V298" s="47"/>
    </row>
    <row r="299" spans="5:22" ht="15.75" customHeight="1">
      <c r="E299" s="47"/>
      <c r="H299" s="189"/>
      <c r="I299" s="189"/>
      <c r="J299" s="189"/>
      <c r="K299" s="189"/>
      <c r="L299" s="189"/>
      <c r="M299" s="189"/>
      <c r="N299" s="190"/>
      <c r="R299" s="189"/>
      <c r="V299" s="47"/>
    </row>
    <row r="300" spans="5:22" ht="15.75" customHeight="1">
      <c r="E300" s="47"/>
      <c r="H300" s="189"/>
      <c r="I300" s="189"/>
      <c r="J300" s="189"/>
      <c r="K300" s="189"/>
      <c r="L300" s="189"/>
      <c r="M300" s="189"/>
      <c r="N300" s="190"/>
      <c r="R300" s="189"/>
      <c r="V300" s="47"/>
    </row>
    <row r="301" spans="5:22" ht="15.75" customHeight="1">
      <c r="E301" s="47"/>
      <c r="H301" s="189"/>
      <c r="I301" s="189"/>
      <c r="J301" s="189"/>
      <c r="K301" s="189"/>
      <c r="L301" s="189"/>
      <c r="M301" s="189"/>
      <c r="N301" s="190"/>
      <c r="R301" s="189"/>
      <c r="V301" s="47"/>
    </row>
    <row r="302" spans="5:22" ht="15.75" customHeight="1">
      <c r="E302" s="47"/>
      <c r="H302" s="189"/>
      <c r="I302" s="189"/>
      <c r="J302" s="189"/>
      <c r="K302" s="189"/>
      <c r="L302" s="189"/>
      <c r="M302" s="189"/>
      <c r="N302" s="190"/>
      <c r="R302" s="189"/>
      <c r="V302" s="47"/>
    </row>
    <row r="303" spans="5:22" ht="15.75" customHeight="1">
      <c r="E303" s="47"/>
      <c r="H303" s="189"/>
      <c r="I303" s="189"/>
      <c r="J303" s="189"/>
      <c r="K303" s="189"/>
      <c r="L303" s="189"/>
      <c r="M303" s="189"/>
      <c r="N303" s="190"/>
      <c r="R303" s="189"/>
      <c r="V303" s="47"/>
    </row>
    <row r="304" spans="5:22" ht="15.75" customHeight="1">
      <c r="E304" s="47"/>
      <c r="H304" s="189"/>
      <c r="I304" s="189"/>
      <c r="J304" s="189"/>
      <c r="K304" s="189"/>
      <c r="L304" s="189"/>
      <c r="M304" s="189"/>
      <c r="N304" s="190"/>
      <c r="R304" s="189"/>
      <c r="V304" s="47"/>
    </row>
    <row r="305" spans="5:22" ht="15.75" customHeight="1">
      <c r="E305" s="47"/>
      <c r="H305" s="189"/>
      <c r="I305" s="189"/>
      <c r="J305" s="189"/>
      <c r="K305" s="189"/>
      <c r="L305" s="189"/>
      <c r="M305" s="189"/>
      <c r="N305" s="190"/>
      <c r="R305" s="189"/>
      <c r="V305" s="47"/>
    </row>
    <row r="306" spans="5:22" ht="15.75" customHeight="1">
      <c r="E306" s="47"/>
      <c r="H306" s="189"/>
      <c r="I306" s="189"/>
      <c r="J306" s="189"/>
      <c r="K306" s="189"/>
      <c r="L306" s="189"/>
      <c r="M306" s="189"/>
      <c r="N306" s="190"/>
      <c r="R306" s="189"/>
      <c r="V306" s="47"/>
    </row>
    <row r="307" spans="5:22" ht="15.75" customHeight="1">
      <c r="E307" s="47"/>
      <c r="H307" s="189"/>
      <c r="I307" s="189"/>
      <c r="J307" s="189"/>
      <c r="K307" s="189"/>
      <c r="L307" s="189"/>
      <c r="M307" s="189"/>
      <c r="N307" s="190"/>
      <c r="R307" s="189"/>
      <c r="V307" s="47"/>
    </row>
    <row r="308" spans="5:22" ht="15.75" customHeight="1">
      <c r="E308" s="47"/>
      <c r="H308" s="189"/>
      <c r="I308" s="189"/>
      <c r="J308" s="189"/>
      <c r="K308" s="189"/>
      <c r="L308" s="189"/>
      <c r="M308" s="189"/>
      <c r="N308" s="190"/>
      <c r="R308" s="189"/>
      <c r="V308" s="47"/>
    </row>
    <row r="309" spans="5:22" ht="15.75" customHeight="1">
      <c r="E309" s="47"/>
      <c r="H309" s="189"/>
      <c r="I309" s="189"/>
      <c r="J309" s="189"/>
      <c r="K309" s="189"/>
      <c r="L309" s="189"/>
      <c r="M309" s="189"/>
      <c r="N309" s="190"/>
      <c r="R309" s="189"/>
      <c r="V309" s="47"/>
    </row>
    <row r="310" spans="5:22" ht="15.75" customHeight="1">
      <c r="E310" s="47"/>
      <c r="H310" s="189"/>
      <c r="I310" s="189"/>
      <c r="J310" s="189"/>
      <c r="K310" s="189"/>
      <c r="L310" s="189"/>
      <c r="M310" s="189"/>
      <c r="N310" s="190"/>
      <c r="R310" s="189"/>
      <c r="V310" s="47"/>
    </row>
    <row r="311" spans="5:22" ht="15.75" customHeight="1">
      <c r="E311" s="47"/>
      <c r="H311" s="189"/>
      <c r="I311" s="189"/>
      <c r="J311" s="189"/>
      <c r="K311" s="189"/>
      <c r="L311" s="189"/>
      <c r="M311" s="189"/>
      <c r="N311" s="190"/>
      <c r="R311" s="189"/>
      <c r="V311" s="47"/>
    </row>
    <row r="312" spans="5:22" ht="15.75" customHeight="1">
      <c r="E312" s="47"/>
      <c r="H312" s="189"/>
      <c r="I312" s="189"/>
      <c r="J312" s="189"/>
      <c r="K312" s="189"/>
      <c r="L312" s="189"/>
      <c r="M312" s="189"/>
      <c r="N312" s="190"/>
      <c r="R312" s="189"/>
      <c r="V312" s="47"/>
    </row>
    <row r="313" spans="5:22" ht="15.75" customHeight="1">
      <c r="E313" s="47"/>
      <c r="H313" s="189"/>
      <c r="I313" s="189"/>
      <c r="J313" s="189"/>
      <c r="K313" s="189"/>
      <c r="L313" s="189"/>
      <c r="M313" s="189"/>
      <c r="N313" s="190"/>
      <c r="R313" s="189"/>
      <c r="V313" s="47"/>
    </row>
    <row r="314" spans="5:22" ht="15.75" customHeight="1">
      <c r="E314" s="47"/>
      <c r="H314" s="189"/>
      <c r="I314" s="189"/>
      <c r="J314" s="189"/>
      <c r="K314" s="189"/>
      <c r="L314" s="189"/>
      <c r="M314" s="189"/>
      <c r="N314" s="190"/>
      <c r="R314" s="189"/>
      <c r="V314" s="47"/>
    </row>
    <row r="315" spans="5:22" ht="15.75" customHeight="1">
      <c r="E315" s="47"/>
      <c r="H315" s="189"/>
      <c r="I315" s="189"/>
      <c r="J315" s="189"/>
      <c r="K315" s="189"/>
      <c r="L315" s="189"/>
      <c r="M315" s="189"/>
      <c r="N315" s="190"/>
      <c r="R315" s="189"/>
      <c r="V315" s="47"/>
    </row>
    <row r="316" spans="5:22" ht="15.75" customHeight="1">
      <c r="E316" s="47"/>
      <c r="H316" s="189"/>
      <c r="I316" s="189"/>
      <c r="J316" s="189"/>
      <c r="K316" s="189"/>
      <c r="L316" s="189"/>
      <c r="M316" s="189"/>
      <c r="N316" s="190"/>
      <c r="R316" s="189"/>
      <c r="V316" s="47"/>
    </row>
    <row r="317" spans="5:22" ht="15.75" customHeight="1">
      <c r="E317" s="47"/>
      <c r="H317" s="189"/>
      <c r="I317" s="189"/>
      <c r="J317" s="189"/>
      <c r="K317" s="189"/>
      <c r="L317" s="189"/>
      <c r="M317" s="189"/>
      <c r="N317" s="190"/>
      <c r="R317" s="189"/>
      <c r="V317" s="47"/>
    </row>
    <row r="318" spans="5:22" ht="15.75" customHeight="1">
      <c r="E318" s="47"/>
      <c r="H318" s="189"/>
      <c r="I318" s="189"/>
      <c r="J318" s="189"/>
      <c r="K318" s="189"/>
      <c r="L318" s="189"/>
      <c r="M318" s="189"/>
      <c r="N318" s="190"/>
      <c r="R318" s="189"/>
      <c r="V318" s="47"/>
    </row>
    <row r="319" spans="5:22" ht="15.75" customHeight="1">
      <c r="E319" s="47"/>
      <c r="H319" s="189"/>
      <c r="I319" s="189"/>
      <c r="J319" s="189"/>
      <c r="K319" s="189"/>
      <c r="L319" s="189"/>
      <c r="M319" s="189"/>
      <c r="N319" s="190"/>
      <c r="R319" s="189"/>
      <c r="V319" s="47"/>
    </row>
    <row r="320" spans="5:22" ht="15.75" customHeight="1">
      <c r="E320" s="47"/>
      <c r="H320" s="189"/>
      <c r="I320" s="189"/>
      <c r="J320" s="189"/>
      <c r="K320" s="189"/>
      <c r="L320" s="189"/>
      <c r="M320" s="189"/>
      <c r="N320" s="190"/>
      <c r="R320" s="189"/>
      <c r="V320" s="47"/>
    </row>
    <row r="321" spans="5:22" ht="15.75" customHeight="1">
      <c r="E321" s="47"/>
      <c r="H321" s="189"/>
      <c r="I321" s="189"/>
      <c r="J321" s="189"/>
      <c r="K321" s="189"/>
      <c r="L321" s="189"/>
      <c r="M321" s="189"/>
      <c r="N321" s="190"/>
      <c r="R321" s="189"/>
      <c r="V321" s="47"/>
    </row>
    <row r="322" spans="5:22" ht="15.75" customHeight="1">
      <c r="E322" s="47"/>
      <c r="H322" s="189"/>
      <c r="I322" s="189"/>
      <c r="J322" s="189"/>
      <c r="K322" s="189"/>
      <c r="L322" s="189"/>
      <c r="M322" s="189"/>
      <c r="N322" s="190"/>
      <c r="R322" s="189"/>
      <c r="V322" s="47"/>
    </row>
    <row r="323" spans="5:22" ht="15.75" customHeight="1">
      <c r="E323" s="47"/>
      <c r="H323" s="189"/>
      <c r="I323" s="189"/>
      <c r="J323" s="189"/>
      <c r="K323" s="189"/>
      <c r="L323" s="189"/>
      <c r="M323" s="189"/>
      <c r="N323" s="190"/>
      <c r="R323" s="189"/>
      <c r="V323" s="47"/>
    </row>
    <row r="324" spans="5:22" ht="15.75" customHeight="1">
      <c r="E324" s="47"/>
      <c r="H324" s="189"/>
      <c r="I324" s="189"/>
      <c r="J324" s="189"/>
      <c r="K324" s="189"/>
      <c r="L324" s="189"/>
      <c r="M324" s="189"/>
      <c r="N324" s="190"/>
      <c r="R324" s="189"/>
      <c r="V324" s="47"/>
    </row>
    <row r="325" spans="5:22" ht="15.75" customHeight="1">
      <c r="E325" s="47"/>
      <c r="H325" s="189"/>
      <c r="I325" s="189"/>
      <c r="J325" s="189"/>
      <c r="K325" s="189"/>
      <c r="L325" s="189"/>
      <c r="M325" s="189"/>
      <c r="N325" s="190"/>
      <c r="R325" s="189"/>
      <c r="V325" s="47"/>
    </row>
    <row r="326" spans="5:22" ht="15.75" customHeight="1">
      <c r="E326" s="47"/>
      <c r="H326" s="189"/>
      <c r="I326" s="189"/>
      <c r="J326" s="189"/>
      <c r="K326" s="189"/>
      <c r="L326" s="189"/>
      <c r="M326" s="189"/>
      <c r="N326" s="190"/>
      <c r="R326" s="189"/>
      <c r="V326" s="47"/>
    </row>
    <row r="327" spans="5:22" ht="15.75" customHeight="1">
      <c r="E327" s="47"/>
      <c r="H327" s="189"/>
      <c r="I327" s="189"/>
      <c r="J327" s="189"/>
      <c r="K327" s="189"/>
      <c r="L327" s="189"/>
      <c r="M327" s="189"/>
      <c r="N327" s="190"/>
      <c r="R327" s="189"/>
      <c r="V327" s="47"/>
    </row>
    <row r="328" spans="5:22" ht="15.75" customHeight="1">
      <c r="E328" s="47"/>
      <c r="H328" s="189"/>
      <c r="I328" s="189"/>
      <c r="J328" s="189"/>
      <c r="K328" s="189"/>
      <c r="L328" s="189"/>
      <c r="M328" s="189"/>
      <c r="N328" s="190"/>
      <c r="R328" s="189"/>
      <c r="V328" s="47"/>
    </row>
    <row r="329" spans="5:22" ht="15.75" customHeight="1">
      <c r="E329" s="47"/>
      <c r="H329" s="189"/>
      <c r="I329" s="189"/>
      <c r="J329" s="189"/>
      <c r="K329" s="189"/>
      <c r="L329" s="189"/>
      <c r="M329" s="189"/>
      <c r="N329" s="190"/>
      <c r="R329" s="189"/>
      <c r="V329" s="47"/>
    </row>
    <row r="330" spans="5:22" ht="15.75" customHeight="1">
      <c r="E330" s="47"/>
      <c r="H330" s="189"/>
      <c r="I330" s="189"/>
      <c r="J330" s="189"/>
      <c r="K330" s="189"/>
      <c r="L330" s="189"/>
      <c r="M330" s="189"/>
      <c r="N330" s="190"/>
      <c r="R330" s="189"/>
      <c r="V330" s="47"/>
    </row>
    <row r="331" spans="5:22" ht="15.75" customHeight="1">
      <c r="E331" s="47"/>
      <c r="H331" s="189"/>
      <c r="I331" s="189"/>
      <c r="J331" s="189"/>
      <c r="K331" s="189"/>
      <c r="L331" s="189"/>
      <c r="M331" s="189"/>
      <c r="N331" s="190"/>
      <c r="R331" s="189"/>
      <c r="V331" s="47"/>
    </row>
    <row r="332" spans="5:22" ht="15.75" customHeight="1">
      <c r="E332" s="47"/>
      <c r="H332" s="189"/>
      <c r="I332" s="189"/>
      <c r="J332" s="189"/>
      <c r="K332" s="189"/>
      <c r="L332" s="189"/>
      <c r="M332" s="189"/>
      <c r="N332" s="190"/>
      <c r="R332" s="189"/>
      <c r="V332" s="47"/>
    </row>
    <row r="333" spans="5:22" ht="15.75" customHeight="1">
      <c r="E333" s="47"/>
      <c r="H333" s="189"/>
      <c r="I333" s="189"/>
      <c r="J333" s="189"/>
      <c r="K333" s="189"/>
      <c r="L333" s="189"/>
      <c r="M333" s="189"/>
      <c r="N333" s="190"/>
      <c r="R333" s="189"/>
      <c r="V333" s="47"/>
    </row>
    <row r="334" spans="5:22" ht="15.75" customHeight="1">
      <c r="E334" s="47"/>
      <c r="H334" s="189"/>
      <c r="I334" s="189"/>
      <c r="J334" s="189"/>
      <c r="K334" s="189"/>
      <c r="L334" s="189"/>
      <c r="M334" s="189"/>
      <c r="N334" s="190"/>
      <c r="R334" s="189"/>
      <c r="V334" s="47"/>
    </row>
    <row r="335" spans="5:22" ht="15.75" customHeight="1">
      <c r="E335" s="47"/>
      <c r="H335" s="189"/>
      <c r="I335" s="189"/>
      <c r="J335" s="189"/>
      <c r="K335" s="189"/>
      <c r="L335" s="189"/>
      <c r="M335" s="189"/>
      <c r="N335" s="190"/>
      <c r="R335" s="189"/>
      <c r="V335" s="47"/>
    </row>
    <row r="336" spans="5:22" ht="15.75" customHeight="1">
      <c r="E336" s="47"/>
      <c r="H336" s="189"/>
      <c r="I336" s="189"/>
      <c r="J336" s="189"/>
      <c r="K336" s="189"/>
      <c r="L336" s="189"/>
      <c r="M336" s="189"/>
      <c r="N336" s="190"/>
      <c r="R336" s="189"/>
      <c r="V336" s="47"/>
    </row>
    <row r="337" spans="5:22" ht="15.75" customHeight="1">
      <c r="E337" s="47"/>
      <c r="H337" s="189"/>
      <c r="I337" s="189"/>
      <c r="J337" s="189"/>
      <c r="K337" s="189"/>
      <c r="L337" s="189"/>
      <c r="M337" s="189"/>
      <c r="N337" s="190"/>
      <c r="R337" s="189"/>
      <c r="V337" s="47"/>
    </row>
    <row r="338" spans="5:22" ht="15.75" customHeight="1">
      <c r="E338" s="47"/>
      <c r="H338" s="189"/>
      <c r="I338" s="189"/>
      <c r="J338" s="189"/>
      <c r="K338" s="189"/>
      <c r="L338" s="189"/>
      <c r="M338" s="189"/>
      <c r="N338" s="190"/>
      <c r="R338" s="189"/>
      <c r="V338" s="47"/>
    </row>
    <row r="339" spans="5:22" ht="15.75" customHeight="1">
      <c r="E339" s="47"/>
      <c r="H339" s="189"/>
      <c r="I339" s="189"/>
      <c r="J339" s="189"/>
      <c r="K339" s="189"/>
      <c r="L339" s="189"/>
      <c r="M339" s="189"/>
      <c r="N339" s="190"/>
      <c r="R339" s="189"/>
      <c r="V339" s="47"/>
    </row>
    <row r="340" spans="5:22" ht="15.75" customHeight="1">
      <c r="E340" s="47"/>
      <c r="H340" s="189"/>
      <c r="I340" s="189"/>
      <c r="J340" s="189"/>
      <c r="K340" s="189"/>
      <c r="L340" s="189"/>
      <c r="M340" s="189"/>
      <c r="N340" s="190"/>
      <c r="R340" s="189"/>
      <c r="V340" s="47"/>
    </row>
    <row r="341" spans="5:22" ht="15.75" customHeight="1">
      <c r="E341" s="47"/>
      <c r="H341" s="189"/>
      <c r="I341" s="189"/>
      <c r="J341" s="189"/>
      <c r="K341" s="189"/>
      <c r="L341" s="189"/>
      <c r="M341" s="189"/>
      <c r="N341" s="190"/>
      <c r="R341" s="189"/>
      <c r="V341" s="47"/>
    </row>
    <row r="342" spans="5:22" ht="15.75" customHeight="1">
      <c r="E342" s="47"/>
      <c r="H342" s="189"/>
      <c r="I342" s="189"/>
      <c r="J342" s="189"/>
      <c r="K342" s="189"/>
      <c r="L342" s="189"/>
      <c r="M342" s="189"/>
      <c r="N342" s="190"/>
      <c r="R342" s="189"/>
      <c r="V342" s="47"/>
    </row>
    <row r="343" spans="5:22" ht="15.75" customHeight="1">
      <c r="E343" s="47"/>
      <c r="H343" s="189"/>
      <c r="I343" s="189"/>
      <c r="J343" s="189"/>
      <c r="K343" s="189"/>
      <c r="L343" s="189"/>
      <c r="M343" s="189"/>
      <c r="N343" s="190"/>
      <c r="R343" s="189"/>
      <c r="V343" s="47"/>
    </row>
    <row r="344" spans="5:22" ht="15.75" customHeight="1">
      <c r="E344" s="47"/>
      <c r="H344" s="189"/>
      <c r="I344" s="189"/>
      <c r="J344" s="189"/>
      <c r="K344" s="189"/>
      <c r="L344" s="189"/>
      <c r="M344" s="189"/>
      <c r="N344" s="190"/>
      <c r="R344" s="189"/>
      <c r="V344" s="47"/>
    </row>
    <row r="345" spans="5:22" ht="15.75" customHeight="1">
      <c r="E345" s="47"/>
      <c r="H345" s="189"/>
      <c r="I345" s="189"/>
      <c r="J345" s="189"/>
      <c r="K345" s="189"/>
      <c r="L345" s="189"/>
      <c r="M345" s="189"/>
      <c r="N345" s="190"/>
      <c r="R345" s="189"/>
      <c r="V345" s="47"/>
    </row>
    <row r="346" spans="5:22" ht="15.75" customHeight="1">
      <c r="E346" s="47"/>
      <c r="H346" s="189"/>
      <c r="I346" s="189"/>
      <c r="J346" s="189"/>
      <c r="K346" s="189"/>
      <c r="L346" s="189"/>
      <c r="M346" s="189"/>
      <c r="N346" s="190"/>
      <c r="R346" s="189"/>
      <c r="V346" s="47"/>
    </row>
    <row r="347" spans="5:22" ht="15.75" customHeight="1">
      <c r="E347" s="47"/>
      <c r="H347" s="189"/>
      <c r="I347" s="189"/>
      <c r="J347" s="189"/>
      <c r="K347" s="189"/>
      <c r="L347" s="189"/>
      <c r="M347" s="189"/>
      <c r="N347" s="190"/>
      <c r="R347" s="189"/>
      <c r="V347" s="47"/>
    </row>
    <row r="348" spans="5:22" ht="15.75" customHeight="1">
      <c r="E348" s="47"/>
      <c r="H348" s="189"/>
      <c r="I348" s="189"/>
      <c r="J348" s="189"/>
      <c r="K348" s="189"/>
      <c r="L348" s="189"/>
      <c r="M348" s="189"/>
      <c r="N348" s="190"/>
      <c r="R348" s="189"/>
      <c r="V348" s="47"/>
    </row>
    <row r="349" spans="5:22" ht="15.75" customHeight="1">
      <c r="E349" s="47"/>
      <c r="H349" s="189"/>
      <c r="I349" s="189"/>
      <c r="J349" s="189"/>
      <c r="K349" s="189"/>
      <c r="L349" s="189"/>
      <c r="M349" s="189"/>
      <c r="N349" s="190"/>
      <c r="R349" s="189"/>
      <c r="V349" s="47"/>
    </row>
    <row r="350" spans="5:22" ht="15.75" customHeight="1">
      <c r="E350" s="47"/>
      <c r="H350" s="189"/>
      <c r="I350" s="189"/>
      <c r="J350" s="189"/>
      <c r="K350" s="189"/>
      <c r="L350" s="189"/>
      <c r="M350" s="189"/>
      <c r="N350" s="190"/>
      <c r="R350" s="189"/>
      <c r="V350" s="47"/>
    </row>
    <row r="351" spans="5:22" ht="15.75" customHeight="1">
      <c r="E351" s="47"/>
      <c r="H351" s="189"/>
      <c r="I351" s="189"/>
      <c r="J351" s="189"/>
      <c r="K351" s="189"/>
      <c r="L351" s="189"/>
      <c r="M351" s="189"/>
      <c r="N351" s="190"/>
      <c r="R351" s="189"/>
      <c r="V351" s="47"/>
    </row>
    <row r="352" spans="5:22" ht="15.75" customHeight="1">
      <c r="E352" s="47"/>
      <c r="H352" s="189"/>
      <c r="I352" s="189"/>
      <c r="J352" s="189"/>
      <c r="K352" s="189"/>
      <c r="L352" s="189"/>
      <c r="M352" s="189"/>
      <c r="N352" s="190"/>
      <c r="R352" s="189"/>
      <c r="V352" s="47"/>
    </row>
    <row r="353" spans="5:22" ht="15.75" customHeight="1">
      <c r="E353" s="47"/>
      <c r="H353" s="189"/>
      <c r="I353" s="189"/>
      <c r="J353" s="189"/>
      <c r="K353" s="189"/>
      <c r="L353" s="189"/>
      <c r="M353" s="189"/>
      <c r="N353" s="190"/>
      <c r="R353" s="189"/>
      <c r="V353" s="47"/>
    </row>
    <row r="354" spans="5:22" ht="15.75" customHeight="1">
      <c r="E354" s="47"/>
      <c r="H354" s="189"/>
      <c r="I354" s="189"/>
      <c r="J354" s="189"/>
      <c r="K354" s="189"/>
      <c r="L354" s="189"/>
      <c r="M354" s="189"/>
      <c r="N354" s="190"/>
      <c r="R354" s="189"/>
      <c r="V354" s="47"/>
    </row>
    <row r="355" spans="5:22" ht="15.75" customHeight="1">
      <c r="E355" s="47"/>
      <c r="H355" s="189"/>
      <c r="I355" s="189"/>
      <c r="J355" s="189"/>
      <c r="K355" s="189"/>
      <c r="L355" s="189"/>
      <c r="M355" s="189"/>
      <c r="N355" s="190"/>
      <c r="R355" s="189"/>
      <c r="V355" s="47"/>
    </row>
    <row r="356" spans="5:22" ht="15.75" customHeight="1">
      <c r="E356" s="47"/>
      <c r="H356" s="189"/>
      <c r="I356" s="189"/>
      <c r="J356" s="189"/>
      <c r="K356" s="189"/>
      <c r="L356" s="189"/>
      <c r="M356" s="189"/>
      <c r="N356" s="190"/>
      <c r="R356" s="189"/>
      <c r="V356" s="47"/>
    </row>
    <row r="357" spans="5:22" ht="15.75" customHeight="1">
      <c r="E357" s="47"/>
      <c r="H357" s="189"/>
      <c r="I357" s="189"/>
      <c r="J357" s="189"/>
      <c r="K357" s="189"/>
      <c r="L357" s="189"/>
      <c r="M357" s="189"/>
      <c r="N357" s="190"/>
      <c r="R357" s="189"/>
      <c r="V357" s="47"/>
    </row>
    <row r="358" spans="5:22" ht="15.75" customHeight="1">
      <c r="E358" s="47"/>
      <c r="H358" s="189"/>
      <c r="I358" s="189"/>
      <c r="J358" s="189"/>
      <c r="K358" s="189"/>
      <c r="L358" s="189"/>
      <c r="M358" s="189"/>
      <c r="N358" s="190"/>
      <c r="R358" s="189"/>
      <c r="V358" s="47"/>
    </row>
    <row r="359" spans="5:22" ht="15.75" customHeight="1">
      <c r="E359" s="47"/>
      <c r="H359" s="189"/>
      <c r="I359" s="189"/>
      <c r="J359" s="189"/>
      <c r="K359" s="189"/>
      <c r="L359" s="189"/>
      <c r="M359" s="189"/>
      <c r="N359" s="190"/>
      <c r="R359" s="189"/>
      <c r="V359" s="47"/>
    </row>
    <row r="360" spans="5:22" ht="15.75" customHeight="1">
      <c r="E360" s="47"/>
      <c r="H360" s="189"/>
      <c r="I360" s="189"/>
      <c r="J360" s="189"/>
      <c r="K360" s="189"/>
      <c r="L360" s="189"/>
      <c r="M360" s="189"/>
      <c r="N360" s="190"/>
      <c r="R360" s="189"/>
      <c r="V360" s="47"/>
    </row>
    <row r="361" spans="5:22" ht="15.75" customHeight="1">
      <c r="E361" s="47"/>
      <c r="H361" s="189"/>
      <c r="I361" s="189"/>
      <c r="J361" s="189"/>
      <c r="K361" s="189"/>
      <c r="L361" s="189"/>
      <c r="M361" s="189"/>
      <c r="N361" s="190"/>
      <c r="R361" s="189"/>
      <c r="V361" s="47"/>
    </row>
    <row r="362" spans="5:22" ht="15.75" customHeight="1">
      <c r="E362" s="47"/>
      <c r="H362" s="189"/>
      <c r="I362" s="189"/>
      <c r="J362" s="189"/>
      <c r="K362" s="189"/>
      <c r="L362" s="189"/>
      <c r="M362" s="189"/>
      <c r="N362" s="190"/>
      <c r="R362" s="189"/>
      <c r="V362" s="47"/>
    </row>
    <row r="363" spans="5:22" ht="15.75" customHeight="1">
      <c r="E363" s="47"/>
      <c r="H363" s="189"/>
      <c r="I363" s="189"/>
      <c r="J363" s="189"/>
      <c r="K363" s="189"/>
      <c r="L363" s="189"/>
      <c r="M363" s="189"/>
      <c r="N363" s="190"/>
      <c r="R363" s="189"/>
      <c r="V363" s="47"/>
    </row>
    <row r="364" spans="5:22" ht="15.75" customHeight="1">
      <c r="E364" s="47"/>
      <c r="H364" s="189"/>
      <c r="I364" s="189"/>
      <c r="J364" s="189"/>
      <c r="K364" s="189"/>
      <c r="L364" s="189"/>
      <c r="M364" s="189"/>
      <c r="N364" s="190"/>
      <c r="R364" s="189"/>
      <c r="V364" s="47"/>
    </row>
    <row r="365" spans="5:22" ht="15.75" customHeight="1">
      <c r="E365" s="47"/>
      <c r="H365" s="189"/>
      <c r="I365" s="189"/>
      <c r="J365" s="189"/>
      <c r="K365" s="189"/>
      <c r="L365" s="189"/>
      <c r="M365" s="189"/>
      <c r="N365" s="190"/>
      <c r="R365" s="189"/>
      <c r="V365" s="47"/>
    </row>
    <row r="366" spans="5:22" ht="15.75" customHeight="1">
      <c r="E366" s="47"/>
      <c r="H366" s="189"/>
      <c r="I366" s="189"/>
      <c r="J366" s="189"/>
      <c r="K366" s="189"/>
      <c r="L366" s="189"/>
      <c r="M366" s="189"/>
      <c r="N366" s="190"/>
      <c r="R366" s="189"/>
      <c r="V366" s="47"/>
    </row>
    <row r="367" spans="5:22" ht="15.75" customHeight="1">
      <c r="E367" s="47"/>
      <c r="H367" s="189"/>
      <c r="I367" s="189"/>
      <c r="J367" s="189"/>
      <c r="K367" s="189"/>
      <c r="L367" s="189"/>
      <c r="M367" s="189"/>
      <c r="N367" s="190"/>
      <c r="R367" s="189"/>
      <c r="V367" s="47"/>
    </row>
    <row r="368" spans="5:22" ht="15.75" customHeight="1">
      <c r="E368" s="47"/>
      <c r="H368" s="189"/>
      <c r="I368" s="189"/>
      <c r="J368" s="189"/>
      <c r="K368" s="189"/>
      <c r="L368" s="189"/>
      <c r="M368" s="189"/>
      <c r="N368" s="190"/>
      <c r="R368" s="189"/>
      <c r="V368" s="47"/>
    </row>
    <row r="369" spans="5:22" ht="15.75" customHeight="1">
      <c r="E369" s="47"/>
      <c r="H369" s="189"/>
      <c r="I369" s="189"/>
      <c r="J369" s="189"/>
      <c r="K369" s="189"/>
      <c r="L369" s="189"/>
      <c r="M369" s="189"/>
      <c r="N369" s="190"/>
      <c r="R369" s="189"/>
      <c r="V369" s="47"/>
    </row>
    <row r="370" spans="5:22" ht="15.75" customHeight="1">
      <c r="E370" s="47"/>
      <c r="H370" s="189"/>
      <c r="I370" s="189"/>
      <c r="J370" s="189"/>
      <c r="K370" s="189"/>
      <c r="L370" s="189"/>
      <c r="M370" s="189"/>
      <c r="N370" s="190"/>
      <c r="R370" s="189"/>
      <c r="V370" s="47"/>
    </row>
    <row r="371" spans="5:22" ht="15.75" customHeight="1">
      <c r="E371" s="47"/>
      <c r="H371" s="189"/>
      <c r="I371" s="189"/>
      <c r="J371" s="189"/>
      <c r="K371" s="189"/>
      <c r="L371" s="189"/>
      <c r="M371" s="189"/>
      <c r="N371" s="190"/>
      <c r="R371" s="189"/>
      <c r="V371" s="47"/>
    </row>
    <row r="372" spans="5:22" ht="15.75" customHeight="1">
      <c r="E372" s="47"/>
      <c r="H372" s="189"/>
      <c r="I372" s="189"/>
      <c r="J372" s="189"/>
      <c r="K372" s="189"/>
      <c r="L372" s="189"/>
      <c r="M372" s="189"/>
      <c r="N372" s="190"/>
      <c r="R372" s="189"/>
      <c r="V372" s="47"/>
    </row>
    <row r="373" spans="5:22" ht="15.75" customHeight="1">
      <c r="E373" s="47"/>
      <c r="H373" s="189"/>
      <c r="I373" s="189"/>
      <c r="J373" s="189"/>
      <c r="K373" s="189"/>
      <c r="L373" s="189"/>
      <c r="M373" s="189"/>
      <c r="N373" s="190"/>
      <c r="R373" s="189"/>
      <c r="V373" s="47"/>
    </row>
    <row r="374" spans="5:22" ht="15.75" customHeight="1">
      <c r="E374" s="47"/>
      <c r="H374" s="189"/>
      <c r="I374" s="189"/>
      <c r="J374" s="189"/>
      <c r="K374" s="189"/>
      <c r="L374" s="189"/>
      <c r="M374" s="189"/>
      <c r="N374" s="190"/>
      <c r="R374" s="189"/>
      <c r="V374" s="47"/>
    </row>
    <row r="375" spans="5:22" ht="15.75" customHeight="1">
      <c r="E375" s="47"/>
      <c r="H375" s="189"/>
      <c r="I375" s="189"/>
      <c r="J375" s="189"/>
      <c r="K375" s="189"/>
      <c r="L375" s="189"/>
      <c r="M375" s="189"/>
      <c r="N375" s="190"/>
      <c r="R375" s="189"/>
      <c r="V375" s="47"/>
    </row>
    <row r="376" spans="5:22" ht="15.75" customHeight="1">
      <c r="E376" s="47"/>
      <c r="H376" s="189"/>
      <c r="I376" s="189"/>
      <c r="J376" s="189"/>
      <c r="K376" s="189"/>
      <c r="L376" s="189"/>
      <c r="M376" s="189"/>
      <c r="N376" s="190"/>
      <c r="R376" s="189"/>
      <c r="V376" s="47"/>
    </row>
    <row r="377" spans="5:22" ht="15.75" customHeight="1">
      <c r="E377" s="47"/>
      <c r="H377" s="189"/>
      <c r="I377" s="189"/>
      <c r="J377" s="189"/>
      <c r="K377" s="189"/>
      <c r="L377" s="189"/>
      <c r="M377" s="189"/>
      <c r="N377" s="190"/>
      <c r="R377" s="189"/>
      <c r="V377" s="47"/>
    </row>
    <row r="378" spans="5:22" ht="15.75" customHeight="1">
      <c r="E378" s="47"/>
      <c r="H378" s="189"/>
      <c r="I378" s="189"/>
      <c r="J378" s="189"/>
      <c r="K378" s="189"/>
      <c r="L378" s="189"/>
      <c r="M378" s="189"/>
      <c r="N378" s="190"/>
      <c r="R378" s="189"/>
      <c r="V378" s="47"/>
    </row>
    <row r="379" spans="5:22" ht="15.75" customHeight="1">
      <c r="E379" s="47"/>
      <c r="H379" s="189"/>
      <c r="I379" s="189"/>
      <c r="J379" s="189"/>
      <c r="K379" s="189"/>
      <c r="L379" s="189"/>
      <c r="M379" s="189"/>
      <c r="N379" s="190"/>
      <c r="R379" s="189"/>
      <c r="V379" s="47"/>
    </row>
    <row r="380" spans="5:22" ht="15.75" customHeight="1">
      <c r="E380" s="47"/>
      <c r="H380" s="189"/>
      <c r="I380" s="189"/>
      <c r="J380" s="189"/>
      <c r="K380" s="189"/>
      <c r="L380" s="189"/>
      <c r="M380" s="189"/>
      <c r="N380" s="190"/>
      <c r="R380" s="189"/>
      <c r="V380" s="47"/>
    </row>
    <row r="381" spans="5:22" ht="15.75" customHeight="1">
      <c r="E381" s="47"/>
      <c r="H381" s="189"/>
      <c r="I381" s="189"/>
      <c r="J381" s="189"/>
      <c r="K381" s="189"/>
      <c r="L381" s="189"/>
      <c r="M381" s="189"/>
      <c r="N381" s="190"/>
      <c r="R381" s="189"/>
      <c r="V381" s="47"/>
    </row>
    <row r="382" spans="5:22" ht="15.75" customHeight="1">
      <c r="E382" s="47"/>
      <c r="H382" s="189"/>
      <c r="I382" s="189"/>
      <c r="J382" s="189"/>
      <c r="K382" s="189"/>
      <c r="L382" s="189"/>
      <c r="M382" s="189"/>
      <c r="N382" s="190"/>
      <c r="R382" s="189"/>
      <c r="V382" s="47"/>
    </row>
    <row r="383" spans="5:22" ht="15.75" customHeight="1">
      <c r="E383" s="47"/>
      <c r="H383" s="189"/>
      <c r="I383" s="189"/>
      <c r="J383" s="189"/>
      <c r="K383" s="189"/>
      <c r="L383" s="189"/>
      <c r="M383" s="189"/>
      <c r="N383" s="190"/>
      <c r="R383" s="189"/>
      <c r="V383" s="47"/>
    </row>
    <row r="384" spans="5:22" ht="15.75" customHeight="1">
      <c r="E384" s="47"/>
      <c r="H384" s="189"/>
      <c r="I384" s="189"/>
      <c r="J384" s="189"/>
      <c r="K384" s="189"/>
      <c r="L384" s="189"/>
      <c r="M384" s="189"/>
      <c r="N384" s="190"/>
      <c r="R384" s="189"/>
      <c r="V384" s="47"/>
    </row>
    <row r="385" spans="5:22" ht="15.75" customHeight="1">
      <c r="E385" s="47"/>
      <c r="H385" s="189"/>
      <c r="I385" s="189"/>
      <c r="J385" s="189"/>
      <c r="K385" s="189"/>
      <c r="L385" s="189"/>
      <c r="M385" s="189"/>
      <c r="N385" s="190"/>
      <c r="R385" s="189"/>
      <c r="V385" s="47"/>
    </row>
    <row r="386" spans="5:22" ht="15.75" customHeight="1">
      <c r="E386" s="47"/>
      <c r="H386" s="189"/>
      <c r="I386" s="189"/>
      <c r="J386" s="189"/>
      <c r="K386" s="189"/>
      <c r="L386" s="189"/>
      <c r="M386" s="189"/>
      <c r="N386" s="190"/>
      <c r="R386" s="189"/>
      <c r="V386" s="47"/>
    </row>
    <row r="387" spans="5:22" ht="15.75" customHeight="1">
      <c r="E387" s="47"/>
      <c r="H387" s="189"/>
      <c r="I387" s="189"/>
      <c r="J387" s="189"/>
      <c r="K387" s="189"/>
      <c r="L387" s="189"/>
      <c r="M387" s="189"/>
      <c r="N387" s="190"/>
      <c r="R387" s="189"/>
      <c r="V387" s="47"/>
    </row>
    <row r="388" spans="5:22" ht="15.75" customHeight="1">
      <c r="E388" s="47"/>
      <c r="H388" s="189"/>
      <c r="I388" s="189"/>
      <c r="J388" s="189"/>
      <c r="K388" s="189"/>
      <c r="L388" s="189"/>
      <c r="M388" s="189"/>
      <c r="N388" s="190"/>
      <c r="R388" s="189"/>
      <c r="V388" s="47"/>
    </row>
    <row r="389" spans="5:22" ht="15.75" customHeight="1">
      <c r="E389" s="47"/>
      <c r="H389" s="189"/>
      <c r="I389" s="189"/>
      <c r="J389" s="189"/>
      <c r="K389" s="189"/>
      <c r="L389" s="189"/>
      <c r="M389" s="189"/>
      <c r="N389" s="190"/>
      <c r="R389" s="189"/>
      <c r="V389" s="47"/>
    </row>
    <row r="390" spans="5:22" ht="15.75" customHeight="1">
      <c r="E390" s="47"/>
      <c r="H390" s="189"/>
      <c r="I390" s="189"/>
      <c r="J390" s="189"/>
      <c r="K390" s="189"/>
      <c r="L390" s="189"/>
      <c r="M390" s="189"/>
      <c r="N390" s="190"/>
      <c r="R390" s="189"/>
      <c r="V390" s="47"/>
    </row>
    <row r="391" spans="5:22" ht="15.75" customHeight="1">
      <c r="E391" s="47"/>
      <c r="H391" s="189"/>
      <c r="I391" s="189"/>
      <c r="J391" s="189"/>
      <c r="K391" s="189"/>
      <c r="L391" s="189"/>
      <c r="M391" s="189"/>
      <c r="N391" s="190"/>
      <c r="R391" s="189"/>
      <c r="V391" s="47"/>
    </row>
    <row r="392" spans="5:22" ht="15.75" customHeight="1">
      <c r="E392" s="47"/>
      <c r="H392" s="189"/>
      <c r="I392" s="189"/>
      <c r="J392" s="189"/>
      <c r="K392" s="189"/>
      <c r="L392" s="189"/>
      <c r="M392" s="189"/>
      <c r="N392" s="190"/>
      <c r="R392" s="189"/>
      <c r="V392" s="47"/>
    </row>
    <row r="393" spans="5:22" ht="15.75" customHeight="1">
      <c r="E393" s="47"/>
      <c r="H393" s="189"/>
      <c r="I393" s="189"/>
      <c r="J393" s="189"/>
      <c r="K393" s="189"/>
      <c r="L393" s="189"/>
      <c r="M393" s="189"/>
      <c r="N393" s="190"/>
      <c r="R393" s="189"/>
      <c r="V393" s="47"/>
    </row>
    <row r="394" spans="5:22" ht="15.75" customHeight="1">
      <c r="E394" s="47"/>
      <c r="H394" s="189"/>
      <c r="I394" s="189"/>
      <c r="J394" s="189"/>
      <c r="K394" s="189"/>
      <c r="L394" s="189"/>
      <c r="M394" s="189"/>
      <c r="N394" s="190"/>
      <c r="R394" s="189"/>
      <c r="V394" s="47"/>
    </row>
    <row r="395" spans="5:22" ht="15.75" customHeight="1">
      <c r="E395" s="47"/>
      <c r="H395" s="189"/>
      <c r="I395" s="189"/>
      <c r="J395" s="189"/>
      <c r="K395" s="189"/>
      <c r="L395" s="189"/>
      <c r="M395" s="189"/>
      <c r="N395" s="190"/>
      <c r="R395" s="189"/>
      <c r="V395" s="47"/>
    </row>
    <row r="396" spans="5:22" ht="15.75" customHeight="1">
      <c r="E396" s="47"/>
      <c r="H396" s="189"/>
      <c r="I396" s="189"/>
      <c r="J396" s="189"/>
      <c r="K396" s="189"/>
      <c r="L396" s="189"/>
      <c r="M396" s="189"/>
      <c r="N396" s="190"/>
      <c r="R396" s="189"/>
      <c r="V396" s="47"/>
    </row>
    <row r="397" spans="5:22" ht="15.75" customHeight="1">
      <c r="E397" s="47"/>
      <c r="H397" s="189"/>
      <c r="I397" s="189"/>
      <c r="J397" s="189"/>
      <c r="K397" s="189"/>
      <c r="L397" s="189"/>
      <c r="M397" s="189"/>
      <c r="N397" s="190"/>
      <c r="R397" s="189"/>
      <c r="V397" s="47"/>
    </row>
    <row r="398" spans="5:22" ht="15.75" customHeight="1">
      <c r="E398" s="47"/>
      <c r="H398" s="189"/>
      <c r="I398" s="189"/>
      <c r="J398" s="189"/>
      <c r="K398" s="189"/>
      <c r="L398" s="189"/>
      <c r="M398" s="189"/>
      <c r="N398" s="190"/>
      <c r="R398" s="189"/>
      <c r="V398" s="47"/>
    </row>
    <row r="399" spans="5:22" ht="15.75" customHeight="1">
      <c r="E399" s="47"/>
      <c r="H399" s="189"/>
      <c r="I399" s="189"/>
      <c r="J399" s="189"/>
      <c r="K399" s="189"/>
      <c r="L399" s="189"/>
      <c r="M399" s="189"/>
      <c r="N399" s="190"/>
      <c r="R399" s="189"/>
      <c r="V399" s="47"/>
    </row>
    <row r="400" spans="5:22" ht="15.75" customHeight="1">
      <c r="E400" s="47"/>
      <c r="H400" s="189"/>
      <c r="I400" s="189"/>
      <c r="J400" s="189"/>
      <c r="K400" s="189"/>
      <c r="L400" s="189"/>
      <c r="M400" s="189"/>
      <c r="N400" s="190"/>
      <c r="R400" s="189"/>
      <c r="V400" s="47"/>
    </row>
    <row r="401" spans="5:22" ht="15.75" customHeight="1">
      <c r="E401" s="47"/>
      <c r="H401" s="189"/>
      <c r="I401" s="189"/>
      <c r="J401" s="189"/>
      <c r="K401" s="189"/>
      <c r="L401" s="189"/>
      <c r="M401" s="189"/>
      <c r="N401" s="190"/>
      <c r="R401" s="189"/>
      <c r="V401" s="47"/>
    </row>
    <row r="402" spans="5:22" ht="15.75" customHeight="1">
      <c r="E402" s="47"/>
      <c r="H402" s="189"/>
      <c r="I402" s="189"/>
      <c r="J402" s="189"/>
      <c r="K402" s="189"/>
      <c r="L402" s="189"/>
      <c r="M402" s="189"/>
      <c r="N402" s="190"/>
      <c r="R402" s="189"/>
      <c r="V402" s="47"/>
    </row>
    <row r="403" spans="5:22" ht="15.75" customHeight="1">
      <c r="E403" s="47"/>
      <c r="H403" s="189"/>
      <c r="I403" s="189"/>
      <c r="J403" s="189"/>
      <c r="K403" s="189"/>
      <c r="L403" s="189"/>
      <c r="M403" s="189"/>
      <c r="N403" s="190"/>
      <c r="R403" s="189"/>
      <c r="V403" s="47"/>
    </row>
    <row r="404" spans="5:22" ht="15.75" customHeight="1">
      <c r="E404" s="47"/>
      <c r="H404" s="189"/>
      <c r="I404" s="189"/>
      <c r="J404" s="189"/>
      <c r="K404" s="189"/>
      <c r="L404" s="189"/>
      <c r="M404" s="189"/>
      <c r="N404" s="190"/>
      <c r="R404" s="189"/>
      <c r="V404" s="47"/>
    </row>
    <row r="405" spans="5:22" ht="15.75" customHeight="1">
      <c r="E405" s="47"/>
      <c r="H405" s="189"/>
      <c r="I405" s="189"/>
      <c r="J405" s="189"/>
      <c r="K405" s="189"/>
      <c r="L405" s="189"/>
      <c r="M405" s="189"/>
      <c r="N405" s="190"/>
      <c r="R405" s="189"/>
      <c r="V405" s="47"/>
    </row>
    <row r="406" spans="5:22" ht="15.75" customHeight="1">
      <c r="E406" s="47"/>
      <c r="H406" s="189"/>
      <c r="I406" s="189"/>
      <c r="J406" s="189"/>
      <c r="K406" s="189"/>
      <c r="L406" s="189"/>
      <c r="M406" s="189"/>
      <c r="N406" s="190"/>
      <c r="R406" s="189"/>
      <c r="V406" s="47"/>
    </row>
    <row r="407" spans="5:22" ht="15.75" customHeight="1">
      <c r="E407" s="47"/>
      <c r="H407" s="189"/>
      <c r="I407" s="189"/>
      <c r="J407" s="189"/>
      <c r="K407" s="189"/>
      <c r="L407" s="189"/>
      <c r="M407" s="189"/>
      <c r="N407" s="190"/>
      <c r="R407" s="189"/>
      <c r="V407" s="47"/>
    </row>
    <row r="408" spans="5:22" ht="15.75" customHeight="1">
      <c r="E408" s="47"/>
      <c r="H408" s="189"/>
      <c r="I408" s="189"/>
      <c r="J408" s="189"/>
      <c r="K408" s="189"/>
      <c r="L408" s="189"/>
      <c r="M408" s="189"/>
      <c r="N408" s="190"/>
      <c r="R408" s="189"/>
      <c r="V408" s="47"/>
    </row>
    <row r="409" spans="5:22" ht="15.75" customHeight="1">
      <c r="E409" s="47"/>
      <c r="H409" s="189"/>
      <c r="I409" s="189"/>
      <c r="J409" s="189"/>
      <c r="K409" s="189"/>
      <c r="L409" s="189"/>
      <c r="M409" s="189"/>
      <c r="N409" s="190"/>
      <c r="R409" s="189"/>
      <c r="V409" s="47"/>
    </row>
    <row r="410" spans="5:22" ht="15.75" customHeight="1">
      <c r="E410" s="47"/>
      <c r="H410" s="189"/>
      <c r="I410" s="189"/>
      <c r="J410" s="189"/>
      <c r="K410" s="189"/>
      <c r="L410" s="189"/>
      <c r="M410" s="189"/>
      <c r="N410" s="190"/>
      <c r="R410" s="189"/>
      <c r="V410" s="47"/>
    </row>
    <row r="411" spans="5:22" ht="15.75" customHeight="1">
      <c r="E411" s="47"/>
      <c r="H411" s="189"/>
      <c r="I411" s="189"/>
      <c r="J411" s="189"/>
      <c r="K411" s="189"/>
      <c r="L411" s="189"/>
      <c r="M411" s="189"/>
      <c r="N411" s="190"/>
      <c r="R411" s="189"/>
      <c r="V411" s="47"/>
    </row>
    <row r="412" spans="5:22" ht="15.75" customHeight="1">
      <c r="E412" s="47"/>
      <c r="H412" s="189"/>
      <c r="I412" s="189"/>
      <c r="J412" s="189"/>
      <c r="K412" s="189"/>
      <c r="L412" s="189"/>
      <c r="M412" s="189"/>
      <c r="N412" s="190"/>
      <c r="R412" s="189"/>
      <c r="V412" s="47"/>
    </row>
    <row r="413" spans="5:22" ht="15.75" customHeight="1">
      <c r="E413" s="47"/>
      <c r="H413" s="189"/>
      <c r="I413" s="189"/>
      <c r="J413" s="189"/>
      <c r="K413" s="189"/>
      <c r="L413" s="189"/>
      <c r="M413" s="189"/>
      <c r="N413" s="190"/>
      <c r="R413" s="189"/>
      <c r="V413" s="47"/>
    </row>
    <row r="414" spans="5:22" ht="15.75" customHeight="1">
      <c r="E414" s="47"/>
      <c r="H414" s="189"/>
      <c r="I414" s="189"/>
      <c r="J414" s="189"/>
      <c r="K414" s="189"/>
      <c r="L414" s="189"/>
      <c r="M414" s="189"/>
      <c r="N414" s="190"/>
      <c r="R414" s="189"/>
      <c r="V414" s="47"/>
    </row>
    <row r="415" spans="5:22" ht="15.75" customHeight="1">
      <c r="E415" s="47"/>
      <c r="H415" s="189"/>
      <c r="I415" s="189"/>
      <c r="J415" s="189"/>
      <c r="K415" s="189"/>
      <c r="L415" s="189"/>
      <c r="M415" s="189"/>
      <c r="N415" s="190"/>
      <c r="R415" s="189"/>
      <c r="V415" s="47"/>
    </row>
    <row r="416" spans="5:22" ht="15.75" customHeight="1">
      <c r="E416" s="47"/>
      <c r="H416" s="189"/>
      <c r="I416" s="189"/>
      <c r="J416" s="189"/>
      <c r="K416" s="189"/>
      <c r="L416" s="189"/>
      <c r="M416" s="189"/>
      <c r="N416" s="190"/>
      <c r="R416" s="189"/>
      <c r="V416" s="47"/>
    </row>
    <row r="417" spans="5:22" ht="15.75" customHeight="1">
      <c r="E417" s="47"/>
      <c r="H417" s="189"/>
      <c r="I417" s="189"/>
      <c r="J417" s="189"/>
      <c r="K417" s="189"/>
      <c r="L417" s="189"/>
      <c r="M417" s="189"/>
      <c r="N417" s="190"/>
      <c r="R417" s="189"/>
      <c r="V417" s="47"/>
    </row>
    <row r="418" spans="5:22" ht="15.75" customHeight="1">
      <c r="E418" s="47"/>
      <c r="H418" s="189"/>
      <c r="I418" s="189"/>
      <c r="J418" s="189"/>
      <c r="K418" s="189"/>
      <c r="L418" s="189"/>
      <c r="M418" s="189"/>
      <c r="N418" s="190"/>
      <c r="R418" s="189"/>
      <c r="V418" s="47"/>
    </row>
    <row r="419" spans="5:22" ht="15.75" customHeight="1">
      <c r="E419" s="47"/>
      <c r="H419" s="189"/>
      <c r="I419" s="189"/>
      <c r="J419" s="189"/>
      <c r="K419" s="189"/>
      <c r="L419" s="189"/>
      <c r="M419" s="189"/>
      <c r="N419" s="190"/>
      <c r="R419" s="189"/>
      <c r="V419" s="47"/>
    </row>
    <row r="420" spans="5:22" ht="15.75" customHeight="1">
      <c r="E420" s="47"/>
      <c r="H420" s="189"/>
      <c r="I420" s="189"/>
      <c r="J420" s="189"/>
      <c r="K420" s="189"/>
      <c r="L420" s="189"/>
      <c r="M420" s="189"/>
      <c r="N420" s="190"/>
      <c r="R420" s="189"/>
      <c r="V420" s="47"/>
    </row>
    <row r="421" spans="5:22" ht="15.75" customHeight="1">
      <c r="E421" s="47"/>
      <c r="H421" s="189"/>
      <c r="I421" s="189"/>
      <c r="J421" s="189"/>
      <c r="K421" s="189"/>
      <c r="L421" s="189"/>
      <c r="M421" s="189"/>
      <c r="N421" s="190"/>
      <c r="R421" s="189"/>
      <c r="V421" s="47"/>
    </row>
    <row r="422" spans="5:22" ht="15.75" customHeight="1">
      <c r="E422" s="47"/>
      <c r="H422" s="189"/>
      <c r="I422" s="189"/>
      <c r="J422" s="189"/>
      <c r="K422" s="189"/>
      <c r="L422" s="189"/>
      <c r="M422" s="189"/>
      <c r="N422" s="190"/>
      <c r="R422" s="189"/>
      <c r="V422" s="47"/>
    </row>
    <row r="423" spans="5:22" ht="15.75" customHeight="1">
      <c r="E423" s="47"/>
      <c r="H423" s="189"/>
      <c r="I423" s="189"/>
      <c r="J423" s="189"/>
      <c r="K423" s="189"/>
      <c r="L423" s="189"/>
      <c r="M423" s="189"/>
      <c r="N423" s="190"/>
      <c r="R423" s="189"/>
      <c r="V423" s="47"/>
    </row>
    <row r="424" spans="5:22" ht="15.75" customHeight="1">
      <c r="E424" s="47"/>
      <c r="H424" s="189"/>
      <c r="I424" s="189"/>
      <c r="J424" s="189"/>
      <c r="K424" s="189"/>
      <c r="L424" s="189"/>
      <c r="M424" s="189"/>
      <c r="N424" s="190"/>
      <c r="R424" s="189"/>
      <c r="V424" s="47"/>
    </row>
    <row r="425" spans="5:22" ht="15.75" customHeight="1">
      <c r="E425" s="47"/>
      <c r="H425" s="189"/>
      <c r="I425" s="189"/>
      <c r="J425" s="189"/>
      <c r="K425" s="189"/>
      <c r="L425" s="189"/>
      <c r="M425" s="189"/>
      <c r="N425" s="190"/>
      <c r="R425" s="189"/>
      <c r="V425" s="47"/>
    </row>
    <row r="426" spans="5:22" ht="15.75" customHeight="1">
      <c r="E426" s="47"/>
      <c r="H426" s="189"/>
      <c r="I426" s="189"/>
      <c r="J426" s="189"/>
      <c r="K426" s="189"/>
      <c r="L426" s="189"/>
      <c r="M426" s="189"/>
      <c r="N426" s="190"/>
      <c r="R426" s="189"/>
      <c r="V426" s="47"/>
    </row>
    <row r="427" spans="5:22" ht="15.75" customHeight="1">
      <c r="E427" s="47"/>
      <c r="H427" s="189"/>
      <c r="I427" s="189"/>
      <c r="J427" s="189"/>
      <c r="K427" s="189"/>
      <c r="L427" s="189"/>
      <c r="M427" s="189"/>
      <c r="N427" s="190"/>
      <c r="R427" s="189"/>
      <c r="V427" s="47"/>
    </row>
    <row r="428" spans="5:22" ht="15.75" customHeight="1">
      <c r="E428" s="47"/>
      <c r="H428" s="189"/>
      <c r="I428" s="189"/>
      <c r="J428" s="189"/>
      <c r="K428" s="189"/>
      <c r="L428" s="189"/>
      <c r="M428" s="189"/>
      <c r="N428" s="190"/>
      <c r="R428" s="189"/>
      <c r="V428" s="47"/>
    </row>
    <row r="429" spans="5:22" ht="15.75" customHeight="1">
      <c r="E429" s="47"/>
      <c r="H429" s="189"/>
      <c r="I429" s="189"/>
      <c r="J429" s="189"/>
      <c r="K429" s="189"/>
      <c r="L429" s="189"/>
      <c r="M429" s="189"/>
      <c r="N429" s="190"/>
      <c r="R429" s="189"/>
      <c r="V429" s="47"/>
    </row>
    <row r="430" spans="5:22" ht="15.75" customHeight="1">
      <c r="E430" s="47"/>
      <c r="H430" s="189"/>
      <c r="I430" s="189"/>
      <c r="J430" s="189"/>
      <c r="K430" s="189"/>
      <c r="L430" s="189"/>
      <c r="M430" s="189"/>
      <c r="N430" s="190"/>
      <c r="R430" s="189"/>
      <c r="V430" s="47"/>
    </row>
    <row r="431" spans="5:22" ht="15.75" customHeight="1">
      <c r="E431" s="47"/>
      <c r="H431" s="189"/>
      <c r="I431" s="189"/>
      <c r="J431" s="189"/>
      <c r="K431" s="189"/>
      <c r="L431" s="189"/>
      <c r="M431" s="189"/>
      <c r="N431" s="190"/>
      <c r="R431" s="189"/>
      <c r="V431" s="47"/>
    </row>
    <row r="432" spans="5:22" ht="15.75" customHeight="1">
      <c r="E432" s="47"/>
      <c r="H432" s="189"/>
      <c r="I432" s="189"/>
      <c r="J432" s="189"/>
      <c r="K432" s="189"/>
      <c r="L432" s="189"/>
      <c r="M432" s="189"/>
      <c r="N432" s="190"/>
      <c r="R432" s="189"/>
      <c r="V432" s="47"/>
    </row>
    <row r="433" spans="5:22" ht="15.75" customHeight="1">
      <c r="E433" s="47"/>
      <c r="H433" s="189"/>
      <c r="I433" s="189"/>
      <c r="J433" s="189"/>
      <c r="K433" s="189"/>
      <c r="L433" s="189"/>
      <c r="M433" s="189"/>
      <c r="N433" s="190"/>
      <c r="R433" s="189"/>
      <c r="V433" s="47"/>
    </row>
    <row r="434" spans="5:22" ht="15.75" customHeight="1">
      <c r="E434" s="47"/>
      <c r="H434" s="189"/>
      <c r="I434" s="189"/>
      <c r="J434" s="189"/>
      <c r="K434" s="189"/>
      <c r="L434" s="189"/>
      <c r="M434" s="189"/>
      <c r="N434" s="190"/>
      <c r="R434" s="189"/>
      <c r="V434" s="47"/>
    </row>
    <row r="435" spans="5:22" ht="15.75" customHeight="1">
      <c r="E435" s="47"/>
      <c r="H435" s="189"/>
      <c r="I435" s="189"/>
      <c r="J435" s="189"/>
      <c r="K435" s="189"/>
      <c r="L435" s="189"/>
      <c r="M435" s="189"/>
      <c r="N435" s="190"/>
      <c r="R435" s="189"/>
      <c r="V435" s="47"/>
    </row>
    <row r="436" spans="5:22" ht="15.75" customHeight="1">
      <c r="E436" s="47"/>
      <c r="H436" s="189"/>
      <c r="I436" s="189"/>
      <c r="J436" s="189"/>
      <c r="K436" s="189"/>
      <c r="L436" s="189"/>
      <c r="M436" s="189"/>
      <c r="N436" s="190"/>
      <c r="R436" s="189"/>
      <c r="V436" s="47"/>
    </row>
    <row r="437" spans="5:22" ht="15.75" customHeight="1">
      <c r="E437" s="47"/>
      <c r="H437" s="189"/>
      <c r="I437" s="189"/>
      <c r="J437" s="189"/>
      <c r="K437" s="189"/>
      <c r="L437" s="189"/>
      <c r="M437" s="189"/>
      <c r="N437" s="190"/>
      <c r="R437" s="189"/>
      <c r="V437" s="47"/>
    </row>
    <row r="438" spans="5:22" ht="15.75" customHeight="1">
      <c r="E438" s="47"/>
      <c r="H438" s="189"/>
      <c r="I438" s="189"/>
      <c r="J438" s="189"/>
      <c r="K438" s="189"/>
      <c r="L438" s="189"/>
      <c r="M438" s="189"/>
      <c r="N438" s="190"/>
      <c r="R438" s="189"/>
      <c r="V438" s="47"/>
    </row>
    <row r="439" spans="5:22" ht="15.75" customHeight="1">
      <c r="E439" s="47"/>
      <c r="H439" s="189"/>
      <c r="I439" s="189"/>
      <c r="J439" s="189"/>
      <c r="K439" s="189"/>
      <c r="L439" s="189"/>
      <c r="M439" s="189"/>
      <c r="N439" s="190"/>
      <c r="R439" s="189"/>
      <c r="V439" s="47"/>
    </row>
    <row r="440" spans="5:22" ht="15.75" customHeight="1">
      <c r="E440" s="47"/>
      <c r="H440" s="189"/>
      <c r="I440" s="189"/>
      <c r="J440" s="189"/>
      <c r="K440" s="189"/>
      <c r="L440" s="189"/>
      <c r="M440" s="189"/>
      <c r="N440" s="190"/>
      <c r="R440" s="189"/>
      <c r="V440" s="47"/>
    </row>
    <row r="441" spans="5:22" ht="15.75" customHeight="1">
      <c r="E441" s="47"/>
      <c r="H441" s="189"/>
      <c r="I441" s="189"/>
      <c r="J441" s="189"/>
      <c r="K441" s="189"/>
      <c r="L441" s="189"/>
      <c r="M441" s="189"/>
      <c r="N441" s="190"/>
      <c r="R441" s="189"/>
      <c r="V441" s="47"/>
    </row>
    <row r="442" spans="5:22" ht="15.75" customHeight="1">
      <c r="E442" s="47"/>
      <c r="H442" s="189"/>
      <c r="I442" s="189"/>
      <c r="J442" s="189"/>
      <c r="K442" s="189"/>
      <c r="L442" s="189"/>
      <c r="M442" s="189"/>
      <c r="N442" s="190"/>
      <c r="R442" s="189"/>
      <c r="V442" s="47"/>
    </row>
    <row r="443" spans="5:22" ht="15.75" customHeight="1">
      <c r="E443" s="47"/>
      <c r="H443" s="189"/>
      <c r="I443" s="189"/>
      <c r="J443" s="189"/>
      <c r="K443" s="189"/>
      <c r="L443" s="189"/>
      <c r="M443" s="189"/>
      <c r="N443" s="190"/>
      <c r="R443" s="189"/>
      <c r="V443" s="47"/>
    </row>
    <row r="444" spans="5:22" ht="15.75" customHeight="1">
      <c r="E444" s="47"/>
      <c r="H444" s="189"/>
      <c r="I444" s="189"/>
      <c r="J444" s="189"/>
      <c r="K444" s="189"/>
      <c r="L444" s="189"/>
      <c r="M444" s="189"/>
      <c r="N444" s="190"/>
      <c r="R444" s="189"/>
      <c r="V444" s="47"/>
    </row>
    <row r="445" spans="5:22" ht="15.75" customHeight="1">
      <c r="E445" s="47"/>
      <c r="H445" s="189"/>
      <c r="I445" s="189"/>
      <c r="J445" s="189"/>
      <c r="K445" s="189"/>
      <c r="L445" s="189"/>
      <c r="M445" s="189"/>
      <c r="N445" s="190"/>
      <c r="R445" s="189"/>
      <c r="V445" s="47"/>
    </row>
    <row r="446" spans="5:22" ht="15.75" customHeight="1">
      <c r="E446" s="47"/>
      <c r="H446" s="189"/>
      <c r="I446" s="189"/>
      <c r="J446" s="189"/>
      <c r="K446" s="189"/>
      <c r="L446" s="189"/>
      <c r="M446" s="189"/>
      <c r="N446" s="190"/>
      <c r="R446" s="189"/>
      <c r="V446" s="47"/>
    </row>
    <row r="447" spans="5:22" ht="15.75" customHeight="1">
      <c r="E447" s="47"/>
      <c r="H447" s="189"/>
      <c r="I447" s="189"/>
      <c r="J447" s="189"/>
      <c r="K447" s="189"/>
      <c r="L447" s="189"/>
      <c r="M447" s="189"/>
      <c r="N447" s="190"/>
      <c r="R447" s="189"/>
      <c r="V447" s="47"/>
    </row>
    <row r="448" spans="5:22" ht="15.75" customHeight="1">
      <c r="E448" s="47"/>
      <c r="H448" s="189"/>
      <c r="I448" s="189"/>
      <c r="J448" s="189"/>
      <c r="K448" s="189"/>
      <c r="L448" s="189"/>
      <c r="M448" s="189"/>
      <c r="N448" s="190"/>
      <c r="R448" s="189"/>
      <c r="V448" s="47"/>
    </row>
    <row r="449" spans="5:22" ht="15.75" customHeight="1">
      <c r="E449" s="47"/>
      <c r="H449" s="189"/>
      <c r="I449" s="189"/>
      <c r="J449" s="189"/>
      <c r="K449" s="189"/>
      <c r="L449" s="189"/>
      <c r="M449" s="189"/>
      <c r="N449" s="190"/>
      <c r="R449" s="189"/>
      <c r="V449" s="47"/>
    </row>
    <row r="450" spans="5:22" ht="15.75" customHeight="1">
      <c r="E450" s="47"/>
      <c r="H450" s="189"/>
      <c r="I450" s="189"/>
      <c r="J450" s="189"/>
      <c r="K450" s="189"/>
      <c r="L450" s="189"/>
      <c r="M450" s="189"/>
      <c r="N450" s="190"/>
      <c r="R450" s="189"/>
      <c r="V450" s="47"/>
    </row>
    <row r="451" spans="5:22" ht="15.75" customHeight="1">
      <c r="E451" s="47"/>
      <c r="H451" s="189"/>
      <c r="I451" s="189"/>
      <c r="J451" s="189"/>
      <c r="K451" s="189"/>
      <c r="L451" s="189"/>
      <c r="M451" s="189"/>
      <c r="N451" s="190"/>
      <c r="R451" s="189"/>
      <c r="V451" s="47"/>
    </row>
    <row r="452" spans="5:22" ht="15.75" customHeight="1">
      <c r="E452" s="47"/>
      <c r="H452" s="189"/>
      <c r="I452" s="189"/>
      <c r="J452" s="189"/>
      <c r="K452" s="189"/>
      <c r="L452" s="189"/>
      <c r="M452" s="189"/>
      <c r="N452" s="190"/>
      <c r="R452" s="189"/>
      <c r="V452" s="47"/>
    </row>
    <row r="453" spans="5:22" ht="15.75" customHeight="1">
      <c r="E453" s="47"/>
      <c r="H453" s="189"/>
      <c r="I453" s="189"/>
      <c r="J453" s="189"/>
      <c r="K453" s="189"/>
      <c r="L453" s="189"/>
      <c r="M453" s="189"/>
      <c r="N453" s="190"/>
      <c r="R453" s="189"/>
      <c r="V453" s="47"/>
    </row>
    <row r="454" spans="5:22" ht="15.75" customHeight="1">
      <c r="E454" s="47"/>
      <c r="H454" s="189"/>
      <c r="I454" s="189"/>
      <c r="J454" s="189"/>
      <c r="K454" s="189"/>
      <c r="L454" s="189"/>
      <c r="M454" s="189"/>
      <c r="N454" s="190"/>
      <c r="R454" s="189"/>
      <c r="V454" s="47"/>
    </row>
    <row r="455" spans="5:22" ht="15.75" customHeight="1">
      <c r="E455" s="47"/>
      <c r="H455" s="189"/>
      <c r="I455" s="189"/>
      <c r="J455" s="189"/>
      <c r="K455" s="189"/>
      <c r="L455" s="189"/>
      <c r="M455" s="189"/>
      <c r="N455" s="190"/>
      <c r="R455" s="189"/>
      <c r="V455" s="47"/>
    </row>
    <row r="456" spans="5:22" ht="15.75" customHeight="1">
      <c r="E456" s="47"/>
      <c r="H456" s="189"/>
      <c r="I456" s="189"/>
      <c r="J456" s="189"/>
      <c r="K456" s="189"/>
      <c r="L456" s="189"/>
      <c r="M456" s="189"/>
      <c r="N456" s="190"/>
      <c r="R456" s="189"/>
      <c r="V456" s="47"/>
    </row>
    <row r="457" spans="5:22" ht="15.75" customHeight="1">
      <c r="E457" s="47"/>
      <c r="H457" s="189"/>
      <c r="I457" s="189"/>
      <c r="J457" s="189"/>
      <c r="K457" s="189"/>
      <c r="L457" s="189"/>
      <c r="M457" s="189"/>
      <c r="N457" s="190"/>
      <c r="R457" s="189"/>
      <c r="V457" s="47"/>
    </row>
    <row r="458" spans="5:22" ht="15.75" customHeight="1">
      <c r="E458" s="47"/>
      <c r="H458" s="189"/>
      <c r="I458" s="189"/>
      <c r="J458" s="189"/>
      <c r="K458" s="189"/>
      <c r="L458" s="189"/>
      <c r="M458" s="189"/>
      <c r="N458" s="190"/>
      <c r="R458" s="189"/>
      <c r="V458" s="47"/>
    </row>
    <row r="459" spans="5:22" ht="15.75" customHeight="1">
      <c r="E459" s="47"/>
      <c r="H459" s="189"/>
      <c r="I459" s="189"/>
      <c r="J459" s="189"/>
      <c r="K459" s="189"/>
      <c r="L459" s="189"/>
      <c r="M459" s="189"/>
      <c r="N459" s="190"/>
      <c r="R459" s="189"/>
      <c r="V459" s="47"/>
    </row>
    <row r="460" spans="5:22" ht="15.75" customHeight="1">
      <c r="E460" s="47"/>
      <c r="H460" s="189"/>
      <c r="I460" s="189"/>
      <c r="J460" s="189"/>
      <c r="K460" s="189"/>
      <c r="L460" s="189"/>
      <c r="M460" s="189"/>
      <c r="N460" s="190"/>
      <c r="R460" s="189"/>
      <c r="V460" s="47"/>
    </row>
    <row r="461" spans="5:22" ht="15.75" customHeight="1">
      <c r="E461" s="47"/>
      <c r="H461" s="189"/>
      <c r="I461" s="189"/>
      <c r="J461" s="189"/>
      <c r="K461" s="189"/>
      <c r="L461" s="189"/>
      <c r="M461" s="189"/>
      <c r="N461" s="190"/>
      <c r="R461" s="189"/>
      <c r="V461" s="47"/>
    </row>
    <row r="462" spans="5:22" ht="15.75" customHeight="1">
      <c r="E462" s="47"/>
      <c r="H462" s="189"/>
      <c r="I462" s="189"/>
      <c r="J462" s="189"/>
      <c r="K462" s="189"/>
      <c r="L462" s="189"/>
      <c r="M462" s="189"/>
      <c r="N462" s="190"/>
      <c r="R462" s="189"/>
      <c r="V462" s="47"/>
    </row>
    <row r="463" spans="5:22" ht="15.75" customHeight="1">
      <c r="E463" s="47"/>
      <c r="H463" s="189"/>
      <c r="I463" s="189"/>
      <c r="J463" s="189"/>
      <c r="K463" s="189"/>
      <c r="L463" s="189"/>
      <c r="M463" s="189"/>
      <c r="N463" s="190"/>
      <c r="R463" s="189"/>
      <c r="V463" s="47"/>
    </row>
    <row r="464" spans="5:22" ht="15.75" customHeight="1">
      <c r="E464" s="47"/>
      <c r="H464" s="189"/>
      <c r="I464" s="189"/>
      <c r="J464" s="189"/>
      <c r="K464" s="189"/>
      <c r="L464" s="189"/>
      <c r="M464" s="189"/>
      <c r="N464" s="190"/>
      <c r="R464" s="189"/>
      <c r="V464" s="47"/>
    </row>
    <row r="465" spans="5:22" ht="15.75" customHeight="1">
      <c r="E465" s="47"/>
      <c r="H465" s="189"/>
      <c r="I465" s="189"/>
      <c r="J465" s="189"/>
      <c r="K465" s="189"/>
      <c r="L465" s="189"/>
      <c r="M465" s="189"/>
      <c r="N465" s="190"/>
      <c r="R465" s="189"/>
      <c r="V465" s="47"/>
    </row>
    <row r="466" spans="5:22" ht="15.75" customHeight="1">
      <c r="E466" s="47"/>
      <c r="H466" s="189"/>
      <c r="I466" s="189"/>
      <c r="J466" s="189"/>
      <c r="K466" s="189"/>
      <c r="L466" s="189"/>
      <c r="M466" s="189"/>
      <c r="N466" s="190"/>
      <c r="R466" s="189"/>
      <c r="V466" s="47"/>
    </row>
    <row r="467" spans="5:22" ht="15.75" customHeight="1">
      <c r="E467" s="47"/>
      <c r="H467" s="189"/>
      <c r="I467" s="189"/>
      <c r="J467" s="189"/>
      <c r="K467" s="189"/>
      <c r="L467" s="189"/>
      <c r="M467" s="189"/>
      <c r="N467" s="190"/>
      <c r="R467" s="189"/>
      <c r="V467" s="47"/>
    </row>
    <row r="468" spans="5:22" ht="15.75" customHeight="1">
      <c r="E468" s="47"/>
      <c r="H468" s="189"/>
      <c r="I468" s="189"/>
      <c r="J468" s="189"/>
      <c r="K468" s="189"/>
      <c r="L468" s="189"/>
      <c r="M468" s="189"/>
      <c r="N468" s="190"/>
      <c r="R468" s="189"/>
      <c r="V468" s="47"/>
    </row>
    <row r="469" spans="5:22" ht="15.75" customHeight="1">
      <c r="E469" s="47"/>
      <c r="H469" s="189"/>
      <c r="I469" s="189"/>
      <c r="J469" s="189"/>
      <c r="K469" s="189"/>
      <c r="L469" s="189"/>
      <c r="M469" s="189"/>
      <c r="N469" s="190"/>
      <c r="R469" s="189"/>
      <c r="V469" s="47"/>
    </row>
    <row r="470" spans="5:22" ht="15.75" customHeight="1">
      <c r="E470" s="47"/>
      <c r="H470" s="189"/>
      <c r="I470" s="189"/>
      <c r="J470" s="189"/>
      <c r="K470" s="189"/>
      <c r="L470" s="189"/>
      <c r="M470" s="189"/>
      <c r="N470" s="190"/>
      <c r="R470" s="189"/>
      <c r="V470" s="47"/>
    </row>
    <row r="471" spans="5:22" ht="15.75" customHeight="1">
      <c r="E471" s="47"/>
      <c r="H471" s="189"/>
      <c r="I471" s="189"/>
      <c r="J471" s="189"/>
      <c r="K471" s="189"/>
      <c r="L471" s="189"/>
      <c r="M471" s="189"/>
      <c r="N471" s="190"/>
      <c r="R471" s="189"/>
      <c r="V471" s="47"/>
    </row>
    <row r="472" spans="5:22" ht="15.75" customHeight="1">
      <c r="E472" s="47"/>
      <c r="H472" s="189"/>
      <c r="I472" s="189"/>
      <c r="J472" s="189"/>
      <c r="K472" s="189"/>
      <c r="L472" s="189"/>
      <c r="M472" s="189"/>
      <c r="N472" s="190"/>
      <c r="R472" s="189"/>
      <c r="V472" s="47"/>
    </row>
    <row r="473" spans="5:22" ht="15.75" customHeight="1">
      <c r="E473" s="47"/>
      <c r="H473" s="189"/>
      <c r="I473" s="189"/>
      <c r="J473" s="189"/>
      <c r="K473" s="189"/>
      <c r="L473" s="189"/>
      <c r="M473" s="189"/>
      <c r="N473" s="190"/>
      <c r="R473" s="189"/>
      <c r="V473" s="47"/>
    </row>
    <row r="474" spans="5:22" ht="15.75" customHeight="1">
      <c r="E474" s="47"/>
      <c r="H474" s="189"/>
      <c r="I474" s="189"/>
      <c r="J474" s="189"/>
      <c r="K474" s="189"/>
      <c r="L474" s="189"/>
      <c r="M474" s="189"/>
      <c r="N474" s="190"/>
      <c r="R474" s="189"/>
      <c r="V474" s="47"/>
    </row>
    <row r="475" spans="5:22" ht="15.75" customHeight="1">
      <c r="E475" s="47"/>
      <c r="H475" s="189"/>
      <c r="I475" s="189"/>
      <c r="J475" s="189"/>
      <c r="K475" s="189"/>
      <c r="L475" s="189"/>
      <c r="M475" s="189"/>
      <c r="N475" s="190"/>
      <c r="R475" s="189"/>
      <c r="V475" s="47"/>
    </row>
    <row r="476" spans="5:22" ht="15.75" customHeight="1">
      <c r="E476" s="47"/>
      <c r="H476" s="189"/>
      <c r="I476" s="189"/>
      <c r="J476" s="189"/>
      <c r="K476" s="189"/>
      <c r="L476" s="189"/>
      <c r="M476" s="189"/>
      <c r="N476" s="190"/>
      <c r="R476" s="189"/>
      <c r="V476" s="47"/>
    </row>
    <row r="477" spans="5:22" ht="15.75" customHeight="1">
      <c r="E477" s="47"/>
      <c r="H477" s="189"/>
      <c r="I477" s="189"/>
      <c r="J477" s="189"/>
      <c r="K477" s="189"/>
      <c r="L477" s="189"/>
      <c r="M477" s="189"/>
      <c r="N477" s="190"/>
      <c r="R477" s="189"/>
      <c r="V477" s="47"/>
    </row>
    <row r="478" spans="5:22" ht="15.75" customHeight="1">
      <c r="E478" s="47"/>
      <c r="H478" s="189"/>
      <c r="I478" s="189"/>
      <c r="J478" s="189"/>
      <c r="K478" s="189"/>
      <c r="L478" s="189"/>
      <c r="M478" s="189"/>
      <c r="N478" s="190"/>
      <c r="R478" s="189"/>
      <c r="V478" s="47"/>
    </row>
    <row r="479" spans="5:22" ht="15.75" customHeight="1">
      <c r="E479" s="47"/>
      <c r="H479" s="189"/>
      <c r="I479" s="189"/>
      <c r="J479" s="189"/>
      <c r="K479" s="189"/>
      <c r="L479" s="189"/>
      <c r="M479" s="189"/>
      <c r="N479" s="190"/>
      <c r="R479" s="189"/>
      <c r="V479" s="47"/>
    </row>
    <row r="480" spans="5:22" ht="15.75" customHeight="1">
      <c r="E480" s="47"/>
      <c r="H480" s="189"/>
      <c r="I480" s="189"/>
      <c r="J480" s="189"/>
      <c r="K480" s="189"/>
      <c r="L480" s="189"/>
      <c r="M480" s="189"/>
      <c r="N480" s="190"/>
      <c r="R480" s="189"/>
      <c r="V480" s="47"/>
    </row>
    <row r="481" spans="5:22" ht="15.75" customHeight="1">
      <c r="E481" s="47"/>
      <c r="H481" s="189"/>
      <c r="I481" s="189"/>
      <c r="J481" s="189"/>
      <c r="K481" s="189"/>
      <c r="L481" s="189"/>
      <c r="M481" s="189"/>
      <c r="N481" s="190"/>
      <c r="R481" s="189"/>
      <c r="V481" s="47"/>
    </row>
    <row r="482" spans="5:22" ht="15.75" customHeight="1">
      <c r="E482" s="47"/>
      <c r="H482" s="189"/>
      <c r="I482" s="189"/>
      <c r="J482" s="189"/>
      <c r="K482" s="189"/>
      <c r="L482" s="189"/>
      <c r="M482" s="189"/>
      <c r="N482" s="190"/>
      <c r="R482" s="189"/>
      <c r="V482" s="47"/>
    </row>
    <row r="483" spans="5:22" ht="15.75" customHeight="1">
      <c r="E483" s="47"/>
      <c r="H483" s="189"/>
      <c r="I483" s="189"/>
      <c r="J483" s="189"/>
      <c r="K483" s="189"/>
      <c r="L483" s="189"/>
      <c r="M483" s="189"/>
      <c r="N483" s="190"/>
      <c r="R483" s="189"/>
      <c r="V483" s="47"/>
    </row>
    <row r="484" spans="5:22" ht="15.75" customHeight="1">
      <c r="E484" s="47"/>
      <c r="H484" s="189"/>
      <c r="I484" s="189"/>
      <c r="J484" s="189"/>
      <c r="K484" s="189"/>
      <c r="L484" s="189"/>
      <c r="M484" s="189"/>
      <c r="N484" s="190"/>
      <c r="R484" s="189"/>
      <c r="V484" s="47"/>
    </row>
    <row r="485" spans="5:22" ht="15.75" customHeight="1">
      <c r="E485" s="47"/>
      <c r="H485" s="189"/>
      <c r="I485" s="189"/>
      <c r="J485" s="189"/>
      <c r="K485" s="189"/>
      <c r="L485" s="189"/>
      <c r="M485" s="189"/>
      <c r="N485" s="190"/>
      <c r="R485" s="189"/>
      <c r="V485" s="47"/>
    </row>
    <row r="486" spans="5:22" ht="15.75" customHeight="1">
      <c r="E486" s="47"/>
      <c r="H486" s="189"/>
      <c r="I486" s="189"/>
      <c r="J486" s="189"/>
      <c r="K486" s="189"/>
      <c r="L486" s="189"/>
      <c r="M486" s="189"/>
      <c r="N486" s="190"/>
      <c r="R486" s="189"/>
      <c r="V486" s="47"/>
    </row>
    <row r="487" spans="5:22" ht="15.75" customHeight="1">
      <c r="E487" s="47"/>
      <c r="H487" s="189"/>
      <c r="I487" s="189"/>
      <c r="J487" s="189"/>
      <c r="K487" s="189"/>
      <c r="L487" s="189"/>
      <c r="M487" s="189"/>
      <c r="N487" s="190"/>
      <c r="R487" s="189"/>
      <c r="V487" s="47"/>
    </row>
    <row r="488" spans="5:22" ht="15.75" customHeight="1">
      <c r="E488" s="47"/>
      <c r="H488" s="189"/>
      <c r="I488" s="189"/>
      <c r="J488" s="189"/>
      <c r="K488" s="189"/>
      <c r="L488" s="189"/>
      <c r="M488" s="189"/>
      <c r="N488" s="190"/>
      <c r="R488" s="189"/>
      <c r="V488" s="47"/>
    </row>
    <row r="489" spans="5:22" ht="15.75" customHeight="1">
      <c r="E489" s="47"/>
      <c r="H489" s="189"/>
      <c r="I489" s="189"/>
      <c r="J489" s="189"/>
      <c r="K489" s="189"/>
      <c r="L489" s="189"/>
      <c r="M489" s="189"/>
      <c r="N489" s="190"/>
      <c r="R489" s="189"/>
      <c r="V489" s="47"/>
    </row>
    <row r="490" spans="5:22" ht="15.75" customHeight="1">
      <c r="E490" s="47"/>
      <c r="H490" s="189"/>
      <c r="I490" s="189"/>
      <c r="J490" s="189"/>
      <c r="K490" s="189"/>
      <c r="L490" s="189"/>
      <c r="M490" s="189"/>
      <c r="N490" s="190"/>
      <c r="R490" s="189"/>
      <c r="V490" s="47"/>
    </row>
    <row r="491" spans="5:22" ht="15.75" customHeight="1">
      <c r="E491" s="47"/>
      <c r="H491" s="189"/>
      <c r="I491" s="189"/>
      <c r="J491" s="189"/>
      <c r="K491" s="189"/>
      <c r="L491" s="189"/>
      <c r="M491" s="189"/>
      <c r="N491" s="190"/>
      <c r="R491" s="189"/>
      <c r="V491" s="47"/>
    </row>
    <row r="492" spans="5:22" ht="15.75" customHeight="1">
      <c r="E492" s="47"/>
      <c r="H492" s="189"/>
      <c r="I492" s="189"/>
      <c r="J492" s="189"/>
      <c r="K492" s="189"/>
      <c r="L492" s="189"/>
      <c r="M492" s="189"/>
      <c r="N492" s="190"/>
      <c r="R492" s="189"/>
      <c r="V492" s="47"/>
    </row>
    <row r="493" spans="5:22" ht="15.75" customHeight="1">
      <c r="E493" s="47"/>
      <c r="H493" s="189"/>
      <c r="I493" s="189"/>
      <c r="J493" s="189"/>
      <c r="K493" s="189"/>
      <c r="L493" s="189"/>
      <c r="M493" s="189"/>
      <c r="N493" s="190"/>
      <c r="R493" s="189"/>
      <c r="V493" s="47"/>
    </row>
    <row r="494" spans="5:22" ht="15.75" customHeight="1">
      <c r="E494" s="47"/>
      <c r="H494" s="189"/>
      <c r="I494" s="189"/>
      <c r="J494" s="189"/>
      <c r="K494" s="189"/>
      <c r="L494" s="189"/>
      <c r="M494" s="189"/>
      <c r="N494" s="190"/>
      <c r="R494" s="189"/>
      <c r="V494" s="47"/>
    </row>
    <row r="495" spans="5:22" ht="15.75" customHeight="1">
      <c r="E495" s="47"/>
      <c r="H495" s="189"/>
      <c r="I495" s="189"/>
      <c r="J495" s="189"/>
      <c r="K495" s="189"/>
      <c r="L495" s="189"/>
      <c r="M495" s="189"/>
      <c r="N495" s="190"/>
      <c r="R495" s="189"/>
      <c r="V495" s="47"/>
    </row>
    <row r="496" spans="5:22" ht="15.75" customHeight="1">
      <c r="E496" s="47"/>
      <c r="H496" s="189"/>
      <c r="I496" s="189"/>
      <c r="J496" s="189"/>
      <c r="K496" s="189"/>
      <c r="L496" s="189"/>
      <c r="M496" s="189"/>
      <c r="N496" s="190"/>
      <c r="R496" s="189"/>
      <c r="V496" s="47"/>
    </row>
    <row r="497" spans="5:22" ht="15.75" customHeight="1">
      <c r="E497" s="47"/>
      <c r="H497" s="189"/>
      <c r="I497" s="189"/>
      <c r="J497" s="189"/>
      <c r="K497" s="189"/>
      <c r="L497" s="189"/>
      <c r="M497" s="189"/>
      <c r="N497" s="190"/>
      <c r="R497" s="189"/>
      <c r="V497" s="47"/>
    </row>
    <row r="498" spans="5:22" ht="15.75" customHeight="1">
      <c r="E498" s="47"/>
      <c r="H498" s="189"/>
      <c r="I498" s="189"/>
      <c r="J498" s="189"/>
      <c r="K498" s="189"/>
      <c r="L498" s="189"/>
      <c r="M498" s="189"/>
      <c r="N498" s="190"/>
      <c r="R498" s="189"/>
      <c r="V498" s="47"/>
    </row>
    <row r="499" spans="5:22" ht="15.75" customHeight="1">
      <c r="E499" s="47"/>
      <c r="H499" s="189"/>
      <c r="I499" s="189"/>
      <c r="J499" s="189"/>
      <c r="K499" s="189"/>
      <c r="L499" s="189"/>
      <c r="M499" s="189"/>
      <c r="N499" s="190"/>
      <c r="R499" s="189"/>
      <c r="V499" s="47"/>
    </row>
    <row r="500" spans="5:22" ht="15.75" customHeight="1">
      <c r="E500" s="47"/>
      <c r="H500" s="189"/>
      <c r="I500" s="189"/>
      <c r="J500" s="189"/>
      <c r="K500" s="189"/>
      <c r="L500" s="189"/>
      <c r="M500" s="189"/>
      <c r="N500" s="190"/>
      <c r="R500" s="189"/>
      <c r="V500" s="47"/>
    </row>
    <row r="501" spans="5:22" ht="15.75" customHeight="1">
      <c r="E501" s="47"/>
      <c r="H501" s="189"/>
      <c r="I501" s="189"/>
      <c r="J501" s="189"/>
      <c r="K501" s="189"/>
      <c r="L501" s="189"/>
      <c r="M501" s="189"/>
      <c r="N501" s="190"/>
      <c r="R501" s="189"/>
      <c r="V501" s="47"/>
    </row>
    <row r="502" spans="5:22" ht="15.75" customHeight="1">
      <c r="E502" s="47"/>
      <c r="H502" s="189"/>
      <c r="I502" s="189"/>
      <c r="J502" s="189"/>
      <c r="K502" s="189"/>
      <c r="L502" s="189"/>
      <c r="M502" s="189"/>
      <c r="N502" s="190"/>
      <c r="R502" s="189"/>
      <c r="V502" s="47"/>
    </row>
    <row r="503" spans="5:22" ht="15.75" customHeight="1">
      <c r="E503" s="47"/>
      <c r="H503" s="189"/>
      <c r="I503" s="189"/>
      <c r="J503" s="189"/>
      <c r="K503" s="189"/>
      <c r="L503" s="189"/>
      <c r="M503" s="189"/>
      <c r="N503" s="190"/>
      <c r="R503" s="189"/>
      <c r="V503" s="47"/>
    </row>
    <row r="504" spans="5:22" ht="15.75" customHeight="1">
      <c r="E504" s="47"/>
      <c r="H504" s="189"/>
      <c r="I504" s="189"/>
      <c r="J504" s="189"/>
      <c r="K504" s="189"/>
      <c r="L504" s="189"/>
      <c r="M504" s="189"/>
      <c r="N504" s="190"/>
      <c r="R504" s="189"/>
      <c r="V504" s="47"/>
    </row>
    <row r="505" spans="5:22" ht="15.75" customHeight="1">
      <c r="E505" s="47"/>
      <c r="H505" s="189"/>
      <c r="I505" s="189"/>
      <c r="J505" s="189"/>
      <c r="K505" s="189"/>
      <c r="L505" s="189"/>
      <c r="M505" s="189"/>
      <c r="N505" s="190"/>
      <c r="R505" s="189"/>
      <c r="V505" s="47"/>
    </row>
    <row r="506" spans="5:22" ht="15.75" customHeight="1">
      <c r="E506" s="47"/>
      <c r="H506" s="189"/>
      <c r="I506" s="189"/>
      <c r="J506" s="189"/>
      <c r="K506" s="189"/>
      <c r="L506" s="189"/>
      <c r="M506" s="189"/>
      <c r="N506" s="190"/>
      <c r="R506" s="189"/>
      <c r="V506" s="47"/>
    </row>
    <row r="507" spans="5:22" ht="15.75" customHeight="1">
      <c r="E507" s="47"/>
      <c r="H507" s="189"/>
      <c r="I507" s="189"/>
      <c r="J507" s="189"/>
      <c r="K507" s="189"/>
      <c r="L507" s="189"/>
      <c r="M507" s="189"/>
      <c r="N507" s="190"/>
      <c r="R507" s="189"/>
      <c r="V507" s="47"/>
    </row>
    <row r="508" spans="5:22" ht="15.75" customHeight="1">
      <c r="E508" s="47"/>
      <c r="H508" s="189"/>
      <c r="I508" s="189"/>
      <c r="J508" s="189"/>
      <c r="K508" s="189"/>
      <c r="L508" s="189"/>
      <c r="M508" s="189"/>
      <c r="N508" s="190"/>
      <c r="R508" s="189"/>
      <c r="V508" s="47"/>
    </row>
    <row r="509" spans="5:22" ht="15.75" customHeight="1">
      <c r="E509" s="47"/>
      <c r="H509" s="189"/>
      <c r="I509" s="189"/>
      <c r="J509" s="189"/>
      <c r="K509" s="189"/>
      <c r="L509" s="189"/>
      <c r="M509" s="189"/>
      <c r="N509" s="190"/>
      <c r="R509" s="189"/>
      <c r="V509" s="47"/>
    </row>
    <row r="510" spans="5:22" ht="15.75" customHeight="1">
      <c r="E510" s="47"/>
      <c r="H510" s="189"/>
      <c r="I510" s="189"/>
      <c r="J510" s="189"/>
      <c r="K510" s="189"/>
      <c r="L510" s="189"/>
      <c r="M510" s="189"/>
      <c r="N510" s="190"/>
      <c r="R510" s="189"/>
      <c r="V510" s="47"/>
    </row>
    <row r="511" spans="5:22" ht="15.75" customHeight="1">
      <c r="E511" s="47"/>
      <c r="H511" s="189"/>
      <c r="I511" s="189"/>
      <c r="J511" s="189"/>
      <c r="K511" s="189"/>
      <c r="L511" s="189"/>
      <c r="M511" s="189"/>
      <c r="N511" s="190"/>
      <c r="R511" s="189"/>
      <c r="V511" s="47"/>
    </row>
    <row r="512" spans="5:22" ht="15.75" customHeight="1">
      <c r="E512" s="47"/>
      <c r="H512" s="189"/>
      <c r="I512" s="189"/>
      <c r="J512" s="189"/>
      <c r="K512" s="189"/>
      <c r="L512" s="189"/>
      <c r="M512" s="189"/>
      <c r="N512" s="190"/>
      <c r="R512" s="189"/>
      <c r="V512" s="47"/>
    </row>
    <row r="513" spans="5:22" ht="15.75" customHeight="1">
      <c r="E513" s="47"/>
      <c r="H513" s="189"/>
      <c r="I513" s="189"/>
      <c r="J513" s="189"/>
      <c r="K513" s="189"/>
      <c r="L513" s="189"/>
      <c r="M513" s="189"/>
      <c r="N513" s="190"/>
      <c r="R513" s="189"/>
      <c r="V513" s="47"/>
    </row>
    <row r="514" spans="5:22" ht="15.75" customHeight="1">
      <c r="E514" s="47"/>
      <c r="H514" s="189"/>
      <c r="I514" s="189"/>
      <c r="J514" s="189"/>
      <c r="K514" s="189"/>
      <c r="L514" s="189"/>
      <c r="M514" s="189"/>
      <c r="N514" s="190"/>
      <c r="R514" s="189"/>
      <c r="V514" s="47"/>
    </row>
    <row r="515" spans="5:22" ht="15.75" customHeight="1">
      <c r="E515" s="47"/>
      <c r="H515" s="189"/>
      <c r="I515" s="189"/>
      <c r="J515" s="189"/>
      <c r="K515" s="189"/>
      <c r="L515" s="189"/>
      <c r="M515" s="189"/>
      <c r="N515" s="190"/>
      <c r="R515" s="189"/>
      <c r="V515" s="47"/>
    </row>
    <row r="516" spans="5:22" ht="15.75" customHeight="1">
      <c r="E516" s="47"/>
      <c r="H516" s="189"/>
      <c r="I516" s="189"/>
      <c r="J516" s="189"/>
      <c r="K516" s="189"/>
      <c r="L516" s="189"/>
      <c r="M516" s="189"/>
      <c r="N516" s="190"/>
      <c r="R516" s="189"/>
      <c r="V516" s="47"/>
    </row>
    <row r="517" spans="5:22" ht="15.75" customHeight="1">
      <c r="E517" s="47"/>
      <c r="H517" s="189"/>
      <c r="I517" s="189"/>
      <c r="J517" s="189"/>
      <c r="K517" s="189"/>
      <c r="L517" s="189"/>
      <c r="M517" s="189"/>
      <c r="N517" s="190"/>
      <c r="R517" s="189"/>
      <c r="V517" s="47"/>
    </row>
    <row r="518" spans="5:22" ht="15.75" customHeight="1">
      <c r="E518" s="47"/>
      <c r="H518" s="189"/>
      <c r="I518" s="189"/>
      <c r="J518" s="189"/>
      <c r="K518" s="189"/>
      <c r="L518" s="189"/>
      <c r="M518" s="189"/>
      <c r="N518" s="190"/>
      <c r="R518" s="189"/>
      <c r="V518" s="47"/>
    </row>
    <row r="519" spans="5:22" ht="15.75" customHeight="1">
      <c r="E519" s="47"/>
      <c r="H519" s="189"/>
      <c r="I519" s="189"/>
      <c r="J519" s="189"/>
      <c r="K519" s="189"/>
      <c r="L519" s="189"/>
      <c r="M519" s="189"/>
      <c r="N519" s="190"/>
      <c r="R519" s="189"/>
      <c r="V519" s="47"/>
    </row>
    <row r="520" spans="5:22" ht="15.75" customHeight="1">
      <c r="E520" s="47"/>
      <c r="H520" s="189"/>
      <c r="I520" s="189"/>
      <c r="J520" s="189"/>
      <c r="K520" s="189"/>
      <c r="L520" s="189"/>
      <c r="M520" s="189"/>
      <c r="N520" s="190"/>
      <c r="R520" s="189"/>
      <c r="V520" s="47"/>
    </row>
    <row r="521" spans="5:22" ht="15.75" customHeight="1">
      <c r="E521" s="47"/>
      <c r="H521" s="189"/>
      <c r="I521" s="189"/>
      <c r="J521" s="189"/>
      <c r="K521" s="189"/>
      <c r="L521" s="189"/>
      <c r="M521" s="189"/>
      <c r="N521" s="190"/>
      <c r="R521" s="189"/>
      <c r="V521" s="47"/>
    </row>
    <row r="522" spans="5:22" ht="15.75" customHeight="1">
      <c r="E522" s="47"/>
      <c r="H522" s="189"/>
      <c r="I522" s="189"/>
      <c r="J522" s="189"/>
      <c r="K522" s="189"/>
      <c r="L522" s="189"/>
      <c r="M522" s="189"/>
      <c r="N522" s="190"/>
      <c r="R522" s="189"/>
      <c r="V522" s="47"/>
    </row>
    <row r="523" spans="5:22" ht="15.75" customHeight="1">
      <c r="E523" s="47"/>
      <c r="H523" s="189"/>
      <c r="I523" s="189"/>
      <c r="J523" s="189"/>
      <c r="K523" s="189"/>
      <c r="L523" s="189"/>
      <c r="M523" s="189"/>
      <c r="N523" s="190"/>
      <c r="R523" s="189"/>
      <c r="V523" s="47"/>
    </row>
    <row r="524" spans="5:22" ht="15.75" customHeight="1">
      <c r="E524" s="47"/>
      <c r="H524" s="189"/>
      <c r="I524" s="189"/>
      <c r="J524" s="189"/>
      <c r="K524" s="189"/>
      <c r="L524" s="189"/>
      <c r="M524" s="189"/>
      <c r="N524" s="190"/>
      <c r="R524" s="189"/>
      <c r="V524" s="47"/>
    </row>
    <row r="525" spans="5:22" ht="15.75" customHeight="1">
      <c r="E525" s="47"/>
      <c r="H525" s="189"/>
      <c r="I525" s="189"/>
      <c r="J525" s="189"/>
      <c r="K525" s="189"/>
      <c r="L525" s="189"/>
      <c r="M525" s="189"/>
      <c r="N525" s="190"/>
      <c r="R525" s="189"/>
      <c r="V525" s="47"/>
    </row>
    <row r="526" spans="5:22" ht="15.75" customHeight="1">
      <c r="E526" s="47"/>
      <c r="H526" s="189"/>
      <c r="I526" s="189"/>
      <c r="J526" s="189"/>
      <c r="K526" s="189"/>
      <c r="L526" s="189"/>
      <c r="M526" s="189"/>
      <c r="N526" s="190"/>
      <c r="R526" s="189"/>
      <c r="V526" s="47"/>
    </row>
    <row r="527" spans="5:22" ht="15.75" customHeight="1">
      <c r="E527" s="47"/>
      <c r="H527" s="189"/>
      <c r="I527" s="189"/>
      <c r="J527" s="189"/>
      <c r="K527" s="189"/>
      <c r="L527" s="189"/>
      <c r="M527" s="189"/>
      <c r="N527" s="190"/>
      <c r="R527" s="189"/>
      <c r="V527" s="47"/>
    </row>
    <row r="528" spans="5:22" ht="15.75" customHeight="1">
      <c r="E528" s="47"/>
      <c r="H528" s="189"/>
      <c r="I528" s="189"/>
      <c r="J528" s="189"/>
      <c r="K528" s="189"/>
      <c r="L528" s="189"/>
      <c r="M528" s="189"/>
      <c r="N528" s="190"/>
      <c r="R528" s="189"/>
      <c r="V528" s="47"/>
    </row>
    <row r="529" spans="5:22" ht="15.75" customHeight="1">
      <c r="E529" s="47"/>
      <c r="H529" s="189"/>
      <c r="I529" s="189"/>
      <c r="J529" s="189"/>
      <c r="K529" s="189"/>
      <c r="L529" s="189"/>
      <c r="M529" s="189"/>
      <c r="N529" s="190"/>
      <c r="R529" s="189"/>
      <c r="V529" s="47"/>
    </row>
    <row r="530" spans="5:22" ht="15.75" customHeight="1">
      <c r="E530" s="47"/>
      <c r="H530" s="189"/>
      <c r="I530" s="189"/>
      <c r="J530" s="189"/>
      <c r="K530" s="189"/>
      <c r="L530" s="189"/>
      <c r="M530" s="189"/>
      <c r="N530" s="190"/>
      <c r="R530" s="189"/>
      <c r="V530" s="47"/>
    </row>
    <row r="531" spans="5:22" ht="15.75" customHeight="1">
      <c r="E531" s="47"/>
      <c r="H531" s="189"/>
      <c r="I531" s="189"/>
      <c r="J531" s="189"/>
      <c r="K531" s="189"/>
      <c r="L531" s="189"/>
      <c r="M531" s="189"/>
      <c r="N531" s="190"/>
      <c r="R531" s="189"/>
      <c r="V531" s="47"/>
    </row>
    <row r="532" spans="5:22" ht="15.75" customHeight="1">
      <c r="E532" s="47"/>
      <c r="H532" s="189"/>
      <c r="I532" s="189"/>
      <c r="J532" s="189"/>
      <c r="K532" s="189"/>
      <c r="L532" s="189"/>
      <c r="M532" s="189"/>
      <c r="N532" s="190"/>
      <c r="R532" s="189"/>
      <c r="V532" s="47"/>
    </row>
    <row r="533" spans="5:22" ht="15.75" customHeight="1">
      <c r="E533" s="47"/>
      <c r="H533" s="189"/>
      <c r="I533" s="189"/>
      <c r="J533" s="189"/>
      <c r="K533" s="189"/>
      <c r="L533" s="189"/>
      <c r="M533" s="189"/>
      <c r="N533" s="190"/>
      <c r="R533" s="189"/>
      <c r="V533" s="47"/>
    </row>
    <row r="534" spans="5:22" ht="15.75" customHeight="1">
      <c r="E534" s="47"/>
      <c r="H534" s="189"/>
      <c r="I534" s="189"/>
      <c r="J534" s="189"/>
      <c r="K534" s="189"/>
      <c r="L534" s="189"/>
      <c r="M534" s="189"/>
      <c r="N534" s="190"/>
      <c r="R534" s="189"/>
      <c r="V534" s="47"/>
    </row>
    <row r="535" spans="5:22" ht="15.75" customHeight="1">
      <c r="E535" s="47"/>
      <c r="H535" s="189"/>
      <c r="I535" s="189"/>
      <c r="J535" s="189"/>
      <c r="K535" s="189"/>
      <c r="L535" s="189"/>
      <c r="M535" s="189"/>
      <c r="N535" s="190"/>
      <c r="R535" s="189"/>
      <c r="V535" s="47"/>
    </row>
    <row r="536" spans="5:22" ht="15.75" customHeight="1">
      <c r="E536" s="47"/>
      <c r="H536" s="189"/>
      <c r="I536" s="189"/>
      <c r="J536" s="189"/>
      <c r="K536" s="189"/>
      <c r="L536" s="189"/>
      <c r="M536" s="189"/>
      <c r="N536" s="190"/>
      <c r="R536" s="189"/>
      <c r="V536" s="47"/>
    </row>
    <row r="537" spans="5:22" ht="15.75" customHeight="1">
      <c r="E537" s="47"/>
      <c r="H537" s="189"/>
      <c r="I537" s="189"/>
      <c r="J537" s="189"/>
      <c r="K537" s="189"/>
      <c r="L537" s="189"/>
      <c r="M537" s="189"/>
      <c r="N537" s="190"/>
      <c r="R537" s="189"/>
      <c r="V537" s="47"/>
    </row>
    <row r="538" spans="5:22" ht="15.75" customHeight="1">
      <c r="E538" s="47"/>
      <c r="H538" s="189"/>
      <c r="I538" s="189"/>
      <c r="J538" s="189"/>
      <c r="K538" s="189"/>
      <c r="L538" s="189"/>
      <c r="M538" s="189"/>
      <c r="N538" s="190"/>
      <c r="R538" s="189"/>
      <c r="V538" s="47"/>
    </row>
    <row r="539" spans="5:22" ht="15.75" customHeight="1">
      <c r="E539" s="47"/>
      <c r="H539" s="189"/>
      <c r="I539" s="189"/>
      <c r="J539" s="189"/>
      <c r="K539" s="189"/>
      <c r="L539" s="189"/>
      <c r="M539" s="189"/>
      <c r="N539" s="190"/>
      <c r="R539" s="189"/>
      <c r="V539" s="47"/>
    </row>
    <row r="540" spans="5:22" ht="15.75" customHeight="1">
      <c r="E540" s="47"/>
      <c r="H540" s="189"/>
      <c r="I540" s="189"/>
      <c r="J540" s="189"/>
      <c r="K540" s="189"/>
      <c r="L540" s="189"/>
      <c r="M540" s="189"/>
      <c r="N540" s="190"/>
      <c r="R540" s="189"/>
      <c r="V540" s="47"/>
    </row>
    <row r="541" spans="5:22" ht="15.75" customHeight="1">
      <c r="E541" s="47"/>
      <c r="H541" s="189"/>
      <c r="I541" s="189"/>
      <c r="J541" s="189"/>
      <c r="K541" s="189"/>
      <c r="L541" s="189"/>
      <c r="M541" s="189"/>
      <c r="N541" s="190"/>
      <c r="R541" s="189"/>
      <c r="V541" s="47"/>
    </row>
    <row r="542" spans="5:22" ht="15.75" customHeight="1">
      <c r="E542" s="47"/>
      <c r="H542" s="189"/>
      <c r="I542" s="189"/>
      <c r="J542" s="189"/>
      <c r="K542" s="189"/>
      <c r="L542" s="189"/>
      <c r="M542" s="189"/>
      <c r="N542" s="190"/>
      <c r="R542" s="189"/>
      <c r="V542" s="47"/>
    </row>
    <row r="543" spans="5:22" ht="15.75" customHeight="1">
      <c r="E543" s="47"/>
      <c r="H543" s="189"/>
      <c r="I543" s="189"/>
      <c r="J543" s="189"/>
      <c r="K543" s="189"/>
      <c r="L543" s="189"/>
      <c r="M543" s="189"/>
      <c r="N543" s="190"/>
      <c r="R543" s="189"/>
      <c r="V543" s="47"/>
    </row>
    <row r="544" spans="5:22" ht="15.75" customHeight="1">
      <c r="E544" s="47"/>
      <c r="H544" s="189"/>
      <c r="I544" s="189"/>
      <c r="J544" s="189"/>
      <c r="K544" s="189"/>
      <c r="L544" s="189"/>
      <c r="M544" s="189"/>
      <c r="N544" s="190"/>
      <c r="R544" s="189"/>
      <c r="V544" s="47"/>
    </row>
    <row r="545" spans="5:22" ht="15.75" customHeight="1">
      <c r="E545" s="47"/>
      <c r="H545" s="189"/>
      <c r="I545" s="189"/>
      <c r="J545" s="189"/>
      <c r="K545" s="189"/>
      <c r="L545" s="189"/>
      <c r="M545" s="189"/>
      <c r="N545" s="190"/>
      <c r="R545" s="189"/>
      <c r="V545" s="47"/>
    </row>
    <row r="546" spans="5:22" ht="15.75" customHeight="1">
      <c r="E546" s="47"/>
      <c r="H546" s="189"/>
      <c r="I546" s="189"/>
      <c r="J546" s="189"/>
      <c r="K546" s="189"/>
      <c r="L546" s="189"/>
      <c r="M546" s="189"/>
      <c r="N546" s="190"/>
      <c r="R546" s="189"/>
      <c r="V546" s="47"/>
    </row>
    <row r="547" spans="5:22" ht="15.75" customHeight="1">
      <c r="E547" s="47"/>
      <c r="H547" s="189"/>
      <c r="I547" s="189"/>
      <c r="J547" s="189"/>
      <c r="K547" s="189"/>
      <c r="L547" s="189"/>
      <c r="M547" s="189"/>
      <c r="N547" s="190"/>
      <c r="R547" s="189"/>
      <c r="V547" s="47"/>
    </row>
    <row r="548" spans="5:22" ht="15.75" customHeight="1">
      <c r="E548" s="47"/>
      <c r="H548" s="189"/>
      <c r="I548" s="189"/>
      <c r="J548" s="189"/>
      <c r="K548" s="189"/>
      <c r="L548" s="189"/>
      <c r="M548" s="189"/>
      <c r="N548" s="190"/>
      <c r="R548" s="189"/>
      <c r="V548" s="47"/>
    </row>
    <row r="549" spans="5:22" ht="15.75" customHeight="1">
      <c r="E549" s="47"/>
      <c r="H549" s="189"/>
      <c r="I549" s="189"/>
      <c r="J549" s="189"/>
      <c r="K549" s="189"/>
      <c r="L549" s="189"/>
      <c r="M549" s="189"/>
      <c r="N549" s="190"/>
      <c r="R549" s="189"/>
      <c r="V549" s="47"/>
    </row>
    <row r="550" spans="5:22" ht="15.75" customHeight="1">
      <c r="E550" s="47"/>
      <c r="H550" s="189"/>
      <c r="I550" s="189"/>
      <c r="J550" s="189"/>
      <c r="K550" s="189"/>
      <c r="L550" s="189"/>
      <c r="M550" s="189"/>
      <c r="N550" s="190"/>
      <c r="R550" s="189"/>
      <c r="V550" s="47"/>
    </row>
    <row r="551" spans="5:22" ht="15.75" customHeight="1">
      <c r="E551" s="47"/>
      <c r="H551" s="189"/>
      <c r="I551" s="189"/>
      <c r="J551" s="189"/>
      <c r="K551" s="189"/>
      <c r="L551" s="189"/>
      <c r="M551" s="189"/>
      <c r="N551" s="190"/>
      <c r="R551" s="189"/>
      <c r="V551" s="47"/>
    </row>
    <row r="552" spans="5:22" ht="15.75" customHeight="1">
      <c r="E552" s="47"/>
      <c r="H552" s="189"/>
      <c r="I552" s="189"/>
      <c r="J552" s="189"/>
      <c r="K552" s="189"/>
      <c r="L552" s="189"/>
      <c r="M552" s="189"/>
      <c r="N552" s="190"/>
      <c r="R552" s="189"/>
      <c r="V552" s="47"/>
    </row>
    <row r="553" spans="5:22" ht="15.75" customHeight="1">
      <c r="E553" s="47"/>
      <c r="H553" s="189"/>
      <c r="I553" s="189"/>
      <c r="J553" s="189"/>
      <c r="K553" s="189"/>
      <c r="L553" s="189"/>
      <c r="M553" s="189"/>
      <c r="N553" s="190"/>
      <c r="R553" s="189"/>
      <c r="V553" s="47"/>
    </row>
    <row r="554" spans="5:22" ht="15.75" customHeight="1">
      <c r="E554" s="47"/>
      <c r="H554" s="189"/>
      <c r="I554" s="189"/>
      <c r="J554" s="189"/>
      <c r="K554" s="189"/>
      <c r="L554" s="189"/>
      <c r="M554" s="189"/>
      <c r="N554" s="190"/>
      <c r="R554" s="189"/>
      <c r="V554" s="47"/>
    </row>
    <row r="555" spans="5:22" ht="15.75" customHeight="1">
      <c r="E555" s="47"/>
      <c r="H555" s="189"/>
      <c r="I555" s="189"/>
      <c r="J555" s="189"/>
      <c r="K555" s="189"/>
      <c r="L555" s="189"/>
      <c r="M555" s="189"/>
      <c r="N555" s="190"/>
      <c r="R555" s="189"/>
      <c r="V555" s="47"/>
    </row>
    <row r="556" spans="5:22" ht="15.75" customHeight="1">
      <c r="E556" s="47"/>
      <c r="H556" s="189"/>
      <c r="I556" s="189"/>
      <c r="J556" s="189"/>
      <c r="K556" s="189"/>
      <c r="L556" s="189"/>
      <c r="M556" s="189"/>
      <c r="N556" s="190"/>
      <c r="R556" s="189"/>
      <c r="V556" s="47"/>
    </row>
    <row r="557" spans="5:22" ht="15.75" customHeight="1">
      <c r="E557" s="47"/>
      <c r="H557" s="189"/>
      <c r="I557" s="189"/>
      <c r="J557" s="189"/>
      <c r="K557" s="189"/>
      <c r="L557" s="189"/>
      <c r="M557" s="189"/>
      <c r="N557" s="190"/>
      <c r="R557" s="189"/>
      <c r="V557" s="47"/>
    </row>
    <row r="558" spans="5:22" ht="15.75" customHeight="1">
      <c r="E558" s="47"/>
      <c r="H558" s="189"/>
      <c r="I558" s="189"/>
      <c r="J558" s="189"/>
      <c r="K558" s="189"/>
      <c r="L558" s="189"/>
      <c r="M558" s="189"/>
      <c r="N558" s="190"/>
      <c r="R558" s="189"/>
      <c r="V558" s="47"/>
    </row>
    <row r="559" spans="5:22" ht="15.75" customHeight="1">
      <c r="E559" s="47"/>
      <c r="H559" s="189"/>
      <c r="I559" s="189"/>
      <c r="J559" s="189"/>
      <c r="K559" s="189"/>
      <c r="L559" s="189"/>
      <c r="M559" s="189"/>
      <c r="N559" s="190"/>
      <c r="R559" s="189"/>
      <c r="V559" s="47"/>
    </row>
    <row r="560" spans="5:22" ht="15.75" customHeight="1">
      <c r="E560" s="47"/>
      <c r="H560" s="189"/>
      <c r="I560" s="189"/>
      <c r="J560" s="189"/>
      <c r="K560" s="189"/>
      <c r="L560" s="189"/>
      <c r="M560" s="189"/>
      <c r="N560" s="190"/>
      <c r="R560" s="189"/>
      <c r="V560" s="47"/>
    </row>
    <row r="561" spans="5:22" ht="15.75" customHeight="1">
      <c r="E561" s="47"/>
      <c r="H561" s="189"/>
      <c r="I561" s="189"/>
      <c r="J561" s="189"/>
      <c r="K561" s="189"/>
      <c r="L561" s="189"/>
      <c r="M561" s="189"/>
      <c r="N561" s="190"/>
      <c r="R561" s="189"/>
      <c r="V561" s="47"/>
    </row>
    <row r="562" spans="5:22" ht="15.75" customHeight="1">
      <c r="E562" s="47"/>
      <c r="H562" s="189"/>
      <c r="I562" s="189"/>
      <c r="J562" s="189"/>
      <c r="K562" s="189"/>
      <c r="L562" s="189"/>
      <c r="M562" s="189"/>
      <c r="N562" s="190"/>
      <c r="R562" s="189"/>
      <c r="V562" s="47"/>
    </row>
    <row r="563" spans="5:22" ht="15.75" customHeight="1">
      <c r="E563" s="47"/>
      <c r="H563" s="189"/>
      <c r="I563" s="189"/>
      <c r="J563" s="189"/>
      <c r="K563" s="189"/>
      <c r="L563" s="189"/>
      <c r="M563" s="189"/>
      <c r="N563" s="190"/>
      <c r="R563" s="189"/>
      <c r="V563" s="47"/>
    </row>
    <row r="564" spans="5:22" ht="15.75" customHeight="1">
      <c r="E564" s="47"/>
      <c r="H564" s="189"/>
      <c r="I564" s="189"/>
      <c r="J564" s="189"/>
      <c r="K564" s="189"/>
      <c r="L564" s="189"/>
      <c r="M564" s="189"/>
      <c r="N564" s="190"/>
      <c r="R564" s="189"/>
      <c r="V564" s="47"/>
    </row>
    <row r="565" spans="5:22" ht="15.75" customHeight="1">
      <c r="E565" s="47"/>
      <c r="H565" s="189"/>
      <c r="I565" s="189"/>
      <c r="J565" s="189"/>
      <c r="K565" s="189"/>
      <c r="L565" s="189"/>
      <c r="M565" s="189"/>
      <c r="N565" s="190"/>
      <c r="R565" s="189"/>
      <c r="V565" s="47"/>
    </row>
    <row r="566" spans="5:22" ht="15.75" customHeight="1">
      <c r="E566" s="47"/>
      <c r="H566" s="189"/>
      <c r="I566" s="189"/>
      <c r="J566" s="189"/>
      <c r="K566" s="189"/>
      <c r="L566" s="189"/>
      <c r="M566" s="189"/>
      <c r="N566" s="190"/>
      <c r="R566" s="189"/>
      <c r="V566" s="47"/>
    </row>
    <row r="567" spans="5:22" ht="15.75" customHeight="1">
      <c r="E567" s="47"/>
      <c r="H567" s="189"/>
      <c r="I567" s="189"/>
      <c r="J567" s="189"/>
      <c r="K567" s="189"/>
      <c r="L567" s="189"/>
      <c r="M567" s="189"/>
      <c r="N567" s="190"/>
      <c r="R567" s="189"/>
      <c r="V567" s="47"/>
    </row>
    <row r="568" spans="5:22" ht="15.75" customHeight="1">
      <c r="E568" s="47"/>
      <c r="H568" s="189"/>
      <c r="I568" s="189"/>
      <c r="J568" s="189"/>
      <c r="K568" s="189"/>
      <c r="L568" s="189"/>
      <c r="M568" s="189"/>
      <c r="N568" s="190"/>
      <c r="R568" s="189"/>
      <c r="V568" s="47"/>
    </row>
    <row r="569" spans="5:22" ht="15.75" customHeight="1">
      <c r="E569" s="47"/>
      <c r="H569" s="189"/>
      <c r="I569" s="189"/>
      <c r="J569" s="189"/>
      <c r="K569" s="189"/>
      <c r="L569" s="189"/>
      <c r="M569" s="189"/>
      <c r="N569" s="190"/>
      <c r="R569" s="189"/>
      <c r="V569" s="47"/>
    </row>
    <row r="570" spans="5:22" ht="15.75" customHeight="1">
      <c r="E570" s="47"/>
      <c r="H570" s="189"/>
      <c r="I570" s="189"/>
      <c r="J570" s="189"/>
      <c r="K570" s="189"/>
      <c r="L570" s="189"/>
      <c r="M570" s="189"/>
      <c r="N570" s="190"/>
      <c r="R570" s="189"/>
      <c r="V570" s="47"/>
    </row>
    <row r="571" spans="5:22" ht="15.75" customHeight="1">
      <c r="E571" s="47"/>
      <c r="H571" s="189"/>
      <c r="I571" s="189"/>
      <c r="J571" s="189"/>
      <c r="K571" s="189"/>
      <c r="L571" s="189"/>
      <c r="M571" s="189"/>
      <c r="N571" s="190"/>
      <c r="R571" s="189"/>
      <c r="V571" s="47"/>
    </row>
    <row r="572" spans="5:22" ht="15.75" customHeight="1">
      <c r="E572" s="47"/>
      <c r="H572" s="189"/>
      <c r="I572" s="189"/>
      <c r="J572" s="189"/>
      <c r="K572" s="189"/>
      <c r="L572" s="189"/>
      <c r="M572" s="189"/>
      <c r="N572" s="190"/>
      <c r="R572" s="189"/>
      <c r="V572" s="47"/>
    </row>
    <row r="573" spans="5:22" ht="15.75" customHeight="1">
      <c r="E573" s="47"/>
      <c r="H573" s="189"/>
      <c r="I573" s="189"/>
      <c r="J573" s="189"/>
      <c r="K573" s="189"/>
      <c r="L573" s="189"/>
      <c r="M573" s="189"/>
      <c r="N573" s="190"/>
      <c r="R573" s="189"/>
      <c r="V573" s="47"/>
    </row>
    <row r="574" spans="5:22" ht="15.75" customHeight="1">
      <c r="E574" s="47"/>
      <c r="H574" s="189"/>
      <c r="I574" s="189"/>
      <c r="J574" s="189"/>
      <c r="K574" s="189"/>
      <c r="L574" s="189"/>
      <c r="M574" s="189"/>
      <c r="N574" s="190"/>
      <c r="R574" s="189"/>
      <c r="V574" s="47"/>
    </row>
    <row r="575" spans="5:22" ht="15.75" customHeight="1">
      <c r="E575" s="47"/>
      <c r="H575" s="189"/>
      <c r="I575" s="189"/>
      <c r="J575" s="189"/>
      <c r="K575" s="189"/>
      <c r="L575" s="189"/>
      <c r="M575" s="189"/>
      <c r="N575" s="190"/>
      <c r="R575" s="189"/>
      <c r="V575" s="47"/>
    </row>
    <row r="576" spans="5:22" ht="15.75" customHeight="1">
      <c r="E576" s="47"/>
      <c r="H576" s="189"/>
      <c r="I576" s="189"/>
      <c r="J576" s="189"/>
      <c r="K576" s="189"/>
      <c r="L576" s="189"/>
      <c r="M576" s="189"/>
      <c r="N576" s="190"/>
      <c r="R576" s="189"/>
      <c r="V576" s="47"/>
    </row>
    <row r="577" spans="5:22" ht="15.75" customHeight="1">
      <c r="E577" s="47"/>
      <c r="H577" s="189"/>
      <c r="I577" s="189"/>
      <c r="J577" s="189"/>
      <c r="K577" s="189"/>
      <c r="L577" s="189"/>
      <c r="M577" s="189"/>
      <c r="N577" s="190"/>
      <c r="R577" s="189"/>
      <c r="V577" s="47"/>
    </row>
    <row r="578" spans="5:22" ht="15.75" customHeight="1">
      <c r="E578" s="47"/>
      <c r="H578" s="189"/>
      <c r="I578" s="189"/>
      <c r="J578" s="189"/>
      <c r="K578" s="189"/>
      <c r="L578" s="189"/>
      <c r="M578" s="189"/>
      <c r="N578" s="190"/>
      <c r="R578" s="189"/>
      <c r="V578" s="47"/>
    </row>
    <row r="579" spans="5:22" ht="15.75" customHeight="1">
      <c r="E579" s="47"/>
      <c r="H579" s="189"/>
      <c r="I579" s="189"/>
      <c r="J579" s="189"/>
      <c r="K579" s="189"/>
      <c r="L579" s="189"/>
      <c r="M579" s="189"/>
      <c r="N579" s="190"/>
      <c r="R579" s="189"/>
      <c r="V579" s="47"/>
    </row>
    <row r="580" spans="5:22" ht="15.75" customHeight="1">
      <c r="E580" s="47"/>
      <c r="H580" s="189"/>
      <c r="I580" s="189"/>
      <c r="J580" s="189"/>
      <c r="K580" s="189"/>
      <c r="L580" s="189"/>
      <c r="M580" s="189"/>
      <c r="N580" s="190"/>
      <c r="R580" s="189"/>
      <c r="V580" s="47"/>
    </row>
    <row r="581" spans="5:22" ht="15.75" customHeight="1">
      <c r="E581" s="47"/>
      <c r="H581" s="189"/>
      <c r="I581" s="189"/>
      <c r="J581" s="189"/>
      <c r="K581" s="189"/>
      <c r="L581" s="189"/>
      <c r="M581" s="189"/>
      <c r="N581" s="190"/>
      <c r="R581" s="189"/>
      <c r="V581" s="47"/>
    </row>
    <row r="582" spans="5:22" ht="15.75" customHeight="1">
      <c r="E582" s="47"/>
      <c r="H582" s="189"/>
      <c r="I582" s="189"/>
      <c r="J582" s="189"/>
      <c r="K582" s="189"/>
      <c r="L582" s="189"/>
      <c r="M582" s="189"/>
      <c r="N582" s="190"/>
      <c r="R582" s="189"/>
      <c r="V582" s="47"/>
    </row>
    <row r="583" spans="5:22" ht="15.75" customHeight="1">
      <c r="E583" s="47"/>
      <c r="H583" s="189"/>
      <c r="I583" s="189"/>
      <c r="J583" s="189"/>
      <c r="K583" s="189"/>
      <c r="L583" s="189"/>
      <c r="M583" s="189"/>
      <c r="N583" s="190"/>
      <c r="R583" s="189"/>
      <c r="V583" s="47"/>
    </row>
    <row r="584" spans="5:22" ht="15.75" customHeight="1">
      <c r="E584" s="47"/>
      <c r="H584" s="189"/>
      <c r="I584" s="189"/>
      <c r="J584" s="189"/>
      <c r="K584" s="189"/>
      <c r="L584" s="189"/>
      <c r="M584" s="189"/>
      <c r="N584" s="190"/>
      <c r="R584" s="189"/>
      <c r="V584" s="47"/>
    </row>
    <row r="585" spans="5:22" ht="15.75" customHeight="1">
      <c r="E585" s="47"/>
      <c r="H585" s="189"/>
      <c r="I585" s="189"/>
      <c r="J585" s="189"/>
      <c r="K585" s="189"/>
      <c r="L585" s="189"/>
      <c r="M585" s="189"/>
      <c r="N585" s="190"/>
      <c r="R585" s="189"/>
      <c r="V585" s="47"/>
    </row>
    <row r="586" spans="5:22" ht="15.75" customHeight="1">
      <c r="E586" s="47"/>
      <c r="H586" s="189"/>
      <c r="I586" s="189"/>
      <c r="J586" s="189"/>
      <c r="K586" s="189"/>
      <c r="L586" s="189"/>
      <c r="M586" s="189"/>
      <c r="N586" s="190"/>
      <c r="R586" s="189"/>
      <c r="V586" s="47"/>
    </row>
    <row r="587" spans="5:22" ht="15.75" customHeight="1">
      <c r="E587" s="47"/>
      <c r="H587" s="189"/>
      <c r="I587" s="189"/>
      <c r="J587" s="189"/>
      <c r="K587" s="189"/>
      <c r="L587" s="189"/>
      <c r="M587" s="189"/>
      <c r="N587" s="190"/>
      <c r="R587" s="189"/>
      <c r="V587" s="47"/>
    </row>
    <row r="588" spans="5:22" ht="15.75" customHeight="1">
      <c r="E588" s="47"/>
      <c r="H588" s="189"/>
      <c r="I588" s="189"/>
      <c r="J588" s="189"/>
      <c r="K588" s="189"/>
      <c r="L588" s="189"/>
      <c r="M588" s="189"/>
      <c r="N588" s="190"/>
      <c r="R588" s="189"/>
      <c r="V588" s="47"/>
    </row>
    <row r="589" spans="5:22" ht="15.75" customHeight="1">
      <c r="E589" s="47"/>
      <c r="H589" s="189"/>
      <c r="I589" s="189"/>
      <c r="J589" s="189"/>
      <c r="K589" s="189"/>
      <c r="L589" s="189"/>
      <c r="M589" s="189"/>
      <c r="N589" s="190"/>
      <c r="R589" s="189"/>
      <c r="V589" s="47"/>
    </row>
    <row r="590" spans="5:22" ht="15.75" customHeight="1">
      <c r="E590" s="47"/>
      <c r="H590" s="189"/>
      <c r="I590" s="189"/>
      <c r="J590" s="189"/>
      <c r="K590" s="189"/>
      <c r="L590" s="189"/>
      <c r="M590" s="189"/>
      <c r="N590" s="190"/>
      <c r="R590" s="189"/>
      <c r="V590" s="47"/>
    </row>
    <row r="591" spans="5:22" ht="15.75" customHeight="1">
      <c r="E591" s="47"/>
      <c r="H591" s="189"/>
      <c r="I591" s="189"/>
      <c r="J591" s="189"/>
      <c r="K591" s="189"/>
      <c r="L591" s="189"/>
      <c r="M591" s="189"/>
      <c r="N591" s="190"/>
      <c r="R591" s="189"/>
      <c r="V591" s="47"/>
    </row>
    <row r="592" spans="5:22" ht="15.75" customHeight="1">
      <c r="E592" s="47"/>
      <c r="H592" s="189"/>
      <c r="I592" s="189"/>
      <c r="J592" s="189"/>
      <c r="K592" s="189"/>
      <c r="L592" s="189"/>
      <c r="M592" s="189"/>
      <c r="N592" s="190"/>
      <c r="R592" s="189"/>
      <c r="V592" s="47"/>
    </row>
    <row r="593" spans="5:22" ht="15.75" customHeight="1">
      <c r="E593" s="47"/>
      <c r="H593" s="189"/>
      <c r="I593" s="189"/>
      <c r="J593" s="189"/>
      <c r="K593" s="189"/>
      <c r="L593" s="189"/>
      <c r="M593" s="189"/>
      <c r="N593" s="190"/>
      <c r="R593" s="189"/>
      <c r="V593" s="47"/>
    </row>
    <row r="594" spans="5:22" ht="15.75" customHeight="1">
      <c r="E594" s="47"/>
      <c r="H594" s="189"/>
      <c r="I594" s="189"/>
      <c r="J594" s="189"/>
      <c r="K594" s="189"/>
      <c r="L594" s="189"/>
      <c r="M594" s="189"/>
      <c r="N594" s="190"/>
      <c r="R594" s="189"/>
      <c r="V594" s="47"/>
    </row>
    <row r="595" spans="5:22" ht="15.75" customHeight="1">
      <c r="E595" s="47"/>
      <c r="H595" s="189"/>
      <c r="I595" s="189"/>
      <c r="J595" s="189"/>
      <c r="K595" s="189"/>
      <c r="L595" s="189"/>
      <c r="M595" s="189"/>
      <c r="N595" s="190"/>
      <c r="R595" s="189"/>
      <c r="V595" s="47"/>
    </row>
    <row r="596" spans="5:22" ht="15.75" customHeight="1">
      <c r="E596" s="47"/>
      <c r="H596" s="189"/>
      <c r="I596" s="189"/>
      <c r="J596" s="189"/>
      <c r="K596" s="189"/>
      <c r="L596" s="189"/>
      <c r="M596" s="189"/>
      <c r="N596" s="190"/>
      <c r="R596" s="189"/>
      <c r="V596" s="47"/>
    </row>
    <row r="597" spans="5:22" ht="15.75" customHeight="1">
      <c r="E597" s="47"/>
      <c r="H597" s="189"/>
      <c r="I597" s="189"/>
      <c r="J597" s="189"/>
      <c r="K597" s="189"/>
      <c r="L597" s="189"/>
      <c r="M597" s="189"/>
      <c r="N597" s="190"/>
      <c r="R597" s="189"/>
      <c r="V597" s="47"/>
    </row>
    <row r="598" spans="5:22" ht="15.75" customHeight="1">
      <c r="E598" s="47"/>
      <c r="H598" s="189"/>
      <c r="I598" s="189"/>
      <c r="J598" s="189"/>
      <c r="K598" s="189"/>
      <c r="L598" s="189"/>
      <c r="M598" s="189"/>
      <c r="N598" s="190"/>
      <c r="R598" s="189"/>
      <c r="V598" s="47"/>
    </row>
    <row r="599" spans="5:22" ht="15.75" customHeight="1">
      <c r="E599" s="47"/>
      <c r="H599" s="189"/>
      <c r="I599" s="189"/>
      <c r="J599" s="189"/>
      <c r="K599" s="189"/>
      <c r="L599" s="189"/>
      <c r="M599" s="189"/>
      <c r="N599" s="190"/>
      <c r="R599" s="189"/>
      <c r="V599" s="47"/>
    </row>
    <row r="600" spans="5:22" ht="15.75" customHeight="1">
      <c r="E600" s="47"/>
      <c r="H600" s="189"/>
      <c r="I600" s="189"/>
      <c r="J600" s="189"/>
      <c r="K600" s="189"/>
      <c r="L600" s="189"/>
      <c r="M600" s="189"/>
      <c r="N600" s="190"/>
      <c r="R600" s="189"/>
      <c r="V600" s="47"/>
    </row>
    <row r="601" spans="5:22" ht="15.75" customHeight="1">
      <c r="E601" s="47"/>
      <c r="H601" s="189"/>
      <c r="I601" s="189"/>
      <c r="J601" s="189"/>
      <c r="K601" s="189"/>
      <c r="L601" s="189"/>
      <c r="M601" s="189"/>
      <c r="N601" s="190"/>
      <c r="R601" s="189"/>
      <c r="V601" s="47"/>
    </row>
    <row r="602" spans="5:22" ht="15.75" customHeight="1">
      <c r="E602" s="47"/>
      <c r="H602" s="189"/>
      <c r="I602" s="189"/>
      <c r="J602" s="189"/>
      <c r="K602" s="189"/>
      <c r="L602" s="189"/>
      <c r="M602" s="189"/>
      <c r="N602" s="190"/>
      <c r="R602" s="189"/>
      <c r="V602" s="47"/>
    </row>
    <row r="603" spans="5:22" ht="15.75" customHeight="1">
      <c r="E603" s="47"/>
      <c r="H603" s="189"/>
      <c r="I603" s="189"/>
      <c r="J603" s="189"/>
      <c r="K603" s="189"/>
      <c r="L603" s="189"/>
      <c r="M603" s="189"/>
      <c r="N603" s="190"/>
      <c r="R603" s="189"/>
      <c r="V603" s="47"/>
    </row>
    <row r="604" spans="5:22" ht="15.75" customHeight="1">
      <c r="E604" s="47"/>
      <c r="H604" s="189"/>
      <c r="I604" s="189"/>
      <c r="J604" s="189"/>
      <c r="K604" s="189"/>
      <c r="L604" s="189"/>
      <c r="M604" s="189"/>
      <c r="N604" s="190"/>
      <c r="R604" s="189"/>
      <c r="V604" s="47"/>
    </row>
    <row r="605" spans="5:22" ht="15.75" customHeight="1">
      <c r="E605" s="47"/>
      <c r="H605" s="189"/>
      <c r="I605" s="189"/>
      <c r="J605" s="189"/>
      <c r="K605" s="189"/>
      <c r="L605" s="189"/>
      <c r="M605" s="189"/>
      <c r="N605" s="190"/>
      <c r="R605" s="189"/>
      <c r="V605" s="47"/>
    </row>
    <row r="606" spans="5:22" ht="15.75" customHeight="1">
      <c r="E606" s="47"/>
      <c r="H606" s="189"/>
      <c r="I606" s="189"/>
      <c r="J606" s="189"/>
      <c r="K606" s="189"/>
      <c r="L606" s="189"/>
      <c r="M606" s="189"/>
      <c r="N606" s="190"/>
      <c r="R606" s="189"/>
      <c r="V606" s="47"/>
    </row>
    <row r="607" spans="5:22" ht="15.75" customHeight="1">
      <c r="E607" s="47"/>
      <c r="H607" s="189"/>
      <c r="I607" s="189"/>
      <c r="J607" s="189"/>
      <c r="K607" s="189"/>
      <c r="L607" s="189"/>
      <c r="M607" s="189"/>
      <c r="N607" s="190"/>
      <c r="R607" s="189"/>
      <c r="V607" s="47"/>
    </row>
    <row r="608" spans="5:22" ht="15.75" customHeight="1">
      <c r="E608" s="47"/>
      <c r="H608" s="189"/>
      <c r="I608" s="189"/>
      <c r="J608" s="189"/>
      <c r="K608" s="189"/>
      <c r="L608" s="189"/>
      <c r="M608" s="189"/>
      <c r="N608" s="190"/>
      <c r="R608" s="189"/>
      <c r="V608" s="47"/>
    </row>
    <row r="609" spans="5:22" ht="15.75" customHeight="1">
      <c r="E609" s="47"/>
      <c r="H609" s="189"/>
      <c r="I609" s="189"/>
      <c r="J609" s="189"/>
      <c r="K609" s="189"/>
      <c r="L609" s="189"/>
      <c r="M609" s="189"/>
      <c r="N609" s="190"/>
      <c r="R609" s="189"/>
      <c r="V609" s="47"/>
    </row>
    <row r="610" spans="5:22" ht="15.75" customHeight="1">
      <c r="E610" s="47"/>
      <c r="H610" s="189"/>
      <c r="I610" s="189"/>
      <c r="J610" s="189"/>
      <c r="K610" s="189"/>
      <c r="L610" s="189"/>
      <c r="M610" s="189"/>
      <c r="N610" s="190"/>
      <c r="R610" s="189"/>
      <c r="V610" s="47"/>
    </row>
    <row r="611" spans="5:22" ht="15.75" customHeight="1">
      <c r="E611" s="47"/>
      <c r="H611" s="189"/>
      <c r="I611" s="189"/>
      <c r="J611" s="189"/>
      <c r="K611" s="189"/>
      <c r="L611" s="189"/>
      <c r="M611" s="189"/>
      <c r="N611" s="190"/>
      <c r="R611" s="189"/>
      <c r="V611" s="47"/>
    </row>
    <row r="612" spans="5:22" ht="15.75" customHeight="1">
      <c r="E612" s="47"/>
      <c r="H612" s="189"/>
      <c r="I612" s="189"/>
      <c r="J612" s="189"/>
      <c r="K612" s="189"/>
      <c r="L612" s="189"/>
      <c r="M612" s="189"/>
      <c r="N612" s="190"/>
      <c r="R612" s="189"/>
      <c r="V612" s="47"/>
    </row>
    <row r="613" spans="5:22" ht="15.75" customHeight="1">
      <c r="E613" s="47"/>
      <c r="H613" s="189"/>
      <c r="I613" s="189"/>
      <c r="J613" s="189"/>
      <c r="K613" s="189"/>
      <c r="L613" s="189"/>
      <c r="M613" s="189"/>
      <c r="N613" s="190"/>
      <c r="R613" s="189"/>
      <c r="V613" s="47"/>
    </row>
    <row r="614" spans="5:22" ht="15.75" customHeight="1">
      <c r="E614" s="47"/>
      <c r="H614" s="189"/>
      <c r="I614" s="189"/>
      <c r="J614" s="189"/>
      <c r="K614" s="189"/>
      <c r="L614" s="189"/>
      <c r="M614" s="189"/>
      <c r="N614" s="190"/>
      <c r="R614" s="189"/>
      <c r="V614" s="47"/>
    </row>
    <row r="615" spans="5:22" ht="15.75" customHeight="1">
      <c r="E615" s="47"/>
      <c r="H615" s="189"/>
      <c r="I615" s="189"/>
      <c r="J615" s="189"/>
      <c r="K615" s="189"/>
      <c r="L615" s="189"/>
      <c r="M615" s="189"/>
      <c r="N615" s="190"/>
      <c r="R615" s="189"/>
      <c r="V615" s="47"/>
    </row>
    <row r="616" spans="5:22" ht="15.75" customHeight="1">
      <c r="E616" s="47"/>
      <c r="H616" s="189"/>
      <c r="I616" s="189"/>
      <c r="J616" s="189"/>
      <c r="K616" s="189"/>
      <c r="L616" s="189"/>
      <c r="M616" s="189"/>
      <c r="N616" s="190"/>
      <c r="R616" s="189"/>
      <c r="V616" s="47"/>
    </row>
    <row r="617" spans="5:22" ht="15.75" customHeight="1">
      <c r="E617" s="47"/>
      <c r="H617" s="189"/>
      <c r="I617" s="189"/>
      <c r="J617" s="189"/>
      <c r="K617" s="189"/>
      <c r="L617" s="189"/>
      <c r="M617" s="189"/>
      <c r="N617" s="190"/>
      <c r="R617" s="189"/>
      <c r="V617" s="47"/>
    </row>
    <row r="618" spans="5:22" ht="15.75" customHeight="1">
      <c r="E618" s="47"/>
      <c r="H618" s="189"/>
      <c r="I618" s="189"/>
      <c r="J618" s="189"/>
      <c r="K618" s="189"/>
      <c r="L618" s="189"/>
      <c r="M618" s="189"/>
      <c r="N618" s="190"/>
      <c r="R618" s="189"/>
      <c r="V618" s="47"/>
    </row>
    <row r="619" spans="5:22" ht="15.75" customHeight="1">
      <c r="E619" s="47"/>
      <c r="H619" s="189"/>
      <c r="I619" s="189"/>
      <c r="J619" s="189"/>
      <c r="K619" s="189"/>
      <c r="L619" s="189"/>
      <c r="M619" s="189"/>
      <c r="N619" s="190"/>
      <c r="R619" s="189"/>
      <c r="V619" s="47"/>
    </row>
    <row r="620" spans="5:22" ht="15.75" customHeight="1">
      <c r="E620" s="47"/>
      <c r="H620" s="189"/>
      <c r="I620" s="189"/>
      <c r="J620" s="189"/>
      <c r="K620" s="189"/>
      <c r="L620" s="189"/>
      <c r="M620" s="189"/>
      <c r="N620" s="190"/>
      <c r="R620" s="189"/>
      <c r="V620" s="47"/>
    </row>
    <row r="621" spans="5:22" ht="15.75" customHeight="1">
      <c r="E621" s="47"/>
      <c r="H621" s="189"/>
      <c r="I621" s="189"/>
      <c r="J621" s="189"/>
      <c r="K621" s="189"/>
      <c r="L621" s="189"/>
      <c r="M621" s="189"/>
      <c r="N621" s="190"/>
      <c r="R621" s="189"/>
      <c r="V621" s="47"/>
    </row>
    <row r="622" spans="5:22" ht="15.75" customHeight="1">
      <c r="E622" s="47"/>
      <c r="H622" s="189"/>
      <c r="I622" s="189"/>
      <c r="J622" s="189"/>
      <c r="K622" s="189"/>
      <c r="L622" s="189"/>
      <c r="M622" s="189"/>
      <c r="N622" s="190"/>
      <c r="R622" s="189"/>
      <c r="V622" s="47"/>
    </row>
    <row r="623" spans="5:22" ht="15.75" customHeight="1">
      <c r="E623" s="47"/>
      <c r="H623" s="189"/>
      <c r="I623" s="189"/>
      <c r="J623" s="189"/>
      <c r="K623" s="189"/>
      <c r="L623" s="189"/>
      <c r="M623" s="189"/>
      <c r="N623" s="190"/>
      <c r="R623" s="189"/>
      <c r="V623" s="47"/>
    </row>
    <row r="624" spans="5:22" ht="15.75" customHeight="1">
      <c r="E624" s="47"/>
      <c r="H624" s="189"/>
      <c r="I624" s="189"/>
      <c r="J624" s="189"/>
      <c r="K624" s="189"/>
      <c r="L624" s="189"/>
      <c r="M624" s="189"/>
      <c r="N624" s="190"/>
      <c r="R624" s="189"/>
      <c r="V624" s="47"/>
    </row>
    <row r="625" spans="5:22" ht="15.75" customHeight="1">
      <c r="E625" s="47"/>
      <c r="H625" s="189"/>
      <c r="I625" s="189"/>
      <c r="J625" s="189"/>
      <c r="K625" s="189"/>
      <c r="L625" s="189"/>
      <c r="M625" s="189"/>
      <c r="N625" s="190"/>
      <c r="R625" s="189"/>
      <c r="V625" s="47"/>
    </row>
    <row r="626" spans="5:22" ht="15.75" customHeight="1">
      <c r="E626" s="47"/>
      <c r="H626" s="189"/>
      <c r="I626" s="189"/>
      <c r="J626" s="189"/>
      <c r="K626" s="189"/>
      <c r="L626" s="189"/>
      <c r="M626" s="189"/>
      <c r="N626" s="190"/>
      <c r="R626" s="189"/>
      <c r="V626" s="47"/>
    </row>
    <row r="627" spans="5:22" ht="15.75" customHeight="1">
      <c r="E627" s="47"/>
      <c r="H627" s="189"/>
      <c r="I627" s="189"/>
      <c r="J627" s="189"/>
      <c r="K627" s="189"/>
      <c r="L627" s="189"/>
      <c r="M627" s="189"/>
      <c r="N627" s="190"/>
      <c r="R627" s="189"/>
      <c r="V627" s="47"/>
    </row>
    <row r="628" spans="5:22" ht="15.75" customHeight="1">
      <c r="E628" s="47"/>
      <c r="H628" s="189"/>
      <c r="I628" s="189"/>
      <c r="J628" s="189"/>
      <c r="K628" s="189"/>
      <c r="L628" s="189"/>
      <c r="M628" s="189"/>
      <c r="N628" s="190"/>
      <c r="R628" s="189"/>
      <c r="V628" s="47"/>
    </row>
    <row r="629" spans="5:22" ht="15.75" customHeight="1">
      <c r="E629" s="47"/>
      <c r="H629" s="189"/>
      <c r="I629" s="189"/>
      <c r="J629" s="189"/>
      <c r="K629" s="189"/>
      <c r="L629" s="189"/>
      <c r="M629" s="189"/>
      <c r="N629" s="190"/>
      <c r="R629" s="189"/>
      <c r="V629" s="47"/>
    </row>
    <row r="630" spans="5:22" ht="15.75" customHeight="1">
      <c r="E630" s="47"/>
      <c r="H630" s="189"/>
      <c r="I630" s="189"/>
      <c r="J630" s="189"/>
      <c r="K630" s="189"/>
      <c r="L630" s="189"/>
      <c r="M630" s="189"/>
      <c r="N630" s="190"/>
      <c r="R630" s="189"/>
      <c r="V630" s="47"/>
    </row>
    <row r="631" spans="5:22" ht="15.75" customHeight="1">
      <c r="E631" s="47"/>
      <c r="H631" s="189"/>
      <c r="I631" s="189"/>
      <c r="J631" s="189"/>
      <c r="K631" s="189"/>
      <c r="L631" s="189"/>
      <c r="M631" s="189"/>
      <c r="N631" s="190"/>
      <c r="R631" s="189"/>
      <c r="V631" s="47"/>
    </row>
    <row r="632" spans="5:22" ht="15.75" customHeight="1">
      <c r="E632" s="47"/>
      <c r="H632" s="189"/>
      <c r="I632" s="189"/>
      <c r="J632" s="189"/>
      <c r="K632" s="189"/>
      <c r="L632" s="189"/>
      <c r="M632" s="189"/>
      <c r="N632" s="190"/>
      <c r="R632" s="189"/>
      <c r="V632" s="47"/>
    </row>
    <row r="633" spans="5:22" ht="15.75" customHeight="1">
      <c r="E633" s="47"/>
      <c r="H633" s="189"/>
      <c r="I633" s="189"/>
      <c r="J633" s="189"/>
      <c r="K633" s="189"/>
      <c r="L633" s="189"/>
      <c r="M633" s="189"/>
      <c r="N633" s="190"/>
      <c r="R633" s="189"/>
      <c r="V633" s="47"/>
    </row>
    <row r="634" spans="5:22" ht="15.75" customHeight="1">
      <c r="E634" s="47"/>
      <c r="H634" s="189"/>
      <c r="I634" s="189"/>
      <c r="J634" s="189"/>
      <c r="K634" s="189"/>
      <c r="L634" s="189"/>
      <c r="M634" s="189"/>
      <c r="N634" s="190"/>
      <c r="R634" s="189"/>
      <c r="V634" s="47"/>
    </row>
    <row r="635" spans="5:22" ht="15.75" customHeight="1">
      <c r="E635" s="47"/>
      <c r="H635" s="189"/>
      <c r="I635" s="189"/>
      <c r="J635" s="189"/>
      <c r="K635" s="189"/>
      <c r="L635" s="189"/>
      <c r="M635" s="189"/>
      <c r="N635" s="190"/>
      <c r="R635" s="189"/>
      <c r="V635" s="47"/>
    </row>
    <row r="636" spans="5:22" ht="15.75" customHeight="1">
      <c r="E636" s="47"/>
      <c r="H636" s="189"/>
      <c r="I636" s="189"/>
      <c r="J636" s="189"/>
      <c r="K636" s="189"/>
      <c r="L636" s="189"/>
      <c r="M636" s="189"/>
      <c r="N636" s="190"/>
      <c r="R636" s="189"/>
      <c r="V636" s="47"/>
    </row>
    <row r="637" spans="5:22" ht="15.75" customHeight="1">
      <c r="E637" s="47"/>
      <c r="H637" s="189"/>
      <c r="I637" s="189"/>
      <c r="J637" s="189"/>
      <c r="K637" s="189"/>
      <c r="L637" s="189"/>
      <c r="M637" s="189"/>
      <c r="N637" s="190"/>
      <c r="R637" s="189"/>
      <c r="V637" s="47"/>
    </row>
    <row r="638" spans="5:22" ht="15.75" customHeight="1">
      <c r="E638" s="47"/>
      <c r="H638" s="189"/>
      <c r="I638" s="189"/>
      <c r="J638" s="189"/>
      <c r="K638" s="189"/>
      <c r="L638" s="189"/>
      <c r="M638" s="189"/>
      <c r="N638" s="190"/>
      <c r="R638" s="189"/>
      <c r="V638" s="47"/>
    </row>
    <row r="639" spans="5:22" ht="15.75" customHeight="1">
      <c r="E639" s="47"/>
      <c r="H639" s="189"/>
      <c r="I639" s="189"/>
      <c r="J639" s="189"/>
      <c r="K639" s="189"/>
      <c r="L639" s="189"/>
      <c r="M639" s="189"/>
      <c r="N639" s="190"/>
      <c r="R639" s="189"/>
      <c r="V639" s="47"/>
    </row>
    <row r="640" spans="5:22" ht="15.75" customHeight="1">
      <c r="E640" s="47"/>
      <c r="H640" s="189"/>
      <c r="I640" s="189"/>
      <c r="J640" s="189"/>
      <c r="K640" s="189"/>
      <c r="L640" s="189"/>
      <c r="M640" s="189"/>
      <c r="N640" s="190"/>
      <c r="R640" s="189"/>
      <c r="V640" s="47"/>
    </row>
    <row r="641" spans="5:22" ht="15.75" customHeight="1">
      <c r="E641" s="47"/>
      <c r="H641" s="189"/>
      <c r="I641" s="189"/>
      <c r="J641" s="189"/>
      <c r="K641" s="189"/>
      <c r="L641" s="189"/>
      <c r="M641" s="189"/>
      <c r="N641" s="190"/>
      <c r="R641" s="189"/>
      <c r="V641" s="47"/>
    </row>
    <row r="642" spans="5:22" ht="15.75" customHeight="1">
      <c r="E642" s="47"/>
      <c r="H642" s="189"/>
      <c r="I642" s="189"/>
      <c r="J642" s="189"/>
      <c r="K642" s="189"/>
      <c r="L642" s="189"/>
      <c r="M642" s="189"/>
      <c r="N642" s="190"/>
      <c r="R642" s="189"/>
      <c r="V642" s="47"/>
    </row>
    <row r="643" spans="5:22" ht="15.75" customHeight="1">
      <c r="E643" s="47"/>
      <c r="H643" s="189"/>
      <c r="I643" s="189"/>
      <c r="J643" s="189"/>
      <c r="K643" s="189"/>
      <c r="L643" s="189"/>
      <c r="M643" s="189"/>
      <c r="N643" s="190"/>
      <c r="R643" s="189"/>
      <c r="V643" s="47"/>
    </row>
    <row r="644" spans="5:22" ht="15.75" customHeight="1">
      <c r="E644" s="47"/>
      <c r="H644" s="189"/>
      <c r="I644" s="189"/>
      <c r="J644" s="189"/>
      <c r="K644" s="189"/>
      <c r="L644" s="189"/>
      <c r="M644" s="189"/>
      <c r="N644" s="190"/>
      <c r="R644" s="189"/>
      <c r="V644" s="47"/>
    </row>
    <row r="645" spans="5:22" ht="15.75" customHeight="1">
      <c r="E645" s="47"/>
      <c r="H645" s="189"/>
      <c r="I645" s="189"/>
      <c r="J645" s="189"/>
      <c r="K645" s="189"/>
      <c r="L645" s="189"/>
      <c r="M645" s="189"/>
      <c r="N645" s="190"/>
      <c r="R645" s="189"/>
      <c r="V645" s="47"/>
    </row>
    <row r="646" spans="5:22" ht="15.75" customHeight="1">
      <c r="E646" s="47"/>
      <c r="H646" s="189"/>
      <c r="I646" s="189"/>
      <c r="J646" s="189"/>
      <c r="K646" s="189"/>
      <c r="L646" s="189"/>
      <c r="M646" s="189"/>
      <c r="N646" s="190"/>
      <c r="R646" s="189"/>
      <c r="V646" s="47"/>
    </row>
    <row r="647" spans="5:22" ht="15.75" customHeight="1">
      <c r="E647" s="47"/>
      <c r="H647" s="189"/>
      <c r="I647" s="189"/>
      <c r="J647" s="189"/>
      <c r="K647" s="189"/>
      <c r="L647" s="189"/>
      <c r="M647" s="189"/>
      <c r="N647" s="190"/>
      <c r="R647" s="189"/>
      <c r="V647" s="47"/>
    </row>
    <row r="648" spans="5:22" ht="15.75" customHeight="1">
      <c r="E648" s="47"/>
      <c r="H648" s="189"/>
      <c r="I648" s="189"/>
      <c r="J648" s="189"/>
      <c r="K648" s="189"/>
      <c r="L648" s="189"/>
      <c r="M648" s="189"/>
      <c r="N648" s="190"/>
      <c r="R648" s="189"/>
      <c r="V648" s="47"/>
    </row>
    <row r="649" spans="5:22" ht="15.75" customHeight="1">
      <c r="E649" s="47"/>
      <c r="H649" s="189"/>
      <c r="I649" s="189"/>
      <c r="J649" s="189"/>
      <c r="K649" s="189"/>
      <c r="L649" s="189"/>
      <c r="M649" s="189"/>
      <c r="N649" s="190"/>
      <c r="R649" s="189"/>
      <c r="V649" s="47"/>
    </row>
    <row r="650" spans="5:22" ht="15.75" customHeight="1">
      <c r="E650" s="47"/>
      <c r="H650" s="189"/>
      <c r="I650" s="189"/>
      <c r="J650" s="189"/>
      <c r="K650" s="189"/>
      <c r="L650" s="189"/>
      <c r="M650" s="189"/>
      <c r="N650" s="190"/>
      <c r="R650" s="189"/>
      <c r="V650" s="47"/>
    </row>
    <row r="651" spans="5:22" ht="15.75" customHeight="1">
      <c r="E651" s="47"/>
      <c r="H651" s="189"/>
      <c r="I651" s="189"/>
      <c r="J651" s="189"/>
      <c r="K651" s="189"/>
      <c r="L651" s="189"/>
      <c r="M651" s="189"/>
      <c r="N651" s="190"/>
      <c r="R651" s="189"/>
      <c r="V651" s="47"/>
    </row>
    <row r="652" spans="5:22" ht="15.75" customHeight="1">
      <c r="E652" s="47"/>
      <c r="H652" s="189"/>
      <c r="I652" s="189"/>
      <c r="J652" s="189"/>
      <c r="K652" s="189"/>
      <c r="L652" s="189"/>
      <c r="M652" s="189"/>
      <c r="N652" s="190"/>
      <c r="R652" s="189"/>
      <c r="V652" s="47"/>
    </row>
    <row r="653" spans="5:22" ht="15.75" customHeight="1">
      <c r="E653" s="47"/>
      <c r="H653" s="189"/>
      <c r="I653" s="189"/>
      <c r="J653" s="189"/>
      <c r="K653" s="189"/>
      <c r="L653" s="189"/>
      <c r="M653" s="189"/>
      <c r="N653" s="190"/>
      <c r="R653" s="189"/>
      <c r="V653" s="47"/>
    </row>
    <row r="654" spans="5:22" ht="15.75" customHeight="1">
      <c r="E654" s="47"/>
      <c r="H654" s="189"/>
      <c r="I654" s="189"/>
      <c r="J654" s="189"/>
      <c r="K654" s="189"/>
      <c r="L654" s="189"/>
      <c r="M654" s="189"/>
      <c r="N654" s="190"/>
      <c r="R654" s="189"/>
      <c r="V654" s="47"/>
    </row>
    <row r="655" spans="5:22" ht="15.75" customHeight="1">
      <c r="E655" s="47"/>
      <c r="H655" s="189"/>
      <c r="I655" s="189"/>
      <c r="J655" s="189"/>
      <c r="K655" s="189"/>
      <c r="L655" s="189"/>
      <c r="M655" s="189"/>
      <c r="N655" s="190"/>
      <c r="R655" s="189"/>
      <c r="V655" s="47"/>
    </row>
    <row r="656" spans="5:22" ht="15.75" customHeight="1">
      <c r="E656" s="47"/>
      <c r="H656" s="189"/>
      <c r="I656" s="189"/>
      <c r="J656" s="189"/>
      <c r="K656" s="189"/>
      <c r="L656" s="189"/>
      <c r="M656" s="189"/>
      <c r="N656" s="190"/>
      <c r="R656" s="189"/>
      <c r="V656" s="47"/>
    </row>
    <row r="657" spans="5:22" ht="15.75" customHeight="1">
      <c r="E657" s="47"/>
      <c r="H657" s="189"/>
      <c r="I657" s="189"/>
      <c r="J657" s="189"/>
      <c r="K657" s="189"/>
      <c r="L657" s="189"/>
      <c r="M657" s="189"/>
      <c r="N657" s="190"/>
      <c r="R657" s="189"/>
      <c r="V657" s="47"/>
    </row>
    <row r="658" spans="5:22" ht="15.75" customHeight="1">
      <c r="E658" s="47"/>
      <c r="H658" s="189"/>
      <c r="I658" s="189"/>
      <c r="J658" s="189"/>
      <c r="K658" s="189"/>
      <c r="L658" s="189"/>
      <c r="M658" s="189"/>
      <c r="N658" s="190"/>
      <c r="R658" s="189"/>
      <c r="V658" s="47"/>
    </row>
    <row r="659" spans="5:22" ht="15.75" customHeight="1">
      <c r="E659" s="47"/>
      <c r="H659" s="189"/>
      <c r="I659" s="189"/>
      <c r="J659" s="189"/>
      <c r="K659" s="189"/>
      <c r="L659" s="189"/>
      <c r="M659" s="189"/>
      <c r="N659" s="190"/>
      <c r="R659" s="189"/>
      <c r="V659" s="47"/>
    </row>
    <row r="660" spans="5:22" ht="15.75" customHeight="1">
      <c r="E660" s="47"/>
      <c r="H660" s="189"/>
      <c r="I660" s="189"/>
      <c r="J660" s="189"/>
      <c r="K660" s="189"/>
      <c r="L660" s="189"/>
      <c r="M660" s="189"/>
      <c r="N660" s="190"/>
      <c r="R660" s="189"/>
      <c r="V660" s="47"/>
    </row>
    <row r="661" spans="5:22" ht="15.75" customHeight="1">
      <c r="E661" s="47"/>
      <c r="H661" s="189"/>
      <c r="I661" s="189"/>
      <c r="J661" s="189"/>
      <c r="K661" s="189"/>
      <c r="L661" s="189"/>
      <c r="M661" s="189"/>
      <c r="N661" s="190"/>
      <c r="R661" s="189"/>
      <c r="V661" s="47"/>
    </row>
    <row r="662" spans="5:22" ht="15.75" customHeight="1">
      <c r="E662" s="47"/>
      <c r="H662" s="189"/>
      <c r="I662" s="189"/>
      <c r="J662" s="189"/>
      <c r="K662" s="189"/>
      <c r="L662" s="189"/>
      <c r="M662" s="189"/>
      <c r="N662" s="190"/>
      <c r="R662" s="189"/>
      <c r="V662" s="47"/>
    </row>
    <row r="663" spans="5:22" ht="15.75" customHeight="1">
      <c r="E663" s="47"/>
      <c r="H663" s="189"/>
      <c r="I663" s="189"/>
      <c r="J663" s="189"/>
      <c r="K663" s="189"/>
      <c r="L663" s="189"/>
      <c r="M663" s="189"/>
      <c r="N663" s="190"/>
      <c r="R663" s="189"/>
      <c r="V663" s="47"/>
    </row>
    <row r="664" spans="5:22" ht="15.75" customHeight="1">
      <c r="E664" s="47"/>
      <c r="H664" s="189"/>
      <c r="I664" s="189"/>
      <c r="J664" s="189"/>
      <c r="K664" s="189"/>
      <c r="L664" s="189"/>
      <c r="M664" s="189"/>
      <c r="N664" s="190"/>
      <c r="R664" s="189"/>
      <c r="V664" s="47"/>
    </row>
    <row r="665" spans="5:22" ht="15.75" customHeight="1">
      <c r="E665" s="47"/>
      <c r="H665" s="189"/>
      <c r="I665" s="189"/>
      <c r="J665" s="189"/>
      <c r="K665" s="189"/>
      <c r="L665" s="189"/>
      <c r="M665" s="189"/>
      <c r="N665" s="190"/>
      <c r="R665" s="189"/>
      <c r="V665" s="47"/>
    </row>
    <row r="666" spans="5:22" ht="15.75" customHeight="1">
      <c r="E666" s="47"/>
      <c r="H666" s="189"/>
      <c r="I666" s="189"/>
      <c r="J666" s="189"/>
      <c r="K666" s="189"/>
      <c r="L666" s="189"/>
      <c r="M666" s="189"/>
      <c r="N666" s="190"/>
      <c r="R666" s="189"/>
      <c r="V666" s="47"/>
    </row>
    <row r="667" spans="5:22" ht="15.75" customHeight="1">
      <c r="E667" s="47"/>
      <c r="H667" s="189"/>
      <c r="I667" s="189"/>
      <c r="J667" s="189"/>
      <c r="K667" s="189"/>
      <c r="L667" s="189"/>
      <c r="M667" s="189"/>
      <c r="N667" s="190"/>
      <c r="R667" s="189"/>
      <c r="V667" s="47"/>
    </row>
    <row r="668" spans="5:22" ht="15.75" customHeight="1">
      <c r="E668" s="47"/>
      <c r="H668" s="189"/>
      <c r="I668" s="189"/>
      <c r="J668" s="189"/>
      <c r="K668" s="189"/>
      <c r="L668" s="189"/>
      <c r="M668" s="189"/>
      <c r="N668" s="190"/>
      <c r="R668" s="189"/>
      <c r="V668" s="47"/>
    </row>
    <row r="669" spans="5:22" ht="15.75" customHeight="1">
      <c r="E669" s="47"/>
      <c r="H669" s="189"/>
      <c r="I669" s="189"/>
      <c r="J669" s="189"/>
      <c r="K669" s="189"/>
      <c r="L669" s="189"/>
      <c r="M669" s="189"/>
      <c r="N669" s="190"/>
      <c r="R669" s="189"/>
      <c r="V669" s="47"/>
    </row>
    <row r="670" spans="5:22" ht="15.75" customHeight="1">
      <c r="E670" s="47"/>
      <c r="H670" s="189"/>
      <c r="I670" s="189"/>
      <c r="J670" s="189"/>
      <c r="K670" s="189"/>
      <c r="L670" s="189"/>
      <c r="M670" s="189"/>
      <c r="N670" s="190"/>
      <c r="R670" s="189"/>
      <c r="V670" s="47"/>
    </row>
    <row r="671" spans="5:22" ht="15.75" customHeight="1">
      <c r="E671" s="47"/>
      <c r="H671" s="189"/>
      <c r="I671" s="189"/>
      <c r="J671" s="189"/>
      <c r="K671" s="189"/>
      <c r="L671" s="189"/>
      <c r="M671" s="189"/>
      <c r="N671" s="190"/>
      <c r="R671" s="189"/>
      <c r="V671" s="47"/>
    </row>
    <row r="672" spans="5:22" ht="15.75" customHeight="1">
      <c r="E672" s="47"/>
      <c r="H672" s="189"/>
      <c r="I672" s="189"/>
      <c r="J672" s="189"/>
      <c r="K672" s="189"/>
      <c r="L672" s="189"/>
      <c r="M672" s="189"/>
      <c r="N672" s="190"/>
      <c r="R672" s="189"/>
      <c r="V672" s="47"/>
    </row>
    <row r="673" spans="5:22" ht="15.75" customHeight="1">
      <c r="E673" s="47"/>
      <c r="H673" s="189"/>
      <c r="I673" s="189"/>
      <c r="J673" s="189"/>
      <c r="K673" s="189"/>
      <c r="L673" s="189"/>
      <c r="M673" s="189"/>
      <c r="N673" s="190"/>
      <c r="R673" s="189"/>
      <c r="V673" s="47"/>
    </row>
    <row r="674" spans="5:22" ht="15.75" customHeight="1">
      <c r="E674" s="47"/>
      <c r="H674" s="189"/>
      <c r="I674" s="189"/>
      <c r="J674" s="189"/>
      <c r="K674" s="189"/>
      <c r="L674" s="189"/>
      <c r="M674" s="189"/>
      <c r="N674" s="190"/>
      <c r="R674" s="189"/>
      <c r="V674" s="47"/>
    </row>
    <row r="675" spans="5:22" ht="15.75" customHeight="1">
      <c r="E675" s="47"/>
      <c r="H675" s="189"/>
      <c r="I675" s="189"/>
      <c r="J675" s="189"/>
      <c r="K675" s="189"/>
      <c r="L675" s="189"/>
      <c r="M675" s="189"/>
      <c r="N675" s="190"/>
      <c r="R675" s="189"/>
      <c r="V675" s="47"/>
    </row>
    <row r="676" spans="5:22" ht="15.75" customHeight="1">
      <c r="E676" s="47"/>
      <c r="H676" s="189"/>
      <c r="I676" s="189"/>
      <c r="J676" s="189"/>
      <c r="K676" s="189"/>
      <c r="L676" s="189"/>
      <c r="M676" s="189"/>
      <c r="N676" s="190"/>
      <c r="R676" s="189"/>
      <c r="V676" s="47"/>
    </row>
    <row r="677" spans="5:22" ht="15.75" customHeight="1">
      <c r="E677" s="47"/>
      <c r="H677" s="189"/>
      <c r="I677" s="189"/>
      <c r="J677" s="189"/>
      <c r="K677" s="189"/>
      <c r="L677" s="189"/>
      <c r="M677" s="189"/>
      <c r="N677" s="190"/>
      <c r="R677" s="189"/>
      <c r="V677" s="47"/>
    </row>
    <row r="678" spans="5:22" ht="15.75" customHeight="1">
      <c r="E678" s="47"/>
      <c r="H678" s="189"/>
      <c r="I678" s="189"/>
      <c r="J678" s="189"/>
      <c r="K678" s="189"/>
      <c r="L678" s="189"/>
      <c r="M678" s="189"/>
      <c r="N678" s="190"/>
      <c r="R678" s="189"/>
      <c r="V678" s="47"/>
    </row>
    <row r="679" spans="5:22" ht="15.75" customHeight="1">
      <c r="E679" s="47"/>
      <c r="H679" s="189"/>
      <c r="I679" s="189"/>
      <c r="J679" s="189"/>
      <c r="K679" s="189"/>
      <c r="L679" s="189"/>
      <c r="M679" s="189"/>
      <c r="N679" s="190"/>
      <c r="R679" s="189"/>
      <c r="V679" s="47"/>
    </row>
    <row r="680" spans="5:22" ht="15.75" customHeight="1">
      <c r="E680" s="47"/>
      <c r="H680" s="189"/>
      <c r="I680" s="189"/>
      <c r="J680" s="189"/>
      <c r="K680" s="189"/>
      <c r="L680" s="189"/>
      <c r="M680" s="189"/>
      <c r="N680" s="190"/>
      <c r="R680" s="189"/>
      <c r="V680" s="47"/>
    </row>
    <row r="681" spans="5:22" ht="15.75" customHeight="1">
      <c r="E681" s="47"/>
      <c r="H681" s="189"/>
      <c r="I681" s="189"/>
      <c r="J681" s="189"/>
      <c r="K681" s="189"/>
      <c r="L681" s="189"/>
      <c r="M681" s="189"/>
      <c r="N681" s="190"/>
      <c r="R681" s="189"/>
      <c r="V681" s="47"/>
    </row>
    <row r="682" spans="5:22" ht="15.75" customHeight="1">
      <c r="E682" s="47"/>
      <c r="H682" s="189"/>
      <c r="I682" s="189"/>
      <c r="J682" s="189"/>
      <c r="K682" s="189"/>
      <c r="L682" s="189"/>
      <c r="M682" s="189"/>
      <c r="N682" s="190"/>
      <c r="R682" s="189"/>
      <c r="V682" s="47"/>
    </row>
    <row r="683" spans="5:22" ht="15.75" customHeight="1">
      <c r="E683" s="47"/>
      <c r="H683" s="189"/>
      <c r="I683" s="189"/>
      <c r="J683" s="189"/>
      <c r="K683" s="189"/>
      <c r="L683" s="189"/>
      <c r="M683" s="189"/>
      <c r="N683" s="190"/>
      <c r="R683" s="189"/>
      <c r="V683" s="47"/>
    </row>
    <row r="684" spans="5:22" ht="15.75" customHeight="1">
      <c r="E684" s="47"/>
      <c r="H684" s="189"/>
      <c r="I684" s="189"/>
      <c r="J684" s="189"/>
      <c r="K684" s="189"/>
      <c r="L684" s="189"/>
      <c r="M684" s="189"/>
      <c r="N684" s="190"/>
      <c r="R684" s="189"/>
      <c r="V684" s="47"/>
    </row>
    <row r="685" spans="5:22" ht="15.75" customHeight="1">
      <c r="E685" s="47"/>
      <c r="H685" s="189"/>
      <c r="I685" s="189"/>
      <c r="J685" s="189"/>
      <c r="K685" s="189"/>
      <c r="L685" s="189"/>
      <c r="M685" s="189"/>
      <c r="N685" s="190"/>
      <c r="R685" s="189"/>
      <c r="V685" s="47"/>
    </row>
    <row r="686" spans="5:22" ht="15.75" customHeight="1">
      <c r="E686" s="47"/>
      <c r="H686" s="189"/>
      <c r="I686" s="189"/>
      <c r="J686" s="189"/>
      <c r="K686" s="189"/>
      <c r="L686" s="189"/>
      <c r="M686" s="189"/>
      <c r="N686" s="190"/>
      <c r="R686" s="189"/>
      <c r="V686" s="47"/>
    </row>
    <row r="687" spans="5:22" ht="15.75" customHeight="1">
      <c r="E687" s="47"/>
      <c r="H687" s="189"/>
      <c r="I687" s="189"/>
      <c r="J687" s="189"/>
      <c r="K687" s="189"/>
      <c r="L687" s="189"/>
      <c r="M687" s="189"/>
      <c r="N687" s="190"/>
      <c r="R687" s="189"/>
      <c r="V687" s="47"/>
    </row>
    <row r="688" spans="5:22" ht="15.75" customHeight="1">
      <c r="E688" s="47"/>
      <c r="H688" s="189"/>
      <c r="I688" s="189"/>
      <c r="J688" s="189"/>
      <c r="K688" s="189"/>
      <c r="L688" s="189"/>
      <c r="M688" s="189"/>
      <c r="N688" s="190"/>
      <c r="R688" s="189"/>
      <c r="V688" s="47"/>
    </row>
    <row r="689" spans="5:22" ht="15.75" customHeight="1">
      <c r="E689" s="47"/>
      <c r="H689" s="189"/>
      <c r="I689" s="189"/>
      <c r="J689" s="189"/>
      <c r="K689" s="189"/>
      <c r="L689" s="189"/>
      <c r="M689" s="189"/>
      <c r="N689" s="190"/>
      <c r="R689" s="189"/>
      <c r="V689" s="47"/>
    </row>
    <row r="690" spans="5:22" ht="15.75" customHeight="1">
      <c r="E690" s="47"/>
      <c r="H690" s="189"/>
      <c r="I690" s="189"/>
      <c r="J690" s="189"/>
      <c r="K690" s="189"/>
      <c r="L690" s="189"/>
      <c r="M690" s="189"/>
      <c r="N690" s="190"/>
      <c r="R690" s="189"/>
      <c r="V690" s="47"/>
    </row>
    <row r="691" spans="5:22" ht="15.75" customHeight="1">
      <c r="E691" s="47"/>
      <c r="H691" s="189"/>
      <c r="I691" s="189"/>
      <c r="J691" s="189"/>
      <c r="K691" s="189"/>
      <c r="L691" s="189"/>
      <c r="M691" s="189"/>
      <c r="N691" s="190"/>
      <c r="R691" s="189"/>
      <c r="V691" s="47"/>
    </row>
    <row r="692" spans="5:22" ht="15.75" customHeight="1">
      <c r="E692" s="47"/>
      <c r="H692" s="189"/>
      <c r="I692" s="189"/>
      <c r="J692" s="189"/>
      <c r="K692" s="189"/>
      <c r="L692" s="189"/>
      <c r="M692" s="189"/>
      <c r="N692" s="190"/>
      <c r="R692" s="189"/>
      <c r="V692" s="47"/>
    </row>
    <row r="693" spans="5:22" ht="15.75" customHeight="1">
      <c r="E693" s="47"/>
      <c r="H693" s="189"/>
      <c r="I693" s="189"/>
      <c r="J693" s="189"/>
      <c r="K693" s="189"/>
      <c r="L693" s="189"/>
      <c r="M693" s="189"/>
      <c r="N693" s="190"/>
      <c r="R693" s="189"/>
      <c r="V693" s="47"/>
    </row>
    <row r="694" spans="5:22" ht="15.75" customHeight="1">
      <c r="E694" s="47"/>
      <c r="H694" s="189"/>
      <c r="I694" s="189"/>
      <c r="J694" s="189"/>
      <c r="K694" s="189"/>
      <c r="L694" s="189"/>
      <c r="M694" s="189"/>
      <c r="N694" s="190"/>
      <c r="R694" s="189"/>
      <c r="V694" s="47"/>
    </row>
    <row r="695" spans="5:22" ht="15.75" customHeight="1">
      <c r="E695" s="47"/>
      <c r="H695" s="189"/>
      <c r="I695" s="189"/>
      <c r="J695" s="189"/>
      <c r="K695" s="189"/>
      <c r="L695" s="189"/>
      <c r="M695" s="189"/>
      <c r="N695" s="190"/>
      <c r="R695" s="189"/>
      <c r="V695" s="47"/>
    </row>
    <row r="696" spans="5:22" ht="15.75" customHeight="1">
      <c r="E696" s="47"/>
      <c r="H696" s="189"/>
      <c r="I696" s="189"/>
      <c r="J696" s="189"/>
      <c r="K696" s="189"/>
      <c r="L696" s="189"/>
      <c r="M696" s="189"/>
      <c r="N696" s="190"/>
      <c r="R696" s="189"/>
      <c r="V696" s="47"/>
    </row>
    <row r="697" spans="5:22" ht="15.75" customHeight="1">
      <c r="E697" s="47"/>
      <c r="H697" s="189"/>
      <c r="I697" s="189"/>
      <c r="J697" s="189"/>
      <c r="K697" s="189"/>
      <c r="L697" s="189"/>
      <c r="M697" s="189"/>
      <c r="N697" s="190"/>
      <c r="R697" s="189"/>
      <c r="V697" s="47"/>
    </row>
    <row r="698" spans="5:22" ht="15.75" customHeight="1">
      <c r="E698" s="47"/>
      <c r="H698" s="189"/>
      <c r="I698" s="189"/>
      <c r="J698" s="189"/>
      <c r="K698" s="189"/>
      <c r="L698" s="189"/>
      <c r="M698" s="189"/>
      <c r="N698" s="190"/>
      <c r="R698" s="189"/>
      <c r="V698" s="47"/>
    </row>
    <row r="699" spans="5:22" ht="15.75" customHeight="1">
      <c r="E699" s="47"/>
      <c r="H699" s="189"/>
      <c r="I699" s="189"/>
      <c r="J699" s="189"/>
      <c r="K699" s="189"/>
      <c r="L699" s="189"/>
      <c r="M699" s="189"/>
      <c r="N699" s="190"/>
      <c r="R699" s="189"/>
      <c r="V699" s="47"/>
    </row>
    <row r="700" spans="5:22" ht="15.75" customHeight="1">
      <c r="E700" s="47"/>
      <c r="H700" s="189"/>
      <c r="I700" s="189"/>
      <c r="J700" s="189"/>
      <c r="K700" s="189"/>
      <c r="L700" s="189"/>
      <c r="M700" s="189"/>
      <c r="N700" s="190"/>
      <c r="R700" s="189"/>
      <c r="V700" s="47"/>
    </row>
    <row r="701" spans="5:22" ht="15.75" customHeight="1">
      <c r="E701" s="47"/>
      <c r="H701" s="189"/>
      <c r="I701" s="189"/>
      <c r="J701" s="189"/>
      <c r="K701" s="189"/>
      <c r="L701" s="189"/>
      <c r="M701" s="189"/>
      <c r="N701" s="190"/>
      <c r="R701" s="189"/>
      <c r="V701" s="47"/>
    </row>
    <row r="702" spans="5:22" ht="15.75" customHeight="1">
      <c r="E702" s="47"/>
      <c r="H702" s="189"/>
      <c r="I702" s="189"/>
      <c r="J702" s="189"/>
      <c r="K702" s="189"/>
      <c r="L702" s="189"/>
      <c r="M702" s="189"/>
      <c r="N702" s="190"/>
      <c r="R702" s="189"/>
      <c r="V702" s="47"/>
    </row>
    <row r="703" spans="5:22" ht="15.75" customHeight="1">
      <c r="E703" s="47"/>
      <c r="H703" s="189"/>
      <c r="I703" s="189"/>
      <c r="J703" s="189"/>
      <c r="K703" s="189"/>
      <c r="L703" s="189"/>
      <c r="M703" s="189"/>
      <c r="N703" s="190"/>
      <c r="R703" s="189"/>
      <c r="V703" s="47"/>
    </row>
    <row r="704" spans="5:22" ht="15.75" customHeight="1">
      <c r="E704" s="47"/>
      <c r="H704" s="189"/>
      <c r="I704" s="189"/>
      <c r="J704" s="189"/>
      <c r="K704" s="189"/>
      <c r="L704" s="189"/>
      <c r="M704" s="189"/>
      <c r="N704" s="190"/>
      <c r="R704" s="189"/>
      <c r="V704" s="47"/>
    </row>
    <row r="705" spans="5:22" ht="15.75" customHeight="1">
      <c r="E705" s="47"/>
      <c r="H705" s="189"/>
      <c r="I705" s="189"/>
      <c r="J705" s="189"/>
      <c r="K705" s="189"/>
      <c r="L705" s="189"/>
      <c r="M705" s="189"/>
      <c r="N705" s="190"/>
      <c r="R705" s="189"/>
      <c r="V705" s="47"/>
    </row>
    <row r="706" spans="5:22" ht="15.75" customHeight="1">
      <c r="E706" s="47"/>
      <c r="H706" s="189"/>
      <c r="I706" s="189"/>
      <c r="J706" s="189"/>
      <c r="K706" s="189"/>
      <c r="L706" s="189"/>
      <c r="M706" s="189"/>
      <c r="N706" s="190"/>
      <c r="R706" s="189"/>
      <c r="V706" s="47"/>
    </row>
    <row r="707" spans="5:22" ht="15.75" customHeight="1">
      <c r="E707" s="47"/>
      <c r="H707" s="189"/>
      <c r="I707" s="189"/>
      <c r="J707" s="189"/>
      <c r="K707" s="189"/>
      <c r="L707" s="189"/>
      <c r="M707" s="189"/>
      <c r="N707" s="190"/>
      <c r="R707" s="189"/>
      <c r="V707" s="47"/>
    </row>
    <row r="708" spans="5:22" ht="15.75" customHeight="1">
      <c r="E708" s="47"/>
      <c r="H708" s="189"/>
      <c r="I708" s="189"/>
      <c r="J708" s="189"/>
      <c r="K708" s="189"/>
      <c r="L708" s="189"/>
      <c r="M708" s="189"/>
      <c r="N708" s="190"/>
      <c r="R708" s="189"/>
      <c r="V708" s="47"/>
    </row>
    <row r="709" spans="5:22" ht="15.75" customHeight="1">
      <c r="E709" s="47"/>
      <c r="H709" s="189"/>
      <c r="I709" s="189"/>
      <c r="J709" s="189"/>
      <c r="K709" s="189"/>
      <c r="L709" s="189"/>
      <c r="M709" s="189"/>
      <c r="N709" s="190"/>
      <c r="R709" s="189"/>
      <c r="V709" s="47"/>
    </row>
    <row r="710" spans="5:22" ht="15.75" customHeight="1">
      <c r="E710" s="47"/>
      <c r="H710" s="189"/>
      <c r="I710" s="189"/>
      <c r="J710" s="189"/>
      <c r="K710" s="189"/>
      <c r="L710" s="189"/>
      <c r="M710" s="189"/>
      <c r="N710" s="190"/>
      <c r="R710" s="189"/>
      <c r="V710" s="47"/>
    </row>
    <row r="711" spans="5:22" ht="15.75" customHeight="1">
      <c r="E711" s="47"/>
      <c r="H711" s="189"/>
      <c r="I711" s="189"/>
      <c r="J711" s="189"/>
      <c r="K711" s="189"/>
      <c r="L711" s="189"/>
      <c r="M711" s="189"/>
      <c r="N711" s="190"/>
      <c r="R711" s="189"/>
      <c r="V711" s="47"/>
    </row>
    <row r="712" spans="5:22" ht="15.75" customHeight="1">
      <c r="E712" s="47"/>
      <c r="H712" s="189"/>
      <c r="I712" s="189"/>
      <c r="J712" s="189"/>
      <c r="K712" s="189"/>
      <c r="L712" s="189"/>
      <c r="M712" s="189"/>
      <c r="N712" s="190"/>
      <c r="R712" s="189"/>
      <c r="V712" s="47"/>
    </row>
    <row r="713" spans="5:22" ht="15.75" customHeight="1">
      <c r="E713" s="47"/>
      <c r="H713" s="189"/>
      <c r="I713" s="189"/>
      <c r="J713" s="189"/>
      <c r="K713" s="189"/>
      <c r="L713" s="189"/>
      <c r="M713" s="189"/>
      <c r="N713" s="190"/>
      <c r="R713" s="189"/>
      <c r="V713" s="47"/>
    </row>
    <row r="714" spans="5:22" ht="15.75" customHeight="1">
      <c r="E714" s="47"/>
      <c r="H714" s="189"/>
      <c r="I714" s="189"/>
      <c r="J714" s="189"/>
      <c r="K714" s="189"/>
      <c r="L714" s="189"/>
      <c r="M714" s="189"/>
      <c r="N714" s="190"/>
      <c r="R714" s="189"/>
      <c r="V714" s="47"/>
    </row>
    <row r="715" spans="5:22" ht="15.75" customHeight="1">
      <c r="E715" s="47"/>
      <c r="H715" s="189"/>
      <c r="I715" s="189"/>
      <c r="J715" s="189"/>
      <c r="K715" s="189"/>
      <c r="L715" s="189"/>
      <c r="M715" s="189"/>
      <c r="N715" s="190"/>
      <c r="R715" s="189"/>
      <c r="V715" s="47"/>
    </row>
    <row r="716" spans="5:22" ht="15.75" customHeight="1">
      <c r="E716" s="47"/>
      <c r="H716" s="189"/>
      <c r="I716" s="189"/>
      <c r="J716" s="189"/>
      <c r="K716" s="189"/>
      <c r="L716" s="189"/>
      <c r="M716" s="189"/>
      <c r="N716" s="190"/>
      <c r="R716" s="189"/>
      <c r="V716" s="47"/>
    </row>
    <row r="717" spans="5:22" ht="15.75" customHeight="1">
      <c r="E717" s="47"/>
      <c r="H717" s="189"/>
      <c r="I717" s="189"/>
      <c r="J717" s="189"/>
      <c r="K717" s="189"/>
      <c r="L717" s="189"/>
      <c r="M717" s="189"/>
      <c r="N717" s="190"/>
      <c r="R717" s="189"/>
      <c r="V717" s="47"/>
    </row>
    <row r="718" spans="5:22" ht="15.75" customHeight="1">
      <c r="E718" s="47"/>
      <c r="H718" s="189"/>
      <c r="I718" s="189"/>
      <c r="J718" s="189"/>
      <c r="K718" s="189"/>
      <c r="L718" s="189"/>
      <c r="M718" s="189"/>
      <c r="N718" s="190"/>
      <c r="R718" s="189"/>
      <c r="V718" s="47"/>
    </row>
    <row r="719" spans="5:22" ht="15.75" customHeight="1">
      <c r="E719" s="47"/>
      <c r="H719" s="189"/>
      <c r="I719" s="189"/>
      <c r="J719" s="189"/>
      <c r="K719" s="189"/>
      <c r="L719" s="189"/>
      <c r="M719" s="189"/>
      <c r="N719" s="190"/>
      <c r="R719" s="189"/>
      <c r="V719" s="47"/>
    </row>
    <row r="720" spans="5:22" ht="15.75" customHeight="1">
      <c r="E720" s="47"/>
      <c r="H720" s="189"/>
      <c r="I720" s="189"/>
      <c r="J720" s="189"/>
      <c r="K720" s="189"/>
      <c r="L720" s="189"/>
      <c r="M720" s="189"/>
      <c r="N720" s="190"/>
      <c r="R720" s="189"/>
      <c r="V720" s="47"/>
    </row>
    <row r="721" spans="5:22" ht="15.75" customHeight="1">
      <c r="E721" s="47"/>
      <c r="H721" s="189"/>
      <c r="I721" s="189"/>
      <c r="J721" s="189"/>
      <c r="K721" s="189"/>
      <c r="L721" s="189"/>
      <c r="M721" s="189"/>
      <c r="N721" s="190"/>
      <c r="R721" s="189"/>
      <c r="V721" s="47"/>
    </row>
    <row r="722" spans="5:22" ht="15.75" customHeight="1">
      <c r="E722" s="47"/>
      <c r="H722" s="189"/>
      <c r="I722" s="189"/>
      <c r="J722" s="189"/>
      <c r="K722" s="189"/>
      <c r="L722" s="189"/>
      <c r="M722" s="189"/>
      <c r="N722" s="190"/>
      <c r="R722" s="189"/>
      <c r="V722" s="47"/>
    </row>
    <row r="723" spans="5:22" ht="15.75" customHeight="1">
      <c r="E723" s="47"/>
      <c r="H723" s="189"/>
      <c r="I723" s="189"/>
      <c r="J723" s="189"/>
      <c r="K723" s="189"/>
      <c r="L723" s="189"/>
      <c r="M723" s="189"/>
      <c r="N723" s="190"/>
      <c r="R723" s="189"/>
      <c r="V723" s="47"/>
    </row>
    <row r="724" spans="5:22" ht="15.75" customHeight="1">
      <c r="E724" s="47"/>
      <c r="H724" s="189"/>
      <c r="I724" s="189"/>
      <c r="J724" s="189"/>
      <c r="K724" s="189"/>
      <c r="L724" s="189"/>
      <c r="M724" s="189"/>
      <c r="N724" s="190"/>
      <c r="R724" s="189"/>
      <c r="V724" s="47"/>
    </row>
    <row r="725" spans="5:22" ht="15.75" customHeight="1">
      <c r="E725" s="47"/>
      <c r="H725" s="189"/>
      <c r="I725" s="189"/>
      <c r="J725" s="189"/>
      <c r="K725" s="189"/>
      <c r="L725" s="189"/>
      <c r="M725" s="189"/>
      <c r="N725" s="190"/>
      <c r="R725" s="189"/>
      <c r="V725" s="47"/>
    </row>
    <row r="726" spans="5:22" ht="15.75" customHeight="1">
      <c r="E726" s="47"/>
      <c r="H726" s="189"/>
      <c r="I726" s="189"/>
      <c r="J726" s="189"/>
      <c r="K726" s="189"/>
      <c r="L726" s="189"/>
      <c r="M726" s="189"/>
      <c r="N726" s="190"/>
      <c r="R726" s="189"/>
      <c r="V726" s="47"/>
    </row>
    <row r="727" spans="5:22" ht="15.75" customHeight="1">
      <c r="E727" s="47"/>
      <c r="H727" s="189"/>
      <c r="I727" s="189"/>
      <c r="J727" s="189"/>
      <c r="K727" s="189"/>
      <c r="L727" s="189"/>
      <c r="M727" s="189"/>
      <c r="N727" s="190"/>
      <c r="R727" s="189"/>
      <c r="V727" s="47"/>
    </row>
    <row r="728" spans="5:22" ht="15.75" customHeight="1">
      <c r="E728" s="47"/>
      <c r="H728" s="189"/>
      <c r="I728" s="189"/>
      <c r="J728" s="189"/>
      <c r="K728" s="189"/>
      <c r="L728" s="189"/>
      <c r="M728" s="189"/>
      <c r="N728" s="190"/>
      <c r="R728" s="189"/>
      <c r="V728" s="47"/>
    </row>
    <row r="729" spans="5:22" ht="15.75" customHeight="1">
      <c r="E729" s="47"/>
      <c r="H729" s="189"/>
      <c r="I729" s="189"/>
      <c r="J729" s="189"/>
      <c r="K729" s="189"/>
      <c r="L729" s="189"/>
      <c r="M729" s="189"/>
      <c r="N729" s="190"/>
      <c r="R729" s="189"/>
      <c r="V729" s="47"/>
    </row>
    <row r="730" spans="5:22" ht="15.75" customHeight="1">
      <c r="E730" s="47"/>
      <c r="H730" s="189"/>
      <c r="I730" s="189"/>
      <c r="J730" s="189"/>
      <c r="K730" s="189"/>
      <c r="L730" s="189"/>
      <c r="M730" s="189"/>
      <c r="N730" s="190"/>
      <c r="R730" s="189"/>
      <c r="V730" s="47"/>
    </row>
    <row r="731" spans="5:22" ht="15.75" customHeight="1">
      <c r="E731" s="47"/>
      <c r="H731" s="189"/>
      <c r="I731" s="189"/>
      <c r="J731" s="189"/>
      <c r="K731" s="189"/>
      <c r="L731" s="189"/>
      <c r="M731" s="189"/>
      <c r="N731" s="190"/>
      <c r="R731" s="189"/>
      <c r="V731" s="47"/>
    </row>
    <row r="732" spans="5:22" ht="15.75" customHeight="1">
      <c r="E732" s="47"/>
      <c r="H732" s="189"/>
      <c r="I732" s="189"/>
      <c r="J732" s="189"/>
      <c r="K732" s="189"/>
      <c r="L732" s="189"/>
      <c r="M732" s="189"/>
      <c r="N732" s="190"/>
      <c r="R732" s="189"/>
      <c r="V732" s="47"/>
    </row>
    <row r="733" spans="5:22" ht="15.75" customHeight="1">
      <c r="E733" s="47"/>
      <c r="H733" s="189"/>
      <c r="I733" s="189"/>
      <c r="J733" s="189"/>
      <c r="K733" s="189"/>
      <c r="L733" s="189"/>
      <c r="M733" s="189"/>
      <c r="N733" s="190"/>
      <c r="R733" s="189"/>
      <c r="V733" s="47"/>
    </row>
    <row r="734" spans="5:22" ht="15.75" customHeight="1">
      <c r="E734" s="47"/>
      <c r="H734" s="189"/>
      <c r="I734" s="189"/>
      <c r="J734" s="189"/>
      <c r="K734" s="189"/>
      <c r="L734" s="189"/>
      <c r="M734" s="189"/>
      <c r="N734" s="190"/>
      <c r="R734" s="189"/>
      <c r="V734" s="47"/>
    </row>
    <row r="735" spans="5:22" ht="15.75" customHeight="1">
      <c r="E735" s="47"/>
      <c r="H735" s="189"/>
      <c r="I735" s="189"/>
      <c r="J735" s="189"/>
      <c r="K735" s="189"/>
      <c r="L735" s="189"/>
      <c r="M735" s="189"/>
      <c r="N735" s="190"/>
      <c r="R735" s="189"/>
      <c r="V735" s="47"/>
    </row>
    <row r="736" spans="5:22" ht="15.75" customHeight="1">
      <c r="E736" s="47"/>
      <c r="H736" s="189"/>
      <c r="I736" s="189"/>
      <c r="J736" s="189"/>
      <c r="K736" s="189"/>
      <c r="L736" s="189"/>
      <c r="M736" s="189"/>
      <c r="N736" s="190"/>
      <c r="R736" s="189"/>
      <c r="V736" s="47"/>
    </row>
    <row r="737" spans="5:22" ht="15.75" customHeight="1">
      <c r="E737" s="47"/>
      <c r="H737" s="189"/>
      <c r="I737" s="189"/>
      <c r="J737" s="189"/>
      <c r="K737" s="189"/>
      <c r="L737" s="189"/>
      <c r="M737" s="189"/>
      <c r="N737" s="190"/>
      <c r="R737" s="189"/>
      <c r="V737" s="47"/>
    </row>
    <row r="738" spans="5:22" ht="15.75" customHeight="1">
      <c r="E738" s="47"/>
      <c r="H738" s="189"/>
      <c r="I738" s="189"/>
      <c r="J738" s="189"/>
      <c r="K738" s="189"/>
      <c r="L738" s="189"/>
      <c r="M738" s="189"/>
      <c r="N738" s="190"/>
      <c r="R738" s="189"/>
      <c r="V738" s="47"/>
    </row>
    <row r="739" spans="5:22" ht="15.75" customHeight="1">
      <c r="E739" s="47"/>
      <c r="H739" s="189"/>
      <c r="I739" s="189"/>
      <c r="J739" s="189"/>
      <c r="K739" s="189"/>
      <c r="L739" s="189"/>
      <c r="M739" s="189"/>
      <c r="N739" s="190"/>
      <c r="R739" s="189"/>
      <c r="V739" s="47"/>
    </row>
    <row r="740" spans="5:22" ht="15.75" customHeight="1">
      <c r="E740" s="47"/>
      <c r="H740" s="189"/>
      <c r="I740" s="189"/>
      <c r="J740" s="189"/>
      <c r="K740" s="189"/>
      <c r="L740" s="189"/>
      <c r="M740" s="189"/>
      <c r="N740" s="190"/>
      <c r="R740" s="189"/>
      <c r="V740" s="47"/>
    </row>
    <row r="741" spans="5:22" ht="15.75" customHeight="1">
      <c r="E741" s="47"/>
      <c r="H741" s="189"/>
      <c r="I741" s="189"/>
      <c r="J741" s="189"/>
      <c r="K741" s="189"/>
      <c r="L741" s="189"/>
      <c r="M741" s="189"/>
      <c r="N741" s="190"/>
      <c r="R741" s="189"/>
      <c r="V741" s="47"/>
    </row>
    <row r="742" spans="5:22" ht="15.75" customHeight="1">
      <c r="E742" s="47"/>
      <c r="H742" s="189"/>
      <c r="I742" s="189"/>
      <c r="J742" s="189"/>
      <c r="K742" s="189"/>
      <c r="L742" s="189"/>
      <c r="M742" s="189"/>
      <c r="N742" s="190"/>
      <c r="R742" s="189"/>
      <c r="V742" s="47"/>
    </row>
    <row r="743" spans="5:22" ht="15.75" customHeight="1">
      <c r="E743" s="47"/>
      <c r="H743" s="189"/>
      <c r="I743" s="189"/>
      <c r="J743" s="189"/>
      <c r="K743" s="189"/>
      <c r="L743" s="189"/>
      <c r="M743" s="189"/>
      <c r="N743" s="190"/>
      <c r="R743" s="189"/>
      <c r="V743" s="47"/>
    </row>
    <row r="744" spans="5:22" ht="15.75" customHeight="1">
      <c r="E744" s="47"/>
      <c r="H744" s="189"/>
      <c r="I744" s="189"/>
      <c r="J744" s="189"/>
      <c r="K744" s="189"/>
      <c r="L744" s="189"/>
      <c r="M744" s="189"/>
      <c r="N744" s="190"/>
      <c r="R744" s="189"/>
      <c r="V744" s="47"/>
    </row>
    <row r="745" spans="5:22" ht="15.75" customHeight="1">
      <c r="E745" s="47"/>
      <c r="H745" s="189"/>
      <c r="I745" s="189"/>
      <c r="J745" s="189"/>
      <c r="K745" s="189"/>
      <c r="L745" s="189"/>
      <c r="M745" s="189"/>
      <c r="N745" s="190"/>
      <c r="R745" s="189"/>
      <c r="V745" s="47"/>
    </row>
    <row r="746" spans="5:22" ht="15.75" customHeight="1">
      <c r="E746" s="47"/>
      <c r="H746" s="189"/>
      <c r="I746" s="189"/>
      <c r="J746" s="189"/>
      <c r="K746" s="189"/>
      <c r="L746" s="189"/>
      <c r="M746" s="189"/>
      <c r="N746" s="190"/>
      <c r="R746" s="189"/>
      <c r="V746" s="47"/>
    </row>
    <row r="747" spans="5:22" ht="15.75" customHeight="1">
      <c r="E747" s="47"/>
      <c r="H747" s="189"/>
      <c r="I747" s="189"/>
      <c r="J747" s="189"/>
      <c r="K747" s="189"/>
      <c r="L747" s="189"/>
      <c r="M747" s="189"/>
      <c r="N747" s="190"/>
      <c r="R747" s="189"/>
      <c r="V747" s="47"/>
    </row>
    <row r="748" spans="5:22" ht="15.75" customHeight="1">
      <c r="E748" s="47"/>
      <c r="H748" s="189"/>
      <c r="I748" s="189"/>
      <c r="J748" s="189"/>
      <c r="K748" s="189"/>
      <c r="L748" s="189"/>
      <c r="M748" s="189"/>
      <c r="N748" s="190"/>
      <c r="R748" s="189"/>
      <c r="V748" s="47"/>
    </row>
    <row r="749" spans="5:22" ht="15.75" customHeight="1">
      <c r="E749" s="47"/>
      <c r="H749" s="189"/>
      <c r="I749" s="189"/>
      <c r="J749" s="189"/>
      <c r="K749" s="189"/>
      <c r="L749" s="189"/>
      <c r="M749" s="189"/>
      <c r="N749" s="190"/>
      <c r="R749" s="189"/>
      <c r="V749" s="47"/>
    </row>
    <row r="750" spans="5:22" ht="15.75" customHeight="1">
      <c r="E750" s="47"/>
      <c r="H750" s="189"/>
      <c r="I750" s="189"/>
      <c r="J750" s="189"/>
      <c r="K750" s="189"/>
      <c r="L750" s="189"/>
      <c r="M750" s="189"/>
      <c r="N750" s="190"/>
      <c r="R750" s="189"/>
      <c r="V750" s="47"/>
    </row>
    <row r="751" spans="5:22" ht="15.75" customHeight="1">
      <c r="E751" s="47"/>
      <c r="H751" s="189"/>
      <c r="I751" s="189"/>
      <c r="J751" s="189"/>
      <c r="K751" s="189"/>
      <c r="L751" s="189"/>
      <c r="M751" s="189"/>
      <c r="N751" s="190"/>
      <c r="R751" s="189"/>
      <c r="V751" s="47"/>
    </row>
    <row r="752" spans="5:22" ht="15.75" customHeight="1">
      <c r="E752" s="47"/>
      <c r="H752" s="189"/>
      <c r="I752" s="189"/>
      <c r="J752" s="189"/>
      <c r="K752" s="189"/>
      <c r="L752" s="189"/>
      <c r="M752" s="189"/>
      <c r="N752" s="190"/>
      <c r="R752" s="189"/>
      <c r="V752" s="47"/>
    </row>
    <row r="753" spans="5:22" ht="15.75" customHeight="1">
      <c r="E753" s="47"/>
      <c r="H753" s="189"/>
      <c r="I753" s="189"/>
      <c r="J753" s="189"/>
      <c r="K753" s="189"/>
      <c r="L753" s="189"/>
      <c r="M753" s="189"/>
      <c r="N753" s="190"/>
      <c r="R753" s="189"/>
      <c r="V753" s="47"/>
    </row>
    <row r="754" spans="5:22" ht="15.75" customHeight="1">
      <c r="E754" s="47"/>
      <c r="H754" s="189"/>
      <c r="I754" s="189"/>
      <c r="J754" s="189"/>
      <c r="K754" s="189"/>
      <c r="L754" s="189"/>
      <c r="M754" s="189"/>
      <c r="N754" s="190"/>
      <c r="R754" s="189"/>
      <c r="V754" s="47"/>
    </row>
    <row r="755" spans="5:22" ht="15.75" customHeight="1">
      <c r="E755" s="47"/>
      <c r="H755" s="189"/>
      <c r="I755" s="189"/>
      <c r="J755" s="189"/>
      <c r="K755" s="189"/>
      <c r="L755" s="189"/>
      <c r="M755" s="189"/>
      <c r="N755" s="190"/>
      <c r="R755" s="189"/>
      <c r="V755" s="47"/>
    </row>
    <row r="756" spans="5:22" ht="15.75" customHeight="1">
      <c r="E756" s="47"/>
      <c r="H756" s="189"/>
      <c r="I756" s="189"/>
      <c r="J756" s="189"/>
      <c r="K756" s="189"/>
      <c r="L756" s="189"/>
      <c r="M756" s="189"/>
      <c r="N756" s="190"/>
      <c r="R756" s="189"/>
      <c r="V756" s="47"/>
    </row>
    <row r="757" spans="5:22" ht="15.75" customHeight="1">
      <c r="E757" s="47"/>
      <c r="H757" s="189"/>
      <c r="I757" s="189"/>
      <c r="J757" s="189"/>
      <c r="K757" s="189"/>
      <c r="L757" s="189"/>
      <c r="M757" s="189"/>
      <c r="N757" s="190"/>
      <c r="R757" s="189"/>
      <c r="V757" s="47"/>
    </row>
    <row r="758" spans="5:22" ht="15.75" customHeight="1">
      <c r="E758" s="47"/>
      <c r="H758" s="189"/>
      <c r="I758" s="189"/>
      <c r="J758" s="189"/>
      <c r="K758" s="189"/>
      <c r="L758" s="189"/>
      <c r="M758" s="189"/>
      <c r="N758" s="190"/>
      <c r="R758" s="189"/>
      <c r="V758" s="47"/>
    </row>
    <row r="759" spans="5:22" ht="15.75" customHeight="1">
      <c r="E759" s="47"/>
      <c r="H759" s="189"/>
      <c r="I759" s="189"/>
      <c r="J759" s="189"/>
      <c r="K759" s="189"/>
      <c r="L759" s="189"/>
      <c r="M759" s="189"/>
      <c r="N759" s="190"/>
      <c r="R759" s="189"/>
      <c r="V759" s="47"/>
    </row>
    <row r="760" spans="5:22" ht="15.75" customHeight="1">
      <c r="E760" s="47"/>
      <c r="H760" s="189"/>
      <c r="I760" s="189"/>
      <c r="J760" s="189"/>
      <c r="K760" s="189"/>
      <c r="L760" s="189"/>
      <c r="M760" s="189"/>
      <c r="N760" s="190"/>
      <c r="R760" s="189"/>
      <c r="V760" s="47"/>
    </row>
    <row r="761" spans="5:22" ht="15.75" customHeight="1">
      <c r="E761" s="47"/>
      <c r="H761" s="189"/>
      <c r="I761" s="189"/>
      <c r="J761" s="189"/>
      <c r="K761" s="189"/>
      <c r="L761" s="189"/>
      <c r="M761" s="189"/>
      <c r="N761" s="190"/>
      <c r="R761" s="189"/>
      <c r="V761" s="47"/>
    </row>
    <row r="762" spans="5:22" ht="15.75" customHeight="1">
      <c r="E762" s="47"/>
      <c r="H762" s="189"/>
      <c r="I762" s="189"/>
      <c r="J762" s="189"/>
      <c r="K762" s="189"/>
      <c r="L762" s="189"/>
      <c r="M762" s="189"/>
      <c r="N762" s="190"/>
      <c r="R762" s="189"/>
      <c r="V762" s="47"/>
    </row>
    <row r="763" spans="5:22" ht="15.75" customHeight="1">
      <c r="E763" s="47"/>
      <c r="H763" s="189"/>
      <c r="I763" s="189"/>
      <c r="J763" s="189"/>
      <c r="K763" s="189"/>
      <c r="L763" s="189"/>
      <c r="M763" s="189"/>
      <c r="N763" s="190"/>
      <c r="R763" s="189"/>
      <c r="V763" s="47"/>
    </row>
    <row r="764" spans="5:22" ht="15.75" customHeight="1">
      <c r="E764" s="47"/>
      <c r="H764" s="189"/>
      <c r="I764" s="189"/>
      <c r="J764" s="189"/>
      <c r="K764" s="189"/>
      <c r="L764" s="189"/>
      <c r="M764" s="189"/>
      <c r="N764" s="190"/>
      <c r="R764" s="189"/>
      <c r="V764" s="47"/>
    </row>
    <row r="765" spans="5:22" ht="15.75" customHeight="1">
      <c r="E765" s="47"/>
      <c r="H765" s="189"/>
      <c r="I765" s="189"/>
      <c r="J765" s="189"/>
      <c r="K765" s="189"/>
      <c r="L765" s="189"/>
      <c r="M765" s="189"/>
      <c r="N765" s="190"/>
      <c r="R765" s="189"/>
      <c r="V765" s="47"/>
    </row>
    <row r="766" spans="5:22" ht="15.75" customHeight="1">
      <c r="E766" s="47"/>
      <c r="H766" s="189"/>
      <c r="I766" s="189"/>
      <c r="J766" s="189"/>
      <c r="K766" s="189"/>
      <c r="L766" s="189"/>
      <c r="M766" s="189"/>
      <c r="N766" s="190"/>
      <c r="R766" s="189"/>
      <c r="V766" s="47"/>
    </row>
    <row r="767" spans="5:22" ht="15.75" customHeight="1">
      <c r="E767" s="47"/>
      <c r="H767" s="189"/>
      <c r="I767" s="189"/>
      <c r="J767" s="189"/>
      <c r="K767" s="189"/>
      <c r="L767" s="189"/>
      <c r="M767" s="189"/>
      <c r="N767" s="190"/>
      <c r="R767" s="189"/>
      <c r="V767" s="47"/>
    </row>
    <row r="768" spans="5:22" ht="15.75" customHeight="1">
      <c r="E768" s="47"/>
      <c r="H768" s="189"/>
      <c r="I768" s="189"/>
      <c r="J768" s="189"/>
      <c r="K768" s="189"/>
      <c r="L768" s="189"/>
      <c r="M768" s="189"/>
      <c r="N768" s="190"/>
      <c r="R768" s="189"/>
      <c r="V768" s="47"/>
    </row>
    <row r="769" spans="5:22" ht="15.75" customHeight="1">
      <c r="E769" s="47"/>
      <c r="H769" s="189"/>
      <c r="I769" s="189"/>
      <c r="J769" s="189"/>
      <c r="K769" s="189"/>
      <c r="L769" s="189"/>
      <c r="M769" s="189"/>
      <c r="N769" s="190"/>
      <c r="R769" s="189"/>
      <c r="V769" s="47"/>
    </row>
    <row r="770" spans="5:22" ht="15.75" customHeight="1">
      <c r="E770" s="47"/>
      <c r="H770" s="189"/>
      <c r="I770" s="189"/>
      <c r="J770" s="189"/>
      <c r="K770" s="189"/>
      <c r="L770" s="189"/>
      <c r="M770" s="189"/>
      <c r="N770" s="190"/>
      <c r="R770" s="189"/>
      <c r="V770" s="47"/>
    </row>
    <row r="771" spans="5:22" ht="15.75" customHeight="1">
      <c r="E771" s="47"/>
      <c r="H771" s="189"/>
      <c r="I771" s="189"/>
      <c r="J771" s="189"/>
      <c r="K771" s="189"/>
      <c r="L771" s="189"/>
      <c r="M771" s="189"/>
      <c r="N771" s="190"/>
      <c r="R771" s="189"/>
      <c r="V771" s="47"/>
    </row>
    <row r="772" spans="5:22" ht="15.75" customHeight="1">
      <c r="E772" s="47"/>
      <c r="H772" s="189"/>
      <c r="I772" s="189"/>
      <c r="J772" s="189"/>
      <c r="K772" s="189"/>
      <c r="L772" s="189"/>
      <c r="M772" s="189"/>
      <c r="N772" s="190"/>
      <c r="R772" s="189"/>
      <c r="V772" s="47"/>
    </row>
    <row r="773" spans="5:22" ht="15.75" customHeight="1">
      <c r="E773" s="47"/>
      <c r="H773" s="189"/>
      <c r="I773" s="189"/>
      <c r="J773" s="189"/>
      <c r="K773" s="189"/>
      <c r="L773" s="189"/>
      <c r="M773" s="189"/>
      <c r="N773" s="190"/>
      <c r="R773" s="189"/>
      <c r="V773" s="47"/>
    </row>
    <row r="774" spans="5:22" ht="15.75" customHeight="1">
      <c r="E774" s="47"/>
      <c r="H774" s="189"/>
      <c r="I774" s="189"/>
      <c r="J774" s="189"/>
      <c r="K774" s="189"/>
      <c r="L774" s="189"/>
      <c r="M774" s="189"/>
      <c r="N774" s="190"/>
      <c r="R774" s="189"/>
      <c r="V774" s="47"/>
    </row>
    <row r="775" spans="5:22" ht="15.75" customHeight="1">
      <c r="E775" s="47"/>
      <c r="H775" s="189"/>
      <c r="I775" s="189"/>
      <c r="J775" s="189"/>
      <c r="K775" s="189"/>
      <c r="L775" s="189"/>
      <c r="M775" s="189"/>
      <c r="N775" s="190"/>
      <c r="R775" s="189"/>
      <c r="V775" s="47"/>
    </row>
    <row r="776" spans="5:22" ht="15.75" customHeight="1">
      <c r="E776" s="47"/>
      <c r="H776" s="189"/>
      <c r="I776" s="189"/>
      <c r="J776" s="189"/>
      <c r="K776" s="189"/>
      <c r="L776" s="189"/>
      <c r="M776" s="189"/>
      <c r="N776" s="190"/>
      <c r="R776" s="189"/>
      <c r="V776" s="47"/>
    </row>
    <row r="777" spans="5:22" ht="15.75" customHeight="1">
      <c r="E777" s="47"/>
      <c r="H777" s="189"/>
      <c r="I777" s="189"/>
      <c r="J777" s="189"/>
      <c r="K777" s="189"/>
      <c r="L777" s="189"/>
      <c r="M777" s="189"/>
      <c r="N777" s="190"/>
      <c r="R777" s="189"/>
      <c r="V777" s="47"/>
    </row>
    <row r="778" spans="5:22" ht="15.75" customHeight="1">
      <c r="E778" s="47"/>
      <c r="H778" s="189"/>
      <c r="I778" s="189"/>
      <c r="J778" s="189"/>
      <c r="K778" s="189"/>
      <c r="L778" s="189"/>
      <c r="M778" s="189"/>
      <c r="N778" s="190"/>
      <c r="R778" s="189"/>
      <c r="V778" s="47"/>
    </row>
    <row r="779" spans="5:22" ht="15.75" customHeight="1">
      <c r="E779" s="47"/>
      <c r="H779" s="189"/>
      <c r="I779" s="189"/>
      <c r="J779" s="189"/>
      <c r="K779" s="189"/>
      <c r="L779" s="189"/>
      <c r="M779" s="189"/>
      <c r="N779" s="190"/>
      <c r="R779" s="189"/>
      <c r="V779" s="47"/>
    </row>
    <row r="780" spans="5:22" ht="15.75" customHeight="1">
      <c r="E780" s="47"/>
      <c r="H780" s="189"/>
      <c r="I780" s="189"/>
      <c r="J780" s="189"/>
      <c r="K780" s="189"/>
      <c r="L780" s="189"/>
      <c r="M780" s="189"/>
      <c r="N780" s="190"/>
      <c r="R780" s="189"/>
      <c r="V780" s="47"/>
    </row>
    <row r="781" spans="5:22" ht="15.75" customHeight="1">
      <c r="E781" s="47"/>
      <c r="H781" s="189"/>
      <c r="I781" s="189"/>
      <c r="J781" s="189"/>
      <c r="K781" s="189"/>
      <c r="L781" s="189"/>
      <c r="M781" s="189"/>
      <c r="N781" s="190"/>
      <c r="R781" s="189"/>
      <c r="V781" s="47"/>
    </row>
    <row r="782" spans="5:22" ht="15.75" customHeight="1">
      <c r="E782" s="47"/>
      <c r="H782" s="189"/>
      <c r="I782" s="189"/>
      <c r="J782" s="189"/>
      <c r="K782" s="189"/>
      <c r="L782" s="189"/>
      <c r="M782" s="189"/>
      <c r="N782" s="190"/>
      <c r="R782" s="189"/>
      <c r="V782" s="47"/>
    </row>
    <row r="783" spans="5:22" ht="15.75" customHeight="1">
      <c r="E783" s="47"/>
      <c r="H783" s="189"/>
      <c r="I783" s="189"/>
      <c r="J783" s="189"/>
      <c r="K783" s="189"/>
      <c r="L783" s="189"/>
      <c r="M783" s="189"/>
      <c r="N783" s="190"/>
      <c r="R783" s="189"/>
      <c r="V783" s="47"/>
    </row>
    <row r="784" spans="5:22" ht="15.75" customHeight="1">
      <c r="E784" s="47"/>
      <c r="H784" s="189"/>
      <c r="I784" s="189"/>
      <c r="J784" s="189"/>
      <c r="K784" s="189"/>
      <c r="L784" s="189"/>
      <c r="M784" s="189"/>
      <c r="N784" s="190"/>
      <c r="R784" s="189"/>
      <c r="V784" s="47"/>
    </row>
    <row r="785" spans="5:22" ht="15.75" customHeight="1">
      <c r="E785" s="47"/>
      <c r="H785" s="189"/>
      <c r="I785" s="189"/>
      <c r="J785" s="189"/>
      <c r="K785" s="189"/>
      <c r="L785" s="189"/>
      <c r="M785" s="189"/>
      <c r="N785" s="190"/>
      <c r="R785" s="189"/>
      <c r="V785" s="47"/>
    </row>
    <row r="786" spans="5:22" ht="15.75" customHeight="1">
      <c r="E786" s="47"/>
      <c r="H786" s="189"/>
      <c r="I786" s="189"/>
      <c r="J786" s="189"/>
      <c r="K786" s="189"/>
      <c r="L786" s="189"/>
      <c r="M786" s="189"/>
      <c r="N786" s="190"/>
      <c r="R786" s="189"/>
      <c r="V786" s="47"/>
    </row>
    <row r="787" spans="5:22" ht="15.75" customHeight="1">
      <c r="E787" s="47"/>
      <c r="H787" s="189"/>
      <c r="I787" s="189"/>
      <c r="J787" s="189"/>
      <c r="K787" s="189"/>
      <c r="L787" s="189"/>
      <c r="M787" s="189"/>
      <c r="N787" s="190"/>
      <c r="R787" s="189"/>
      <c r="V787" s="47"/>
    </row>
    <row r="788" spans="5:22" ht="15.75" customHeight="1">
      <c r="E788" s="47"/>
      <c r="H788" s="189"/>
      <c r="I788" s="189"/>
      <c r="J788" s="189"/>
      <c r="K788" s="189"/>
      <c r="L788" s="189"/>
      <c r="M788" s="189"/>
      <c r="N788" s="190"/>
      <c r="R788" s="189"/>
      <c r="V788" s="47"/>
    </row>
    <row r="789" spans="5:22" ht="15.75" customHeight="1">
      <c r="E789" s="47"/>
      <c r="H789" s="189"/>
      <c r="I789" s="189"/>
      <c r="J789" s="189"/>
      <c r="K789" s="189"/>
      <c r="L789" s="189"/>
      <c r="M789" s="189"/>
      <c r="N789" s="190"/>
      <c r="R789" s="189"/>
      <c r="V789" s="47"/>
    </row>
    <row r="790" spans="5:22" ht="15.75" customHeight="1">
      <c r="E790" s="47"/>
      <c r="H790" s="189"/>
      <c r="I790" s="189"/>
      <c r="J790" s="189"/>
      <c r="K790" s="189"/>
      <c r="L790" s="189"/>
      <c r="M790" s="189"/>
      <c r="N790" s="190"/>
      <c r="R790" s="189"/>
      <c r="V790" s="47"/>
    </row>
    <row r="791" spans="5:22" ht="15.75" customHeight="1">
      <c r="E791" s="47"/>
      <c r="H791" s="189"/>
      <c r="I791" s="189"/>
      <c r="J791" s="189"/>
      <c r="K791" s="189"/>
      <c r="L791" s="189"/>
      <c r="M791" s="189"/>
      <c r="N791" s="190"/>
      <c r="R791" s="189"/>
      <c r="V791" s="47"/>
    </row>
    <row r="792" spans="5:22" ht="15.75" customHeight="1">
      <c r="E792" s="47"/>
      <c r="H792" s="189"/>
      <c r="I792" s="189"/>
      <c r="J792" s="189"/>
      <c r="K792" s="189"/>
      <c r="L792" s="189"/>
      <c r="M792" s="189"/>
      <c r="N792" s="190"/>
      <c r="R792" s="189"/>
      <c r="V792" s="47"/>
    </row>
    <row r="793" spans="5:22" ht="15.75" customHeight="1">
      <c r="E793" s="47"/>
      <c r="H793" s="189"/>
      <c r="I793" s="189"/>
      <c r="J793" s="189"/>
      <c r="K793" s="189"/>
      <c r="L793" s="189"/>
      <c r="M793" s="189"/>
      <c r="N793" s="190"/>
      <c r="R793" s="189"/>
      <c r="V793" s="47"/>
    </row>
    <row r="794" spans="5:22" ht="15.75" customHeight="1">
      <c r="E794" s="47"/>
      <c r="H794" s="189"/>
      <c r="I794" s="189"/>
      <c r="J794" s="189"/>
      <c r="K794" s="189"/>
      <c r="L794" s="189"/>
      <c r="M794" s="189"/>
      <c r="N794" s="190"/>
      <c r="R794" s="189"/>
      <c r="V794" s="47"/>
    </row>
    <row r="795" spans="5:22" ht="15.75" customHeight="1">
      <c r="E795" s="47"/>
      <c r="H795" s="189"/>
      <c r="I795" s="189"/>
      <c r="J795" s="189"/>
      <c r="K795" s="189"/>
      <c r="L795" s="189"/>
      <c r="M795" s="189"/>
      <c r="N795" s="190"/>
      <c r="R795" s="189"/>
      <c r="V795" s="47"/>
    </row>
    <row r="796" spans="5:22" ht="15.75" customHeight="1">
      <c r="E796" s="47"/>
      <c r="H796" s="189"/>
      <c r="I796" s="189"/>
      <c r="J796" s="189"/>
      <c r="K796" s="189"/>
      <c r="L796" s="189"/>
      <c r="M796" s="189"/>
      <c r="N796" s="190"/>
      <c r="R796" s="189"/>
      <c r="V796" s="47"/>
    </row>
    <row r="797" spans="5:22" ht="15.75" customHeight="1">
      <c r="E797" s="47"/>
      <c r="H797" s="189"/>
      <c r="I797" s="189"/>
      <c r="J797" s="189"/>
      <c r="K797" s="189"/>
      <c r="L797" s="189"/>
      <c r="M797" s="189"/>
      <c r="N797" s="190"/>
      <c r="R797" s="189"/>
      <c r="V797" s="47"/>
    </row>
    <row r="798" spans="5:22" ht="15.75" customHeight="1">
      <c r="E798" s="47"/>
      <c r="H798" s="189"/>
      <c r="I798" s="189"/>
      <c r="J798" s="189"/>
      <c r="K798" s="189"/>
      <c r="L798" s="189"/>
      <c r="M798" s="189"/>
      <c r="N798" s="190"/>
      <c r="R798" s="189"/>
      <c r="V798" s="47"/>
    </row>
    <row r="799" spans="5:22" ht="15.75" customHeight="1">
      <c r="E799" s="47"/>
      <c r="H799" s="189"/>
      <c r="I799" s="189"/>
      <c r="J799" s="189"/>
      <c r="K799" s="189"/>
      <c r="L799" s="189"/>
      <c r="M799" s="189"/>
      <c r="N799" s="190"/>
      <c r="R799" s="189"/>
      <c r="V799" s="47"/>
    </row>
    <row r="800" spans="5:22" ht="15.75" customHeight="1">
      <c r="E800" s="47"/>
      <c r="H800" s="189"/>
      <c r="I800" s="189"/>
      <c r="J800" s="189"/>
      <c r="K800" s="189"/>
      <c r="L800" s="189"/>
      <c r="M800" s="189"/>
      <c r="N800" s="190"/>
      <c r="R800" s="189"/>
      <c r="V800" s="47"/>
    </row>
    <row r="801" spans="5:22" ht="15.75" customHeight="1">
      <c r="E801" s="47"/>
      <c r="H801" s="189"/>
      <c r="I801" s="189"/>
      <c r="J801" s="189"/>
      <c r="K801" s="189"/>
      <c r="L801" s="189"/>
      <c r="M801" s="189"/>
      <c r="N801" s="190"/>
      <c r="R801" s="189"/>
      <c r="V801" s="47"/>
    </row>
    <row r="802" spans="5:22" ht="15.75" customHeight="1">
      <c r="E802" s="47"/>
      <c r="H802" s="189"/>
      <c r="I802" s="189"/>
      <c r="J802" s="189"/>
      <c r="K802" s="189"/>
      <c r="L802" s="189"/>
      <c r="M802" s="189"/>
      <c r="N802" s="190"/>
      <c r="R802" s="189"/>
      <c r="V802" s="47"/>
    </row>
    <row r="803" spans="5:22" ht="15.75" customHeight="1">
      <c r="E803" s="47"/>
      <c r="H803" s="189"/>
      <c r="I803" s="189"/>
      <c r="J803" s="189"/>
      <c r="K803" s="189"/>
      <c r="L803" s="189"/>
      <c r="M803" s="189"/>
      <c r="N803" s="190"/>
      <c r="R803" s="189"/>
      <c r="V803" s="47"/>
    </row>
    <row r="804" spans="5:22" ht="15.75" customHeight="1">
      <c r="E804" s="47"/>
      <c r="H804" s="189"/>
      <c r="I804" s="189"/>
      <c r="J804" s="189"/>
      <c r="K804" s="189"/>
      <c r="L804" s="189"/>
      <c r="M804" s="189"/>
      <c r="N804" s="190"/>
      <c r="R804" s="189"/>
      <c r="V804" s="47"/>
    </row>
    <row r="805" spans="5:22" ht="15.75" customHeight="1">
      <c r="E805" s="47"/>
      <c r="H805" s="189"/>
      <c r="I805" s="189"/>
      <c r="J805" s="189"/>
      <c r="K805" s="189"/>
      <c r="L805" s="189"/>
      <c r="M805" s="189"/>
      <c r="N805" s="190"/>
      <c r="R805" s="189"/>
      <c r="V805" s="47"/>
    </row>
    <row r="806" spans="5:22" ht="15.75" customHeight="1">
      <c r="E806" s="47"/>
      <c r="H806" s="189"/>
      <c r="I806" s="189"/>
      <c r="J806" s="189"/>
      <c r="K806" s="189"/>
      <c r="L806" s="189"/>
      <c r="M806" s="189"/>
      <c r="N806" s="190"/>
      <c r="R806" s="189"/>
      <c r="V806" s="47"/>
    </row>
    <row r="807" spans="5:22" ht="15.75" customHeight="1">
      <c r="E807" s="47"/>
      <c r="H807" s="189"/>
      <c r="I807" s="189"/>
      <c r="J807" s="189"/>
      <c r="K807" s="189"/>
      <c r="L807" s="189"/>
      <c r="M807" s="189"/>
      <c r="N807" s="190"/>
      <c r="R807" s="189"/>
      <c r="V807" s="47"/>
    </row>
    <row r="808" spans="5:22" ht="15.75" customHeight="1">
      <c r="E808" s="47"/>
      <c r="H808" s="189"/>
      <c r="I808" s="189"/>
      <c r="J808" s="189"/>
      <c r="K808" s="189"/>
      <c r="L808" s="189"/>
      <c r="M808" s="189"/>
      <c r="N808" s="190"/>
      <c r="R808" s="189"/>
      <c r="V808" s="47"/>
    </row>
    <row r="809" spans="5:22" ht="15.75" customHeight="1">
      <c r="E809" s="47"/>
      <c r="H809" s="189"/>
      <c r="I809" s="189"/>
      <c r="J809" s="189"/>
      <c r="K809" s="189"/>
      <c r="L809" s="189"/>
      <c r="M809" s="189"/>
      <c r="N809" s="190"/>
      <c r="R809" s="189"/>
      <c r="V809" s="47"/>
    </row>
    <row r="810" spans="5:22" ht="15.75" customHeight="1">
      <c r="E810" s="47"/>
      <c r="H810" s="189"/>
      <c r="I810" s="189"/>
      <c r="J810" s="189"/>
      <c r="K810" s="189"/>
      <c r="L810" s="189"/>
      <c r="M810" s="189"/>
      <c r="N810" s="190"/>
      <c r="R810" s="189"/>
      <c r="V810" s="47"/>
    </row>
    <row r="811" spans="5:22" ht="15.75" customHeight="1">
      <c r="E811" s="47"/>
      <c r="H811" s="189"/>
      <c r="I811" s="189"/>
      <c r="J811" s="189"/>
      <c r="K811" s="189"/>
      <c r="L811" s="189"/>
      <c r="M811" s="189"/>
      <c r="N811" s="190"/>
      <c r="R811" s="189"/>
      <c r="V811" s="47"/>
    </row>
    <row r="812" spans="5:22" ht="15.75" customHeight="1">
      <c r="E812" s="47"/>
      <c r="H812" s="189"/>
      <c r="I812" s="189"/>
      <c r="J812" s="189"/>
      <c r="K812" s="189"/>
      <c r="L812" s="189"/>
      <c r="M812" s="189"/>
      <c r="N812" s="190"/>
      <c r="R812" s="189"/>
      <c r="V812" s="47"/>
    </row>
    <row r="813" spans="5:22" ht="15.75" customHeight="1">
      <c r="E813" s="47"/>
      <c r="H813" s="189"/>
      <c r="I813" s="189"/>
      <c r="J813" s="189"/>
      <c r="K813" s="189"/>
      <c r="L813" s="189"/>
      <c r="M813" s="189"/>
      <c r="N813" s="190"/>
      <c r="R813" s="189"/>
      <c r="V813" s="47"/>
    </row>
    <row r="814" spans="5:22" ht="15.75" customHeight="1">
      <c r="E814" s="47"/>
      <c r="H814" s="189"/>
      <c r="I814" s="189"/>
      <c r="J814" s="189"/>
      <c r="K814" s="189"/>
      <c r="L814" s="189"/>
      <c r="M814" s="189"/>
      <c r="N814" s="190"/>
      <c r="R814" s="189"/>
      <c r="V814" s="47"/>
    </row>
    <row r="815" spans="5:22" ht="15.75" customHeight="1">
      <c r="E815" s="47"/>
      <c r="H815" s="189"/>
      <c r="I815" s="189"/>
      <c r="J815" s="189"/>
      <c r="K815" s="189"/>
      <c r="L815" s="189"/>
      <c r="M815" s="189"/>
      <c r="N815" s="190"/>
      <c r="R815" s="189"/>
      <c r="V815" s="47"/>
    </row>
    <row r="816" spans="5:22" ht="15.75" customHeight="1">
      <c r="E816" s="47"/>
      <c r="H816" s="189"/>
      <c r="I816" s="189"/>
      <c r="J816" s="189"/>
      <c r="K816" s="189"/>
      <c r="L816" s="189"/>
      <c r="M816" s="189"/>
      <c r="N816" s="190"/>
      <c r="R816" s="189"/>
      <c r="V816" s="47"/>
    </row>
    <row r="817" spans="5:22" ht="15.75" customHeight="1">
      <c r="E817" s="47"/>
      <c r="H817" s="189"/>
      <c r="I817" s="189"/>
      <c r="J817" s="189"/>
      <c r="K817" s="189"/>
      <c r="L817" s="189"/>
      <c r="M817" s="189"/>
      <c r="N817" s="190"/>
      <c r="R817" s="189"/>
      <c r="V817" s="47"/>
    </row>
    <row r="818" spans="5:22" ht="15.75" customHeight="1">
      <c r="E818" s="47"/>
      <c r="H818" s="189"/>
      <c r="I818" s="189"/>
      <c r="J818" s="189"/>
      <c r="K818" s="189"/>
      <c r="L818" s="189"/>
      <c r="M818" s="189"/>
      <c r="N818" s="190"/>
      <c r="R818" s="189"/>
      <c r="V818" s="47"/>
    </row>
    <row r="819" spans="5:22" ht="15.75" customHeight="1">
      <c r="E819" s="47"/>
      <c r="H819" s="189"/>
      <c r="I819" s="189"/>
      <c r="J819" s="189"/>
      <c r="K819" s="189"/>
      <c r="L819" s="189"/>
      <c r="M819" s="189"/>
      <c r="N819" s="190"/>
      <c r="R819" s="189"/>
      <c r="V819" s="47"/>
    </row>
    <row r="820" spans="5:22" ht="15.75" customHeight="1">
      <c r="E820" s="47"/>
      <c r="H820" s="189"/>
      <c r="I820" s="189"/>
      <c r="J820" s="189"/>
      <c r="K820" s="189"/>
      <c r="L820" s="189"/>
      <c r="M820" s="189"/>
      <c r="N820" s="190"/>
      <c r="R820" s="189"/>
      <c r="V820" s="47"/>
    </row>
    <row r="821" spans="5:22" ht="15.75" customHeight="1">
      <c r="E821" s="47"/>
      <c r="H821" s="189"/>
      <c r="I821" s="189"/>
      <c r="J821" s="189"/>
      <c r="K821" s="189"/>
      <c r="L821" s="189"/>
      <c r="M821" s="189"/>
      <c r="N821" s="190"/>
      <c r="R821" s="189"/>
      <c r="V821" s="47"/>
    </row>
    <row r="822" spans="5:22" ht="15.75" customHeight="1">
      <c r="E822" s="47"/>
      <c r="H822" s="189"/>
      <c r="I822" s="189"/>
      <c r="J822" s="189"/>
      <c r="K822" s="189"/>
      <c r="L822" s="189"/>
      <c r="M822" s="189"/>
      <c r="N822" s="190"/>
      <c r="R822" s="189"/>
      <c r="V822" s="47"/>
    </row>
    <row r="823" spans="5:22" ht="15.75" customHeight="1">
      <c r="E823" s="47"/>
      <c r="H823" s="189"/>
      <c r="I823" s="189"/>
      <c r="J823" s="189"/>
      <c r="K823" s="189"/>
      <c r="L823" s="189"/>
      <c r="M823" s="189"/>
      <c r="N823" s="190"/>
      <c r="R823" s="189"/>
      <c r="V823" s="47"/>
    </row>
    <row r="824" spans="5:22" ht="15.75" customHeight="1">
      <c r="E824" s="47"/>
      <c r="H824" s="189"/>
      <c r="I824" s="189"/>
      <c r="J824" s="189"/>
      <c r="K824" s="189"/>
      <c r="L824" s="189"/>
      <c r="M824" s="189"/>
      <c r="N824" s="190"/>
      <c r="R824" s="189"/>
      <c r="V824" s="47"/>
    </row>
    <row r="825" spans="5:22" ht="15.75" customHeight="1">
      <c r="E825" s="47"/>
      <c r="H825" s="189"/>
      <c r="I825" s="189"/>
      <c r="J825" s="189"/>
      <c r="K825" s="189"/>
      <c r="L825" s="189"/>
      <c r="M825" s="189"/>
      <c r="N825" s="190"/>
      <c r="R825" s="189"/>
      <c r="V825" s="47"/>
    </row>
    <row r="826" spans="5:22" ht="15.75" customHeight="1">
      <c r="E826" s="47"/>
      <c r="H826" s="189"/>
      <c r="I826" s="189"/>
      <c r="J826" s="189"/>
      <c r="K826" s="189"/>
      <c r="L826" s="189"/>
      <c r="M826" s="189"/>
      <c r="N826" s="190"/>
      <c r="R826" s="189"/>
      <c r="V826" s="47"/>
    </row>
    <row r="827" spans="5:22" ht="15.75" customHeight="1">
      <c r="E827" s="47"/>
      <c r="H827" s="189"/>
      <c r="I827" s="189"/>
      <c r="J827" s="189"/>
      <c r="K827" s="189"/>
      <c r="L827" s="189"/>
      <c r="M827" s="189"/>
      <c r="N827" s="190"/>
      <c r="R827" s="189"/>
      <c r="V827" s="47"/>
    </row>
    <row r="828" spans="5:22" ht="15.75" customHeight="1">
      <c r="E828" s="47"/>
      <c r="H828" s="189"/>
      <c r="I828" s="189"/>
      <c r="J828" s="189"/>
      <c r="K828" s="189"/>
      <c r="L828" s="189"/>
      <c r="M828" s="189"/>
      <c r="N828" s="190"/>
      <c r="R828" s="189"/>
      <c r="V828" s="47"/>
    </row>
    <row r="829" spans="5:22" ht="15.75" customHeight="1">
      <c r="E829" s="47"/>
      <c r="H829" s="189"/>
      <c r="I829" s="189"/>
      <c r="J829" s="189"/>
      <c r="K829" s="189"/>
      <c r="L829" s="189"/>
      <c r="M829" s="189"/>
      <c r="N829" s="190"/>
      <c r="R829" s="189"/>
      <c r="V829" s="47"/>
    </row>
    <row r="830" spans="5:22" ht="15.75" customHeight="1">
      <c r="E830" s="47"/>
      <c r="H830" s="189"/>
      <c r="I830" s="189"/>
      <c r="J830" s="189"/>
      <c r="K830" s="189"/>
      <c r="L830" s="189"/>
      <c r="M830" s="189"/>
      <c r="N830" s="190"/>
      <c r="R830" s="189"/>
      <c r="V830" s="47"/>
    </row>
    <row r="831" spans="5:22" ht="15.75" customHeight="1">
      <c r="E831" s="47"/>
      <c r="H831" s="189"/>
      <c r="I831" s="189"/>
      <c r="J831" s="189"/>
      <c r="K831" s="189"/>
      <c r="L831" s="189"/>
      <c r="M831" s="189"/>
      <c r="N831" s="190"/>
      <c r="R831" s="189"/>
      <c r="V831" s="47"/>
    </row>
    <row r="832" spans="5:22" ht="15.75" customHeight="1">
      <c r="E832" s="47"/>
      <c r="H832" s="189"/>
      <c r="I832" s="189"/>
      <c r="J832" s="189"/>
      <c r="K832" s="189"/>
      <c r="L832" s="189"/>
      <c r="M832" s="189"/>
      <c r="N832" s="190"/>
      <c r="R832" s="189"/>
      <c r="V832" s="47"/>
    </row>
    <row r="833" spans="5:22" ht="15.75" customHeight="1">
      <c r="E833" s="47"/>
      <c r="H833" s="189"/>
      <c r="I833" s="189"/>
      <c r="J833" s="189"/>
      <c r="K833" s="189"/>
      <c r="L833" s="189"/>
      <c r="M833" s="189"/>
      <c r="N833" s="190"/>
      <c r="R833" s="189"/>
      <c r="V833" s="47"/>
    </row>
    <row r="834" spans="5:22" ht="15.75" customHeight="1">
      <c r="E834" s="47"/>
      <c r="H834" s="189"/>
      <c r="I834" s="189"/>
      <c r="J834" s="189"/>
      <c r="K834" s="189"/>
      <c r="L834" s="189"/>
      <c r="M834" s="189"/>
      <c r="N834" s="190"/>
      <c r="R834" s="189"/>
      <c r="V834" s="47"/>
    </row>
    <row r="835" spans="5:22" ht="15.75" customHeight="1">
      <c r="E835" s="47"/>
      <c r="H835" s="189"/>
      <c r="I835" s="189"/>
      <c r="J835" s="189"/>
      <c r="K835" s="189"/>
      <c r="L835" s="189"/>
      <c r="M835" s="189"/>
      <c r="N835" s="190"/>
      <c r="R835" s="189"/>
      <c r="V835" s="47"/>
    </row>
    <row r="836" spans="5:22" ht="15.75" customHeight="1">
      <c r="E836" s="47"/>
      <c r="H836" s="189"/>
      <c r="I836" s="189"/>
      <c r="J836" s="189"/>
      <c r="K836" s="189"/>
      <c r="L836" s="189"/>
      <c r="M836" s="189"/>
      <c r="N836" s="190"/>
      <c r="R836" s="189"/>
      <c r="V836" s="47"/>
    </row>
    <row r="837" spans="5:22" ht="15.75" customHeight="1">
      <c r="E837" s="47"/>
      <c r="H837" s="189"/>
      <c r="I837" s="189"/>
      <c r="J837" s="189"/>
      <c r="K837" s="189"/>
      <c r="L837" s="189"/>
      <c r="M837" s="189"/>
      <c r="N837" s="190"/>
      <c r="R837" s="189"/>
      <c r="V837" s="47"/>
    </row>
    <row r="838" spans="5:22" ht="15.75" customHeight="1">
      <c r="E838" s="47"/>
      <c r="H838" s="189"/>
      <c r="I838" s="189"/>
      <c r="J838" s="189"/>
      <c r="K838" s="189"/>
      <c r="L838" s="189"/>
      <c r="M838" s="189"/>
      <c r="N838" s="190"/>
      <c r="R838" s="189"/>
      <c r="V838" s="47"/>
    </row>
    <row r="839" spans="5:22" ht="15.75" customHeight="1">
      <c r="E839" s="47"/>
      <c r="H839" s="189"/>
      <c r="I839" s="189"/>
      <c r="J839" s="189"/>
      <c r="K839" s="189"/>
      <c r="L839" s="189"/>
      <c r="M839" s="189"/>
      <c r="N839" s="190"/>
      <c r="R839" s="189"/>
      <c r="V839" s="47"/>
    </row>
    <row r="840" spans="5:22" ht="15.75" customHeight="1">
      <c r="E840" s="47"/>
      <c r="H840" s="189"/>
      <c r="I840" s="189"/>
      <c r="J840" s="189"/>
      <c r="K840" s="189"/>
      <c r="L840" s="189"/>
      <c r="M840" s="189"/>
      <c r="N840" s="190"/>
      <c r="R840" s="189"/>
      <c r="V840" s="47"/>
    </row>
    <row r="841" spans="5:22" ht="15.75" customHeight="1">
      <c r="E841" s="47"/>
      <c r="H841" s="189"/>
      <c r="I841" s="189"/>
      <c r="J841" s="189"/>
      <c r="K841" s="189"/>
      <c r="L841" s="189"/>
      <c r="M841" s="189"/>
      <c r="N841" s="190"/>
      <c r="R841" s="189"/>
      <c r="V841" s="47"/>
    </row>
    <row r="842" spans="5:22" ht="15.75" customHeight="1">
      <c r="E842" s="47"/>
      <c r="H842" s="189"/>
      <c r="I842" s="189"/>
      <c r="J842" s="189"/>
      <c r="K842" s="189"/>
      <c r="L842" s="189"/>
      <c r="M842" s="189"/>
      <c r="N842" s="190"/>
      <c r="R842" s="189"/>
      <c r="V842" s="47"/>
    </row>
    <row r="843" spans="5:22" ht="15.75" customHeight="1">
      <c r="E843" s="47"/>
      <c r="H843" s="189"/>
      <c r="I843" s="189"/>
      <c r="J843" s="189"/>
      <c r="K843" s="189"/>
      <c r="L843" s="189"/>
      <c r="M843" s="189"/>
      <c r="N843" s="190"/>
      <c r="R843" s="189"/>
      <c r="V843" s="47"/>
    </row>
    <row r="844" spans="5:22" ht="15.75" customHeight="1">
      <c r="E844" s="47"/>
      <c r="H844" s="189"/>
      <c r="I844" s="189"/>
      <c r="J844" s="189"/>
      <c r="K844" s="189"/>
      <c r="L844" s="189"/>
      <c r="M844" s="189"/>
      <c r="N844" s="190"/>
      <c r="R844" s="189"/>
      <c r="V844" s="47"/>
    </row>
    <row r="845" spans="5:22" ht="15.75" customHeight="1">
      <c r="E845" s="47"/>
      <c r="H845" s="189"/>
      <c r="I845" s="189"/>
      <c r="J845" s="189"/>
      <c r="K845" s="189"/>
      <c r="L845" s="189"/>
      <c r="M845" s="189"/>
      <c r="N845" s="190"/>
      <c r="R845" s="189"/>
      <c r="V845" s="47"/>
    </row>
    <row r="846" spans="5:22" ht="15.75" customHeight="1">
      <c r="E846" s="47"/>
      <c r="H846" s="189"/>
      <c r="I846" s="189"/>
      <c r="J846" s="189"/>
      <c r="K846" s="189"/>
      <c r="L846" s="189"/>
      <c r="M846" s="189"/>
      <c r="N846" s="190"/>
      <c r="R846" s="189"/>
      <c r="V846" s="47"/>
    </row>
    <row r="847" spans="5:22" ht="15.75" customHeight="1">
      <c r="E847" s="47"/>
      <c r="H847" s="189"/>
      <c r="I847" s="189"/>
      <c r="J847" s="189"/>
      <c r="K847" s="189"/>
      <c r="L847" s="189"/>
      <c r="M847" s="189"/>
      <c r="N847" s="190"/>
      <c r="R847" s="189"/>
      <c r="V847" s="47"/>
    </row>
    <row r="848" spans="5:22" ht="15.75" customHeight="1">
      <c r="E848" s="47"/>
      <c r="H848" s="189"/>
      <c r="I848" s="189"/>
      <c r="J848" s="189"/>
      <c r="K848" s="189"/>
      <c r="L848" s="189"/>
      <c r="M848" s="189"/>
      <c r="N848" s="190"/>
      <c r="R848" s="189"/>
      <c r="V848" s="47"/>
    </row>
    <row r="849" spans="5:22" ht="15.75" customHeight="1">
      <c r="E849" s="47"/>
      <c r="H849" s="189"/>
      <c r="I849" s="189"/>
      <c r="J849" s="189"/>
      <c r="K849" s="189"/>
      <c r="L849" s="189"/>
      <c r="M849" s="189"/>
      <c r="N849" s="190"/>
      <c r="R849" s="189"/>
      <c r="V849" s="47"/>
    </row>
    <row r="850" spans="5:22" ht="15.75" customHeight="1">
      <c r="E850" s="47"/>
      <c r="H850" s="189"/>
      <c r="I850" s="189"/>
      <c r="J850" s="189"/>
      <c r="K850" s="189"/>
      <c r="L850" s="189"/>
      <c r="M850" s="189"/>
      <c r="N850" s="190"/>
      <c r="R850" s="189"/>
      <c r="V850" s="47"/>
    </row>
    <row r="851" spans="5:22" ht="15.75" customHeight="1">
      <c r="E851" s="47"/>
      <c r="H851" s="189"/>
      <c r="I851" s="189"/>
      <c r="J851" s="189"/>
      <c r="K851" s="189"/>
      <c r="L851" s="189"/>
      <c r="M851" s="189"/>
      <c r="N851" s="190"/>
      <c r="R851" s="189"/>
      <c r="V851" s="47"/>
    </row>
    <row r="852" spans="5:22" ht="15.75" customHeight="1">
      <c r="E852" s="47"/>
      <c r="H852" s="189"/>
      <c r="I852" s="189"/>
      <c r="J852" s="189"/>
      <c r="K852" s="189"/>
      <c r="L852" s="189"/>
      <c r="M852" s="189"/>
      <c r="N852" s="190"/>
      <c r="R852" s="189"/>
      <c r="V852" s="47"/>
    </row>
    <row r="853" spans="5:22" ht="15.75" customHeight="1">
      <c r="E853" s="47"/>
      <c r="H853" s="189"/>
      <c r="I853" s="189"/>
      <c r="J853" s="189"/>
      <c r="K853" s="189"/>
      <c r="L853" s="189"/>
      <c r="M853" s="189"/>
      <c r="N853" s="190"/>
      <c r="R853" s="189"/>
      <c r="V853" s="47"/>
    </row>
    <row r="854" spans="5:22" ht="15.75" customHeight="1">
      <c r="E854" s="47"/>
      <c r="H854" s="189"/>
      <c r="I854" s="189"/>
      <c r="J854" s="189"/>
      <c r="K854" s="189"/>
      <c r="L854" s="189"/>
      <c r="M854" s="189"/>
      <c r="N854" s="190"/>
      <c r="R854" s="189"/>
      <c r="V854" s="47"/>
    </row>
    <row r="855" spans="5:22" ht="15.75" customHeight="1">
      <c r="E855" s="47"/>
      <c r="H855" s="189"/>
      <c r="I855" s="189"/>
      <c r="J855" s="189"/>
      <c r="K855" s="189"/>
      <c r="L855" s="189"/>
      <c r="M855" s="189"/>
      <c r="N855" s="190"/>
      <c r="R855" s="189"/>
      <c r="V855" s="47"/>
    </row>
    <row r="856" spans="5:22" ht="15.75" customHeight="1">
      <c r="E856" s="47"/>
      <c r="H856" s="189"/>
      <c r="I856" s="189"/>
      <c r="J856" s="189"/>
      <c r="K856" s="189"/>
      <c r="L856" s="189"/>
      <c r="M856" s="189"/>
      <c r="N856" s="190"/>
      <c r="R856" s="189"/>
      <c r="V856" s="47"/>
    </row>
    <row r="857" spans="5:22" ht="15.75" customHeight="1">
      <c r="E857" s="47"/>
      <c r="H857" s="189"/>
      <c r="I857" s="189"/>
      <c r="J857" s="189"/>
      <c r="K857" s="189"/>
      <c r="L857" s="189"/>
      <c r="M857" s="189"/>
      <c r="N857" s="190"/>
      <c r="R857" s="189"/>
      <c r="V857" s="47"/>
    </row>
    <row r="858" spans="5:22" ht="15.75" customHeight="1">
      <c r="E858" s="47"/>
      <c r="H858" s="189"/>
      <c r="I858" s="189"/>
      <c r="J858" s="189"/>
      <c r="K858" s="189"/>
      <c r="L858" s="189"/>
      <c r="M858" s="189"/>
      <c r="N858" s="190"/>
      <c r="R858" s="189"/>
      <c r="V858" s="47"/>
    </row>
    <row r="859" spans="5:22" ht="15.75" customHeight="1">
      <c r="E859" s="47"/>
      <c r="H859" s="189"/>
      <c r="I859" s="189"/>
      <c r="J859" s="189"/>
      <c r="K859" s="189"/>
      <c r="L859" s="189"/>
      <c r="M859" s="189"/>
      <c r="N859" s="190"/>
      <c r="R859" s="189"/>
      <c r="V859" s="47"/>
    </row>
    <row r="860" spans="5:22" ht="15.75" customHeight="1">
      <c r="E860" s="47"/>
      <c r="H860" s="189"/>
      <c r="I860" s="189"/>
      <c r="J860" s="189"/>
      <c r="K860" s="189"/>
      <c r="L860" s="189"/>
      <c r="M860" s="189"/>
      <c r="N860" s="190"/>
      <c r="R860" s="189"/>
      <c r="V860" s="47"/>
    </row>
    <row r="861" spans="5:22" ht="15.75" customHeight="1">
      <c r="E861" s="47"/>
      <c r="H861" s="189"/>
      <c r="I861" s="189"/>
      <c r="J861" s="189"/>
      <c r="K861" s="189"/>
      <c r="L861" s="189"/>
      <c r="M861" s="189"/>
      <c r="N861" s="190"/>
      <c r="R861" s="189"/>
      <c r="V861" s="47"/>
    </row>
    <row r="862" spans="5:22" ht="15.75" customHeight="1">
      <c r="E862" s="47"/>
      <c r="H862" s="189"/>
      <c r="I862" s="189"/>
      <c r="J862" s="189"/>
      <c r="K862" s="189"/>
      <c r="L862" s="189"/>
      <c r="M862" s="189"/>
      <c r="N862" s="190"/>
      <c r="R862" s="189"/>
      <c r="V862" s="47"/>
    </row>
    <row r="863" spans="5:22" ht="15.75" customHeight="1">
      <c r="E863" s="47"/>
      <c r="H863" s="189"/>
      <c r="I863" s="189"/>
      <c r="J863" s="189"/>
      <c r="K863" s="189"/>
      <c r="L863" s="189"/>
      <c r="M863" s="189"/>
      <c r="N863" s="190"/>
      <c r="R863" s="189"/>
      <c r="V863" s="47"/>
    </row>
    <row r="864" spans="5:22" ht="15.75" customHeight="1">
      <c r="E864" s="47"/>
      <c r="H864" s="189"/>
      <c r="I864" s="189"/>
      <c r="J864" s="189"/>
      <c r="K864" s="189"/>
      <c r="L864" s="189"/>
      <c r="M864" s="189"/>
      <c r="N864" s="190"/>
      <c r="R864" s="189"/>
      <c r="V864" s="47"/>
    </row>
    <row r="865" spans="5:22" ht="15.75" customHeight="1">
      <c r="E865" s="47"/>
      <c r="H865" s="189"/>
      <c r="I865" s="189"/>
      <c r="J865" s="189"/>
      <c r="K865" s="189"/>
      <c r="L865" s="189"/>
      <c r="M865" s="189"/>
      <c r="N865" s="190"/>
      <c r="R865" s="189"/>
      <c r="V865" s="47"/>
    </row>
    <row r="866" spans="5:22" ht="15.75" customHeight="1">
      <c r="E866" s="47"/>
      <c r="H866" s="189"/>
      <c r="I866" s="189"/>
      <c r="J866" s="189"/>
      <c r="K866" s="189"/>
      <c r="L866" s="189"/>
      <c r="M866" s="189"/>
      <c r="N866" s="190"/>
      <c r="R866" s="189"/>
      <c r="V866" s="47"/>
    </row>
    <row r="867" spans="5:22" ht="15.75" customHeight="1">
      <c r="E867" s="47"/>
      <c r="H867" s="189"/>
      <c r="I867" s="189"/>
      <c r="J867" s="189"/>
      <c r="K867" s="189"/>
      <c r="L867" s="189"/>
      <c r="M867" s="189"/>
      <c r="N867" s="190"/>
      <c r="R867" s="189"/>
      <c r="V867" s="47"/>
    </row>
    <row r="868" spans="5:22" ht="15.75" customHeight="1">
      <c r="E868" s="47"/>
      <c r="H868" s="189"/>
      <c r="I868" s="189"/>
      <c r="J868" s="189"/>
      <c r="K868" s="189"/>
      <c r="L868" s="189"/>
      <c r="M868" s="189"/>
      <c r="N868" s="190"/>
      <c r="R868" s="189"/>
      <c r="V868" s="47"/>
    </row>
    <row r="869" spans="5:22" ht="15.75" customHeight="1">
      <c r="E869" s="47"/>
      <c r="H869" s="189"/>
      <c r="I869" s="189"/>
      <c r="J869" s="189"/>
      <c r="K869" s="189"/>
      <c r="L869" s="189"/>
      <c r="M869" s="189"/>
      <c r="N869" s="190"/>
      <c r="R869" s="189"/>
      <c r="V869" s="47"/>
    </row>
    <row r="870" spans="5:22" ht="15.75" customHeight="1">
      <c r="E870" s="47"/>
      <c r="H870" s="189"/>
      <c r="I870" s="189"/>
      <c r="J870" s="189"/>
      <c r="K870" s="189"/>
      <c r="L870" s="189"/>
      <c r="M870" s="189"/>
      <c r="N870" s="190"/>
      <c r="R870" s="189"/>
      <c r="V870" s="47"/>
    </row>
    <row r="871" spans="5:22" ht="15.75" customHeight="1">
      <c r="E871" s="47"/>
      <c r="H871" s="189"/>
      <c r="I871" s="189"/>
      <c r="J871" s="189"/>
      <c r="K871" s="189"/>
      <c r="L871" s="189"/>
      <c r="M871" s="189"/>
      <c r="N871" s="190"/>
      <c r="R871" s="189"/>
      <c r="V871" s="47"/>
    </row>
    <row r="872" spans="5:22" ht="15.75" customHeight="1">
      <c r="E872" s="47"/>
      <c r="H872" s="189"/>
      <c r="I872" s="189"/>
      <c r="J872" s="189"/>
      <c r="K872" s="189"/>
      <c r="L872" s="189"/>
      <c r="M872" s="189"/>
      <c r="N872" s="190"/>
      <c r="R872" s="189"/>
      <c r="V872" s="47"/>
    </row>
    <row r="873" spans="5:22" ht="15.75" customHeight="1">
      <c r="E873" s="47"/>
      <c r="H873" s="189"/>
      <c r="I873" s="189"/>
      <c r="J873" s="189"/>
      <c r="K873" s="189"/>
      <c r="L873" s="189"/>
      <c r="M873" s="189"/>
      <c r="N873" s="190"/>
      <c r="R873" s="189"/>
      <c r="V873" s="47"/>
    </row>
    <row r="874" spans="5:22" ht="15.75" customHeight="1">
      <c r="E874" s="47"/>
      <c r="H874" s="189"/>
      <c r="I874" s="189"/>
      <c r="J874" s="189"/>
      <c r="K874" s="189"/>
      <c r="L874" s="189"/>
      <c r="M874" s="189"/>
      <c r="N874" s="190"/>
      <c r="R874" s="189"/>
      <c r="V874" s="47"/>
    </row>
    <row r="875" spans="5:22" ht="15.75" customHeight="1">
      <c r="E875" s="47"/>
      <c r="H875" s="189"/>
      <c r="I875" s="189"/>
      <c r="J875" s="189"/>
      <c r="K875" s="189"/>
      <c r="L875" s="189"/>
      <c r="M875" s="189"/>
      <c r="N875" s="190"/>
      <c r="R875" s="189"/>
      <c r="V875" s="47"/>
    </row>
    <row r="876" spans="5:22" ht="15.75" customHeight="1">
      <c r="E876" s="47"/>
      <c r="H876" s="189"/>
      <c r="I876" s="189"/>
      <c r="J876" s="189"/>
      <c r="K876" s="189"/>
      <c r="L876" s="189"/>
      <c r="M876" s="189"/>
      <c r="N876" s="190"/>
      <c r="R876" s="189"/>
      <c r="V876" s="47"/>
    </row>
    <row r="877" spans="5:22" ht="15.75" customHeight="1">
      <c r="E877" s="47"/>
      <c r="H877" s="189"/>
      <c r="I877" s="189"/>
      <c r="J877" s="189"/>
      <c r="K877" s="189"/>
      <c r="L877" s="189"/>
      <c r="M877" s="189"/>
      <c r="N877" s="190"/>
      <c r="R877" s="189"/>
      <c r="V877" s="47"/>
    </row>
    <row r="878" spans="5:22" ht="15.75" customHeight="1">
      <c r="E878" s="47"/>
      <c r="H878" s="189"/>
      <c r="I878" s="189"/>
      <c r="J878" s="189"/>
      <c r="K878" s="189"/>
      <c r="L878" s="189"/>
      <c r="M878" s="189"/>
      <c r="N878" s="190"/>
      <c r="R878" s="189"/>
      <c r="V878" s="47"/>
    </row>
    <row r="879" spans="5:22" ht="15.75" customHeight="1">
      <c r="E879" s="47"/>
      <c r="H879" s="189"/>
      <c r="I879" s="189"/>
      <c r="J879" s="189"/>
      <c r="K879" s="189"/>
      <c r="L879" s="189"/>
      <c r="M879" s="189"/>
      <c r="N879" s="190"/>
      <c r="R879" s="189"/>
      <c r="V879" s="47"/>
    </row>
    <row r="880" spans="5:22" ht="15.75" customHeight="1">
      <c r="E880" s="47"/>
      <c r="H880" s="189"/>
      <c r="I880" s="189"/>
      <c r="J880" s="189"/>
      <c r="K880" s="189"/>
      <c r="L880" s="189"/>
      <c r="M880" s="189"/>
      <c r="N880" s="190"/>
      <c r="R880" s="189"/>
      <c r="V880" s="47"/>
    </row>
    <row r="881" spans="5:22" ht="15.75" customHeight="1">
      <c r="E881" s="47"/>
      <c r="H881" s="189"/>
      <c r="I881" s="189"/>
      <c r="J881" s="189"/>
      <c r="K881" s="189"/>
      <c r="L881" s="189"/>
      <c r="M881" s="189"/>
      <c r="N881" s="190"/>
      <c r="R881" s="189"/>
      <c r="V881" s="47"/>
    </row>
    <row r="882" spans="5:22" ht="15.75" customHeight="1">
      <c r="E882" s="47"/>
      <c r="H882" s="189"/>
      <c r="I882" s="189"/>
      <c r="J882" s="189"/>
      <c r="K882" s="189"/>
      <c r="L882" s="189"/>
      <c r="M882" s="189"/>
      <c r="N882" s="190"/>
      <c r="R882" s="189"/>
      <c r="V882" s="47"/>
    </row>
    <row r="883" spans="5:22" ht="15.75" customHeight="1">
      <c r="E883" s="47"/>
      <c r="H883" s="189"/>
      <c r="I883" s="189"/>
      <c r="J883" s="189"/>
      <c r="K883" s="189"/>
      <c r="L883" s="189"/>
      <c r="M883" s="189"/>
      <c r="N883" s="190"/>
      <c r="R883" s="189"/>
      <c r="V883" s="47"/>
    </row>
    <row r="884" spans="5:22" ht="15.75" customHeight="1">
      <c r="E884" s="47"/>
      <c r="H884" s="189"/>
      <c r="I884" s="189"/>
      <c r="J884" s="189"/>
      <c r="K884" s="189"/>
      <c r="L884" s="189"/>
      <c r="M884" s="189"/>
      <c r="N884" s="190"/>
      <c r="R884" s="189"/>
      <c r="V884" s="47"/>
    </row>
    <row r="885" spans="5:22" ht="15.75" customHeight="1">
      <c r="E885" s="47"/>
      <c r="H885" s="189"/>
      <c r="I885" s="189"/>
      <c r="J885" s="189"/>
      <c r="K885" s="189"/>
      <c r="L885" s="189"/>
      <c r="M885" s="189"/>
      <c r="N885" s="190"/>
      <c r="R885" s="189"/>
      <c r="V885" s="47"/>
    </row>
    <row r="886" spans="5:22" ht="15.75" customHeight="1">
      <c r="E886" s="47"/>
      <c r="H886" s="189"/>
      <c r="I886" s="189"/>
      <c r="J886" s="189"/>
      <c r="K886" s="189"/>
      <c r="L886" s="189"/>
      <c r="M886" s="189"/>
      <c r="N886" s="190"/>
      <c r="R886" s="189"/>
      <c r="V886" s="47"/>
    </row>
    <row r="887" spans="5:22" ht="15.75" customHeight="1">
      <c r="E887" s="47"/>
      <c r="H887" s="189"/>
      <c r="I887" s="189"/>
      <c r="J887" s="189"/>
      <c r="K887" s="189"/>
      <c r="L887" s="189"/>
      <c r="M887" s="189"/>
      <c r="N887" s="190"/>
      <c r="R887" s="189"/>
      <c r="V887" s="47"/>
    </row>
    <row r="888" spans="5:22" ht="15.75" customHeight="1">
      <c r="E888" s="47"/>
      <c r="H888" s="189"/>
      <c r="I888" s="189"/>
      <c r="J888" s="189"/>
      <c r="K888" s="189"/>
      <c r="L888" s="189"/>
      <c r="M888" s="189"/>
      <c r="N888" s="190"/>
      <c r="R888" s="189"/>
      <c r="V888" s="47"/>
    </row>
    <row r="889" spans="5:22" ht="15.75" customHeight="1">
      <c r="E889" s="47"/>
      <c r="H889" s="189"/>
      <c r="I889" s="189"/>
      <c r="J889" s="189"/>
      <c r="K889" s="189"/>
      <c r="L889" s="189"/>
      <c r="M889" s="189"/>
      <c r="N889" s="190"/>
      <c r="R889" s="189"/>
      <c r="V889" s="47"/>
    </row>
    <row r="890" spans="5:22" ht="15.75" customHeight="1">
      <c r="E890" s="47"/>
      <c r="H890" s="189"/>
      <c r="I890" s="189"/>
      <c r="J890" s="189"/>
      <c r="K890" s="189"/>
      <c r="L890" s="189"/>
      <c r="M890" s="189"/>
      <c r="N890" s="190"/>
      <c r="R890" s="189"/>
      <c r="V890" s="47"/>
    </row>
    <row r="891" spans="5:22" ht="15.75" customHeight="1">
      <c r="E891" s="47"/>
      <c r="H891" s="189"/>
      <c r="I891" s="189"/>
      <c r="J891" s="189"/>
      <c r="K891" s="189"/>
      <c r="L891" s="189"/>
      <c r="M891" s="189"/>
      <c r="N891" s="190"/>
      <c r="R891" s="189"/>
      <c r="V891" s="47"/>
    </row>
    <row r="892" spans="5:22" ht="15.75" customHeight="1">
      <c r="E892" s="47"/>
      <c r="H892" s="189"/>
      <c r="I892" s="189"/>
      <c r="J892" s="189"/>
      <c r="K892" s="189"/>
      <c r="L892" s="189"/>
      <c r="M892" s="189"/>
      <c r="N892" s="190"/>
      <c r="R892" s="189"/>
      <c r="V892" s="47"/>
    </row>
    <row r="893" spans="5:22" ht="15.75" customHeight="1">
      <c r="E893" s="47"/>
      <c r="H893" s="189"/>
      <c r="I893" s="189"/>
      <c r="J893" s="189"/>
      <c r="K893" s="189"/>
      <c r="L893" s="189"/>
      <c r="M893" s="189"/>
      <c r="N893" s="190"/>
      <c r="R893" s="189"/>
      <c r="V893" s="47"/>
    </row>
    <row r="894" spans="5:22" ht="15.75" customHeight="1">
      <c r="E894" s="47"/>
      <c r="H894" s="189"/>
      <c r="I894" s="189"/>
      <c r="J894" s="189"/>
      <c r="K894" s="189"/>
      <c r="L894" s="189"/>
      <c r="M894" s="189"/>
      <c r="N894" s="190"/>
      <c r="R894" s="189"/>
      <c r="V894" s="47"/>
    </row>
    <row r="895" spans="5:22" ht="15.75" customHeight="1">
      <c r="E895" s="47"/>
      <c r="H895" s="189"/>
      <c r="I895" s="189"/>
      <c r="J895" s="189"/>
      <c r="K895" s="189"/>
      <c r="L895" s="189"/>
      <c r="M895" s="189"/>
      <c r="N895" s="190"/>
      <c r="R895" s="189"/>
      <c r="V895" s="47"/>
    </row>
    <row r="896" spans="5:22" ht="15.75" customHeight="1">
      <c r="E896" s="47"/>
      <c r="H896" s="189"/>
      <c r="I896" s="189"/>
      <c r="J896" s="189"/>
      <c r="K896" s="189"/>
      <c r="L896" s="189"/>
      <c r="M896" s="189"/>
      <c r="N896" s="190"/>
      <c r="R896" s="189"/>
      <c r="V896" s="47"/>
    </row>
    <row r="897" spans="5:22" ht="15.75" customHeight="1">
      <c r="E897" s="47"/>
      <c r="H897" s="189"/>
      <c r="I897" s="189"/>
      <c r="J897" s="189"/>
      <c r="K897" s="189"/>
      <c r="L897" s="189"/>
      <c r="M897" s="189"/>
      <c r="N897" s="190"/>
      <c r="R897" s="189"/>
      <c r="V897" s="47"/>
    </row>
    <row r="898" spans="5:22" ht="15.75" customHeight="1">
      <c r="E898" s="47"/>
      <c r="H898" s="189"/>
      <c r="I898" s="189"/>
      <c r="J898" s="189"/>
      <c r="K898" s="189"/>
      <c r="L898" s="189"/>
      <c r="M898" s="189"/>
      <c r="N898" s="190"/>
      <c r="R898" s="189"/>
      <c r="V898" s="47"/>
    </row>
    <row r="899" spans="5:22" ht="15.75" customHeight="1">
      <c r="E899" s="47"/>
      <c r="H899" s="189"/>
      <c r="I899" s="189"/>
      <c r="J899" s="189"/>
      <c r="K899" s="189"/>
      <c r="L899" s="189"/>
      <c r="M899" s="189"/>
      <c r="N899" s="190"/>
      <c r="R899" s="189"/>
      <c r="V899" s="47"/>
    </row>
    <row r="900" spans="5:22" ht="15.75" customHeight="1">
      <c r="E900" s="47"/>
      <c r="H900" s="189"/>
      <c r="I900" s="189"/>
      <c r="J900" s="189"/>
      <c r="K900" s="189"/>
      <c r="L900" s="189"/>
      <c r="M900" s="189"/>
      <c r="N900" s="190"/>
      <c r="R900" s="189"/>
      <c r="V900" s="47"/>
    </row>
    <row r="901" spans="5:22" ht="15.75" customHeight="1">
      <c r="E901" s="47"/>
      <c r="H901" s="189"/>
      <c r="I901" s="189"/>
      <c r="J901" s="189"/>
      <c r="K901" s="189"/>
      <c r="L901" s="189"/>
      <c r="M901" s="189"/>
      <c r="N901" s="190"/>
      <c r="R901" s="189"/>
      <c r="V901" s="47"/>
    </row>
    <row r="902" spans="5:22" ht="15.75" customHeight="1">
      <c r="E902" s="47"/>
      <c r="H902" s="189"/>
      <c r="I902" s="189"/>
      <c r="J902" s="189"/>
      <c r="K902" s="189"/>
      <c r="L902" s="189"/>
      <c r="M902" s="189"/>
      <c r="N902" s="190"/>
      <c r="R902" s="189"/>
      <c r="V902" s="47"/>
    </row>
    <row r="903" spans="5:22" ht="15.75" customHeight="1">
      <c r="E903" s="47"/>
      <c r="H903" s="189"/>
      <c r="I903" s="189"/>
      <c r="J903" s="189"/>
      <c r="K903" s="189"/>
      <c r="L903" s="189"/>
      <c r="M903" s="189"/>
      <c r="N903" s="190"/>
      <c r="R903" s="189"/>
      <c r="V903" s="47"/>
    </row>
    <row r="904" spans="5:22" ht="15.75" customHeight="1">
      <c r="E904" s="47"/>
      <c r="H904" s="189"/>
      <c r="I904" s="189"/>
      <c r="J904" s="189"/>
      <c r="K904" s="189"/>
      <c r="L904" s="189"/>
      <c r="M904" s="189"/>
      <c r="N904" s="190"/>
      <c r="R904" s="189"/>
      <c r="V904" s="47"/>
    </row>
    <row r="905" spans="5:22" ht="15.75" customHeight="1">
      <c r="E905" s="47"/>
      <c r="H905" s="189"/>
      <c r="I905" s="189"/>
      <c r="J905" s="189"/>
      <c r="K905" s="189"/>
      <c r="L905" s="189"/>
      <c r="M905" s="189"/>
      <c r="N905" s="190"/>
      <c r="R905" s="189"/>
      <c r="V905" s="47"/>
    </row>
    <row r="906" spans="5:22" ht="15.75" customHeight="1">
      <c r="E906" s="47"/>
      <c r="H906" s="189"/>
      <c r="I906" s="189"/>
      <c r="J906" s="189"/>
      <c r="K906" s="189"/>
      <c r="L906" s="189"/>
      <c r="M906" s="189"/>
      <c r="N906" s="190"/>
      <c r="R906" s="189"/>
      <c r="V906" s="47"/>
    </row>
    <row r="907" spans="5:22" ht="15.75" customHeight="1">
      <c r="E907" s="47"/>
      <c r="H907" s="189"/>
      <c r="I907" s="189"/>
      <c r="J907" s="189"/>
      <c r="K907" s="189"/>
      <c r="L907" s="189"/>
      <c r="M907" s="189"/>
      <c r="N907" s="190"/>
      <c r="R907" s="189"/>
      <c r="V907" s="47"/>
    </row>
    <row r="908" spans="5:22" ht="15.75" customHeight="1">
      <c r="E908" s="47"/>
      <c r="H908" s="189"/>
      <c r="I908" s="189"/>
      <c r="J908" s="189"/>
      <c r="K908" s="189"/>
      <c r="L908" s="189"/>
      <c r="M908" s="189"/>
      <c r="N908" s="190"/>
      <c r="R908" s="189"/>
      <c r="V908" s="47"/>
    </row>
    <row r="909" spans="5:22" ht="15.75" customHeight="1">
      <c r="E909" s="47"/>
      <c r="H909" s="189"/>
      <c r="I909" s="189"/>
      <c r="J909" s="189"/>
      <c r="K909" s="189"/>
      <c r="L909" s="189"/>
      <c r="M909" s="189"/>
      <c r="N909" s="190"/>
      <c r="R909" s="189"/>
      <c r="V909" s="47"/>
    </row>
    <row r="910" spans="5:22" ht="15.75" customHeight="1">
      <c r="E910" s="47"/>
      <c r="H910" s="189"/>
      <c r="I910" s="189"/>
      <c r="J910" s="189"/>
      <c r="K910" s="189"/>
      <c r="L910" s="189"/>
      <c r="M910" s="189"/>
      <c r="N910" s="190"/>
      <c r="R910" s="189"/>
      <c r="V910" s="47"/>
    </row>
    <row r="911" spans="5:22" ht="15.75" customHeight="1">
      <c r="E911" s="47"/>
      <c r="H911" s="189"/>
      <c r="I911" s="189"/>
      <c r="J911" s="189"/>
      <c r="K911" s="189"/>
      <c r="L911" s="189"/>
      <c r="M911" s="189"/>
      <c r="N911" s="190"/>
      <c r="R911" s="189"/>
      <c r="V911" s="47"/>
    </row>
    <row r="912" spans="5:22" ht="15.75" customHeight="1">
      <c r="E912" s="47"/>
      <c r="H912" s="189"/>
      <c r="I912" s="189"/>
      <c r="J912" s="189"/>
      <c r="K912" s="189"/>
      <c r="L912" s="189"/>
      <c r="M912" s="189"/>
      <c r="N912" s="190"/>
      <c r="R912" s="189"/>
      <c r="V912" s="47"/>
    </row>
    <row r="913" spans="5:22" ht="15.75" customHeight="1">
      <c r="E913" s="47"/>
      <c r="H913" s="189"/>
      <c r="I913" s="189"/>
      <c r="J913" s="189"/>
      <c r="K913" s="189"/>
      <c r="L913" s="189"/>
      <c r="M913" s="189"/>
      <c r="N913" s="190"/>
      <c r="R913" s="189"/>
      <c r="V913" s="47"/>
    </row>
    <row r="914" spans="5:22" ht="15.75" customHeight="1">
      <c r="E914" s="47"/>
      <c r="H914" s="189"/>
      <c r="I914" s="189"/>
      <c r="J914" s="189"/>
      <c r="K914" s="189"/>
      <c r="L914" s="189"/>
      <c r="M914" s="189"/>
      <c r="N914" s="190"/>
      <c r="R914" s="189"/>
      <c r="V914" s="47"/>
    </row>
    <row r="915" spans="5:22" ht="15.75" customHeight="1">
      <c r="E915" s="47"/>
      <c r="H915" s="189"/>
      <c r="I915" s="189"/>
      <c r="J915" s="189"/>
      <c r="K915" s="189"/>
      <c r="L915" s="189"/>
      <c r="M915" s="189"/>
      <c r="N915" s="190"/>
      <c r="R915" s="189"/>
      <c r="V915" s="47"/>
    </row>
    <row r="916" spans="5:22" ht="15.75" customHeight="1">
      <c r="E916" s="47"/>
      <c r="H916" s="189"/>
      <c r="I916" s="189"/>
      <c r="J916" s="189"/>
      <c r="K916" s="189"/>
      <c r="L916" s="189"/>
      <c r="M916" s="189"/>
      <c r="N916" s="190"/>
      <c r="R916" s="189"/>
      <c r="V916" s="47"/>
    </row>
    <row r="917" spans="5:22" ht="15.75" customHeight="1">
      <c r="E917" s="47"/>
      <c r="H917" s="189"/>
      <c r="I917" s="189"/>
      <c r="J917" s="189"/>
      <c r="K917" s="189"/>
      <c r="L917" s="189"/>
      <c r="M917" s="189"/>
      <c r="N917" s="190"/>
      <c r="R917" s="189"/>
      <c r="V917" s="47"/>
    </row>
    <row r="918" spans="5:22" ht="15.75" customHeight="1">
      <c r="E918" s="47"/>
      <c r="H918" s="189"/>
      <c r="I918" s="189"/>
      <c r="J918" s="189"/>
      <c r="K918" s="189"/>
      <c r="L918" s="189"/>
      <c r="M918" s="189"/>
      <c r="N918" s="190"/>
      <c r="R918" s="189"/>
      <c r="V918" s="47"/>
    </row>
    <row r="919" spans="5:22" ht="15.75" customHeight="1">
      <c r="E919" s="47"/>
      <c r="H919" s="189"/>
      <c r="I919" s="189"/>
      <c r="J919" s="189"/>
      <c r="K919" s="189"/>
      <c r="L919" s="189"/>
      <c r="M919" s="189"/>
      <c r="N919" s="190"/>
      <c r="R919" s="189"/>
      <c r="V919" s="47"/>
    </row>
    <row r="920" spans="5:22" ht="15.75" customHeight="1">
      <c r="E920" s="47"/>
      <c r="H920" s="189"/>
      <c r="I920" s="189"/>
      <c r="J920" s="189"/>
      <c r="K920" s="189"/>
      <c r="L920" s="189"/>
      <c r="M920" s="189"/>
      <c r="N920" s="190"/>
      <c r="R920" s="189"/>
      <c r="V920" s="47"/>
    </row>
    <row r="921" spans="5:22" ht="15.75" customHeight="1">
      <c r="E921" s="47"/>
      <c r="H921" s="189"/>
      <c r="I921" s="189"/>
      <c r="J921" s="189"/>
      <c r="K921" s="189"/>
      <c r="L921" s="189"/>
      <c r="M921" s="189"/>
      <c r="N921" s="190"/>
      <c r="R921" s="189"/>
      <c r="V921" s="47"/>
    </row>
    <row r="922" spans="5:22" ht="15.75" customHeight="1">
      <c r="E922" s="47"/>
      <c r="H922" s="189"/>
      <c r="I922" s="189"/>
      <c r="J922" s="189"/>
      <c r="K922" s="189"/>
      <c r="L922" s="189"/>
      <c r="M922" s="189"/>
      <c r="N922" s="190"/>
      <c r="R922" s="189"/>
      <c r="V922" s="47"/>
    </row>
    <row r="923" spans="5:22" ht="15.75" customHeight="1">
      <c r="E923" s="47"/>
      <c r="H923" s="189"/>
      <c r="I923" s="189"/>
      <c r="J923" s="189"/>
      <c r="K923" s="189"/>
      <c r="L923" s="189"/>
      <c r="M923" s="189"/>
      <c r="N923" s="190"/>
      <c r="R923" s="189"/>
      <c r="V923" s="47"/>
    </row>
    <row r="924" spans="5:22" ht="15.75" customHeight="1">
      <c r="E924" s="47"/>
      <c r="H924" s="189"/>
      <c r="I924" s="189"/>
      <c r="J924" s="189"/>
      <c r="K924" s="189"/>
      <c r="L924" s="189"/>
      <c r="M924" s="189"/>
      <c r="N924" s="190"/>
      <c r="R924" s="189"/>
      <c r="V924" s="47"/>
    </row>
    <row r="925" spans="5:22" ht="15.75" customHeight="1">
      <c r="E925" s="47"/>
      <c r="H925" s="189"/>
      <c r="I925" s="189"/>
      <c r="J925" s="189"/>
      <c r="K925" s="189"/>
      <c r="L925" s="189"/>
      <c r="M925" s="189"/>
      <c r="N925" s="190"/>
      <c r="R925" s="189"/>
      <c r="V925" s="47"/>
    </row>
    <row r="926" spans="5:22" ht="15.75" customHeight="1">
      <c r="E926" s="47"/>
      <c r="H926" s="189"/>
      <c r="I926" s="189"/>
      <c r="J926" s="189"/>
      <c r="K926" s="189"/>
      <c r="L926" s="189"/>
      <c r="M926" s="189"/>
      <c r="N926" s="190"/>
      <c r="R926" s="189"/>
      <c r="V926" s="47"/>
    </row>
    <row r="927" spans="5:22" ht="15.75" customHeight="1">
      <c r="E927" s="47"/>
      <c r="H927" s="189"/>
      <c r="I927" s="189"/>
      <c r="J927" s="189"/>
      <c r="K927" s="189"/>
      <c r="L927" s="189"/>
      <c r="M927" s="189"/>
      <c r="N927" s="190"/>
      <c r="R927" s="189"/>
      <c r="V927" s="47"/>
    </row>
    <row r="928" spans="5:22" ht="15.75" customHeight="1">
      <c r="E928" s="47"/>
      <c r="H928" s="189"/>
      <c r="I928" s="189"/>
      <c r="J928" s="189"/>
      <c r="K928" s="189"/>
      <c r="L928" s="189"/>
      <c r="M928" s="189"/>
      <c r="N928" s="190"/>
      <c r="R928" s="189"/>
      <c r="V928" s="47"/>
    </row>
    <row r="929" spans="5:22" ht="15.75" customHeight="1">
      <c r="E929" s="47"/>
      <c r="H929" s="189"/>
      <c r="I929" s="189"/>
      <c r="J929" s="189"/>
      <c r="K929" s="189"/>
      <c r="L929" s="189"/>
      <c r="M929" s="189"/>
      <c r="N929" s="190"/>
      <c r="R929" s="189"/>
      <c r="V929" s="47"/>
    </row>
    <row r="930" spans="5:22" ht="15.75" customHeight="1">
      <c r="E930" s="47"/>
      <c r="H930" s="189"/>
      <c r="I930" s="189"/>
      <c r="J930" s="189"/>
      <c r="K930" s="189"/>
      <c r="L930" s="189"/>
      <c r="M930" s="189"/>
      <c r="N930" s="190"/>
      <c r="R930" s="189"/>
      <c r="V930" s="47"/>
    </row>
    <row r="931" spans="5:22" ht="15.75" customHeight="1">
      <c r="E931" s="47"/>
      <c r="H931" s="189"/>
      <c r="I931" s="189"/>
      <c r="J931" s="189"/>
      <c r="K931" s="189"/>
      <c r="L931" s="189"/>
      <c r="M931" s="189"/>
      <c r="N931" s="190"/>
      <c r="R931" s="189"/>
      <c r="V931" s="47"/>
    </row>
    <row r="932" spans="5:22" ht="15.75" customHeight="1">
      <c r="E932" s="47"/>
      <c r="H932" s="189"/>
      <c r="I932" s="189"/>
      <c r="J932" s="189"/>
      <c r="K932" s="189"/>
      <c r="L932" s="189"/>
      <c r="M932" s="189"/>
      <c r="N932" s="190"/>
      <c r="R932" s="189"/>
      <c r="V932" s="47"/>
    </row>
    <row r="933" spans="5:22" ht="15.75" customHeight="1">
      <c r="E933" s="47"/>
      <c r="H933" s="189"/>
      <c r="I933" s="189"/>
      <c r="J933" s="189"/>
      <c r="K933" s="189"/>
      <c r="L933" s="189"/>
      <c r="M933" s="189"/>
      <c r="N933" s="190"/>
      <c r="R933" s="189"/>
      <c r="V933" s="47"/>
    </row>
    <row r="934" spans="5:22" ht="15.75" customHeight="1">
      <c r="E934" s="47"/>
      <c r="H934" s="189"/>
      <c r="I934" s="189"/>
      <c r="J934" s="189"/>
      <c r="K934" s="189"/>
      <c r="L934" s="189"/>
      <c r="M934" s="189"/>
      <c r="N934" s="190"/>
      <c r="R934" s="189"/>
      <c r="V934" s="47"/>
    </row>
    <row r="935" spans="5:22" ht="15.75" customHeight="1">
      <c r="E935" s="47"/>
      <c r="H935" s="189"/>
      <c r="I935" s="189"/>
      <c r="J935" s="189"/>
      <c r="K935" s="189"/>
      <c r="L935" s="189"/>
      <c r="M935" s="189"/>
      <c r="N935" s="190"/>
      <c r="R935" s="189"/>
      <c r="V935" s="47"/>
    </row>
    <row r="936" spans="5:22" ht="15.75" customHeight="1">
      <c r="E936" s="47"/>
      <c r="H936" s="189"/>
      <c r="I936" s="189"/>
      <c r="J936" s="189"/>
      <c r="K936" s="189"/>
      <c r="L936" s="189"/>
      <c r="M936" s="189"/>
      <c r="N936" s="190"/>
      <c r="R936" s="189"/>
      <c r="V936" s="47"/>
    </row>
    <row r="937" spans="5:22" ht="15.75" customHeight="1">
      <c r="E937" s="47"/>
      <c r="H937" s="189"/>
      <c r="I937" s="189"/>
      <c r="J937" s="189"/>
      <c r="K937" s="189"/>
      <c r="L937" s="189"/>
      <c r="M937" s="189"/>
      <c r="N937" s="190"/>
      <c r="R937" s="189"/>
      <c r="V937" s="47"/>
    </row>
    <row r="938" spans="5:22" ht="15.75" customHeight="1">
      <c r="E938" s="47"/>
      <c r="H938" s="189"/>
      <c r="I938" s="189"/>
      <c r="J938" s="189"/>
      <c r="K938" s="189"/>
      <c r="L938" s="189"/>
      <c r="M938" s="189"/>
      <c r="N938" s="190"/>
      <c r="R938" s="189"/>
      <c r="V938" s="47"/>
    </row>
    <row r="939" spans="5:22" ht="15.75" customHeight="1">
      <c r="E939" s="47"/>
      <c r="H939" s="189"/>
      <c r="I939" s="189"/>
      <c r="J939" s="189"/>
      <c r="K939" s="189"/>
      <c r="L939" s="189"/>
      <c r="M939" s="189"/>
      <c r="N939" s="190"/>
      <c r="R939" s="189"/>
      <c r="V939" s="47"/>
    </row>
    <row r="940" spans="5:22" ht="15.75" customHeight="1">
      <c r="E940" s="47"/>
      <c r="H940" s="189"/>
      <c r="I940" s="189"/>
      <c r="J940" s="189"/>
      <c r="K940" s="189"/>
      <c r="L940" s="189"/>
      <c r="M940" s="189"/>
      <c r="N940" s="190"/>
      <c r="R940" s="189"/>
      <c r="V940" s="47"/>
    </row>
    <row r="941" spans="5:22" ht="15.75" customHeight="1">
      <c r="E941" s="47"/>
      <c r="H941" s="189"/>
      <c r="I941" s="189"/>
      <c r="J941" s="189"/>
      <c r="K941" s="189"/>
      <c r="L941" s="189"/>
      <c r="M941" s="189"/>
      <c r="N941" s="190"/>
      <c r="R941" s="189"/>
      <c r="V941" s="47"/>
    </row>
    <row r="942" spans="5:22" ht="15.75" customHeight="1">
      <c r="E942" s="47"/>
      <c r="H942" s="189"/>
      <c r="I942" s="189"/>
      <c r="J942" s="189"/>
      <c r="K942" s="189"/>
      <c r="L942" s="189"/>
      <c r="M942" s="189"/>
      <c r="N942" s="190"/>
      <c r="R942" s="189"/>
      <c r="V942" s="47"/>
    </row>
    <row r="943" spans="5:22" ht="15.75" customHeight="1">
      <c r="E943" s="47"/>
      <c r="H943" s="189"/>
      <c r="I943" s="189"/>
      <c r="J943" s="189"/>
      <c r="K943" s="189"/>
      <c r="L943" s="189"/>
      <c r="M943" s="189"/>
      <c r="N943" s="190"/>
      <c r="R943" s="189"/>
      <c r="V943" s="47"/>
    </row>
    <row r="944" spans="5:22" ht="15.75" customHeight="1">
      <c r="E944" s="47"/>
      <c r="H944" s="189"/>
      <c r="I944" s="189"/>
      <c r="J944" s="189"/>
      <c r="K944" s="189"/>
      <c r="L944" s="189"/>
      <c r="M944" s="189"/>
      <c r="N944" s="190"/>
      <c r="R944" s="189"/>
      <c r="V944" s="47"/>
    </row>
    <row r="945" spans="5:22" ht="15.75" customHeight="1">
      <c r="E945" s="47"/>
      <c r="H945" s="189"/>
      <c r="I945" s="189"/>
      <c r="J945" s="189"/>
      <c r="K945" s="189"/>
      <c r="L945" s="189"/>
      <c r="M945" s="189"/>
      <c r="N945" s="190"/>
      <c r="R945" s="189"/>
      <c r="V945" s="47"/>
    </row>
    <row r="946" spans="5:22" ht="15.75" customHeight="1">
      <c r="E946" s="47"/>
      <c r="H946" s="189"/>
      <c r="I946" s="189"/>
      <c r="J946" s="189"/>
      <c r="K946" s="189"/>
      <c r="L946" s="189"/>
      <c r="M946" s="189"/>
      <c r="N946" s="190"/>
      <c r="R946" s="189"/>
      <c r="V946" s="47"/>
    </row>
    <row r="947" spans="5:22" ht="15.75" customHeight="1">
      <c r="E947" s="47"/>
      <c r="H947" s="189"/>
      <c r="I947" s="189"/>
      <c r="J947" s="189"/>
      <c r="K947" s="189"/>
      <c r="L947" s="189"/>
      <c r="M947" s="189"/>
      <c r="N947" s="190"/>
      <c r="R947" s="189"/>
      <c r="V947" s="47"/>
    </row>
    <row r="948" spans="5:22" ht="15.75" customHeight="1">
      <c r="E948" s="47"/>
      <c r="H948" s="189"/>
      <c r="I948" s="189"/>
      <c r="J948" s="189"/>
      <c r="K948" s="189"/>
      <c r="L948" s="189"/>
      <c r="M948" s="189"/>
      <c r="N948" s="190"/>
      <c r="R948" s="189"/>
      <c r="V948" s="47"/>
    </row>
    <row r="949" spans="5:22" ht="15.75" customHeight="1">
      <c r="E949" s="47"/>
      <c r="H949" s="189"/>
      <c r="I949" s="189"/>
      <c r="J949" s="189"/>
      <c r="K949" s="189"/>
      <c r="L949" s="189"/>
      <c r="M949" s="189"/>
      <c r="N949" s="190"/>
      <c r="R949" s="189"/>
      <c r="V949" s="47"/>
    </row>
    <row r="950" spans="5:22" ht="15.75" customHeight="1">
      <c r="E950" s="47"/>
      <c r="H950" s="189"/>
      <c r="I950" s="189"/>
      <c r="J950" s="189"/>
      <c r="K950" s="189"/>
      <c r="L950" s="189"/>
      <c r="M950" s="189"/>
      <c r="N950" s="190"/>
      <c r="R950" s="189"/>
      <c r="V950" s="47"/>
    </row>
    <row r="951" spans="5:22" ht="15.75" customHeight="1">
      <c r="E951" s="47"/>
      <c r="H951" s="189"/>
      <c r="I951" s="189"/>
      <c r="J951" s="189"/>
      <c r="K951" s="189"/>
      <c r="L951" s="189"/>
      <c r="M951" s="189"/>
      <c r="N951" s="190"/>
      <c r="R951" s="189"/>
      <c r="V951" s="47"/>
    </row>
    <row r="952" spans="5:22" ht="15.75" customHeight="1">
      <c r="E952" s="47"/>
      <c r="H952" s="189"/>
      <c r="I952" s="189"/>
      <c r="J952" s="189"/>
      <c r="K952" s="189"/>
      <c r="L952" s="189"/>
      <c r="M952" s="189"/>
      <c r="N952" s="190"/>
      <c r="R952" s="189"/>
      <c r="V952" s="47"/>
    </row>
    <row r="953" spans="5:22" ht="15.75" customHeight="1">
      <c r="E953" s="47"/>
      <c r="H953" s="189"/>
      <c r="I953" s="189"/>
      <c r="J953" s="189"/>
      <c r="K953" s="189"/>
      <c r="L953" s="189"/>
      <c r="M953" s="189"/>
      <c r="N953" s="190"/>
      <c r="R953" s="189"/>
      <c r="V953" s="47"/>
    </row>
    <row r="954" spans="5:22" ht="15.75" customHeight="1">
      <c r="E954" s="47"/>
      <c r="H954" s="189"/>
      <c r="I954" s="189"/>
      <c r="J954" s="189"/>
      <c r="K954" s="189"/>
      <c r="L954" s="189"/>
      <c r="M954" s="189"/>
      <c r="N954" s="190"/>
      <c r="R954" s="189"/>
      <c r="V954" s="47"/>
    </row>
    <row r="955" spans="5:22" ht="15.75" customHeight="1">
      <c r="E955" s="47"/>
      <c r="H955" s="189"/>
      <c r="I955" s="189"/>
      <c r="J955" s="189"/>
      <c r="K955" s="189"/>
      <c r="L955" s="189"/>
      <c r="M955" s="189"/>
      <c r="N955" s="190"/>
      <c r="R955" s="189"/>
      <c r="V955" s="47"/>
    </row>
    <row r="956" spans="5:22" ht="15.75" customHeight="1">
      <c r="E956" s="47"/>
      <c r="H956" s="189"/>
      <c r="I956" s="189"/>
      <c r="J956" s="189"/>
      <c r="K956" s="189"/>
      <c r="L956" s="189"/>
      <c r="M956" s="189"/>
      <c r="N956" s="190"/>
      <c r="R956" s="189"/>
      <c r="V956" s="47"/>
    </row>
    <row r="957" spans="5:22" ht="15.75" customHeight="1">
      <c r="E957" s="47"/>
      <c r="H957" s="189"/>
      <c r="I957" s="189"/>
      <c r="J957" s="189"/>
      <c r="K957" s="189"/>
      <c r="L957" s="189"/>
      <c r="M957" s="189"/>
      <c r="N957" s="190"/>
      <c r="R957" s="189"/>
      <c r="V957" s="47"/>
    </row>
    <row r="958" spans="5:22" ht="15.75" customHeight="1">
      <c r="E958" s="47"/>
      <c r="H958" s="189"/>
      <c r="I958" s="189"/>
      <c r="J958" s="189"/>
      <c r="K958" s="189"/>
      <c r="L958" s="189"/>
      <c r="M958" s="189"/>
      <c r="N958" s="190"/>
      <c r="R958" s="189"/>
      <c r="V958" s="47"/>
    </row>
    <row r="959" spans="5:22" ht="15.75" customHeight="1">
      <c r="E959" s="47"/>
      <c r="H959" s="189"/>
      <c r="I959" s="189"/>
      <c r="J959" s="189"/>
      <c r="K959" s="189"/>
      <c r="L959" s="189"/>
      <c r="M959" s="189"/>
      <c r="N959" s="190"/>
      <c r="R959" s="189"/>
      <c r="V959" s="47"/>
    </row>
    <row r="960" spans="5:22" ht="15.75" customHeight="1">
      <c r="E960" s="47"/>
      <c r="H960" s="189"/>
      <c r="I960" s="189"/>
      <c r="J960" s="189"/>
      <c r="K960" s="189"/>
      <c r="L960" s="189"/>
      <c r="M960" s="189"/>
      <c r="N960" s="190"/>
      <c r="R960" s="189"/>
      <c r="V960" s="47"/>
    </row>
    <row r="961" spans="5:22" ht="15.75" customHeight="1">
      <c r="E961" s="47"/>
      <c r="H961" s="189"/>
      <c r="I961" s="189"/>
      <c r="J961" s="189"/>
      <c r="K961" s="189"/>
      <c r="L961" s="189"/>
      <c r="M961" s="189"/>
      <c r="N961" s="190"/>
      <c r="R961" s="189"/>
      <c r="V961" s="47"/>
    </row>
    <row r="962" spans="5:22" ht="15.75" customHeight="1">
      <c r="E962" s="47"/>
      <c r="H962" s="189"/>
      <c r="I962" s="189"/>
      <c r="J962" s="189"/>
      <c r="K962" s="189"/>
      <c r="L962" s="189"/>
      <c r="M962" s="189"/>
      <c r="N962" s="190"/>
      <c r="R962" s="189"/>
      <c r="V962" s="47"/>
    </row>
    <row r="963" spans="5:22" ht="15.75" customHeight="1">
      <c r="E963" s="47"/>
      <c r="H963" s="189"/>
      <c r="I963" s="189"/>
      <c r="J963" s="189"/>
      <c r="K963" s="189"/>
      <c r="L963" s="189"/>
      <c r="M963" s="189"/>
      <c r="N963" s="190"/>
      <c r="R963" s="189"/>
      <c r="V963" s="47"/>
    </row>
    <row r="964" spans="5:22" ht="15.75" customHeight="1">
      <c r="E964" s="47"/>
      <c r="H964" s="189"/>
      <c r="I964" s="189"/>
      <c r="J964" s="189"/>
      <c r="K964" s="189"/>
      <c r="L964" s="189"/>
      <c r="M964" s="189"/>
      <c r="N964" s="190"/>
      <c r="R964" s="189"/>
      <c r="V964" s="47"/>
    </row>
    <row r="965" spans="5:22" ht="15.75" customHeight="1">
      <c r="E965" s="47"/>
      <c r="H965" s="189"/>
      <c r="I965" s="189"/>
      <c r="J965" s="189"/>
      <c r="K965" s="189"/>
      <c r="L965" s="189"/>
      <c r="M965" s="189"/>
      <c r="N965" s="190"/>
      <c r="R965" s="189"/>
      <c r="V965" s="47"/>
    </row>
    <row r="966" spans="5:22" ht="15.75" customHeight="1">
      <c r="E966" s="47"/>
      <c r="H966" s="189"/>
      <c r="I966" s="189"/>
      <c r="J966" s="189"/>
      <c r="K966" s="189"/>
      <c r="L966" s="189"/>
      <c r="M966" s="189"/>
      <c r="N966" s="190"/>
      <c r="R966" s="189"/>
      <c r="V966" s="47"/>
    </row>
    <row r="967" spans="5:22" ht="15.75" customHeight="1">
      <c r="E967" s="47"/>
      <c r="H967" s="189"/>
      <c r="I967" s="189"/>
      <c r="J967" s="189"/>
      <c r="K967" s="189"/>
      <c r="L967" s="189"/>
      <c r="M967" s="189"/>
      <c r="N967" s="190"/>
      <c r="R967" s="189"/>
      <c r="V967" s="47"/>
    </row>
    <row r="968" spans="5:22" ht="15.75" customHeight="1">
      <c r="E968" s="47"/>
      <c r="H968" s="189"/>
      <c r="I968" s="189"/>
      <c r="J968" s="189"/>
      <c r="K968" s="189"/>
      <c r="L968" s="189"/>
      <c r="M968" s="189"/>
      <c r="N968" s="190"/>
      <c r="R968" s="189"/>
      <c r="V968" s="47"/>
    </row>
    <row r="969" spans="5:22" ht="15.75" customHeight="1">
      <c r="E969" s="47"/>
      <c r="H969" s="189"/>
      <c r="I969" s="189"/>
      <c r="J969" s="189"/>
      <c r="K969" s="189"/>
      <c r="L969" s="189"/>
      <c r="M969" s="189"/>
      <c r="N969" s="190"/>
      <c r="R969" s="189"/>
      <c r="V969" s="47"/>
    </row>
    <row r="970" spans="5:22" ht="15.75" customHeight="1">
      <c r="E970" s="47"/>
      <c r="H970" s="189"/>
      <c r="I970" s="189"/>
      <c r="J970" s="189"/>
      <c r="K970" s="189"/>
      <c r="L970" s="189"/>
      <c r="M970" s="189"/>
      <c r="N970" s="190"/>
      <c r="R970" s="189"/>
      <c r="V970" s="47"/>
    </row>
    <row r="971" spans="5:22" ht="15.75" customHeight="1">
      <c r="E971" s="47"/>
      <c r="H971" s="189"/>
      <c r="I971" s="189"/>
      <c r="J971" s="189"/>
      <c r="K971" s="189"/>
      <c r="L971" s="189"/>
      <c r="M971" s="189"/>
      <c r="N971" s="190"/>
      <c r="R971" s="189"/>
      <c r="V971" s="47"/>
    </row>
    <row r="972" spans="5:22" ht="15.75" customHeight="1">
      <c r="E972" s="47"/>
      <c r="H972" s="189"/>
      <c r="I972" s="189"/>
      <c r="J972" s="189"/>
      <c r="K972" s="189"/>
      <c r="L972" s="189"/>
      <c r="M972" s="189"/>
      <c r="N972" s="190"/>
      <c r="R972" s="189"/>
      <c r="V972" s="47"/>
    </row>
    <row r="973" spans="5:22" ht="15.75" customHeight="1">
      <c r="E973" s="47"/>
      <c r="H973" s="189"/>
      <c r="I973" s="189"/>
      <c r="J973" s="189"/>
      <c r="K973" s="189"/>
      <c r="L973" s="189"/>
      <c r="M973" s="189"/>
      <c r="N973" s="190"/>
      <c r="R973" s="189"/>
      <c r="V973" s="47"/>
    </row>
    <row r="974" spans="5:22" ht="15.75" customHeight="1">
      <c r="E974" s="47"/>
      <c r="H974" s="189"/>
      <c r="I974" s="189"/>
      <c r="J974" s="189"/>
      <c r="K974" s="189"/>
      <c r="L974" s="189"/>
      <c r="M974" s="189"/>
      <c r="N974" s="190"/>
      <c r="R974" s="189"/>
      <c r="V974" s="47"/>
    </row>
    <row r="975" spans="5:22" ht="15.75" customHeight="1">
      <c r="E975" s="47"/>
      <c r="H975" s="189"/>
      <c r="I975" s="189"/>
      <c r="J975" s="189"/>
      <c r="K975" s="189"/>
      <c r="L975" s="189"/>
      <c r="M975" s="189"/>
      <c r="N975" s="190"/>
      <c r="R975" s="189"/>
      <c r="V975" s="47"/>
    </row>
    <row r="976" spans="5:22" ht="15.75" customHeight="1">
      <c r="E976" s="47"/>
      <c r="H976" s="189"/>
      <c r="I976" s="189"/>
      <c r="J976" s="189"/>
      <c r="K976" s="189"/>
      <c r="L976" s="189"/>
      <c r="M976" s="189"/>
      <c r="N976" s="190"/>
      <c r="R976" s="189"/>
      <c r="V976" s="47"/>
    </row>
    <row r="977" spans="5:22" ht="15.75" customHeight="1">
      <c r="E977" s="47"/>
      <c r="H977" s="189"/>
      <c r="I977" s="189"/>
      <c r="J977" s="189"/>
      <c r="K977" s="189"/>
      <c r="L977" s="189"/>
      <c r="M977" s="189"/>
      <c r="N977" s="190"/>
      <c r="R977" s="189"/>
      <c r="V977" s="47"/>
    </row>
    <row r="978" spans="5:22" ht="15.75" customHeight="1">
      <c r="E978" s="47"/>
      <c r="H978" s="189"/>
      <c r="I978" s="189"/>
      <c r="J978" s="189"/>
      <c r="K978" s="189"/>
      <c r="L978" s="189"/>
      <c r="M978" s="189"/>
      <c r="N978" s="190"/>
      <c r="R978" s="189"/>
      <c r="V978" s="47"/>
    </row>
    <row r="979" spans="5:22" ht="15.75" customHeight="1">
      <c r="E979" s="47"/>
      <c r="H979" s="189"/>
      <c r="I979" s="189"/>
      <c r="J979" s="189"/>
      <c r="K979" s="189"/>
      <c r="L979" s="189"/>
      <c r="M979" s="189"/>
      <c r="N979" s="190"/>
      <c r="R979" s="189"/>
      <c r="V979" s="47"/>
    </row>
    <row r="980" spans="5:22" ht="15.75" customHeight="1">
      <c r="E980" s="47"/>
      <c r="H980" s="189"/>
      <c r="I980" s="189"/>
      <c r="J980" s="189"/>
      <c r="K980" s="189"/>
      <c r="L980" s="189"/>
      <c r="M980" s="189"/>
      <c r="N980" s="190"/>
      <c r="R980" s="189"/>
      <c r="V980" s="47"/>
    </row>
    <row r="981" spans="5:22" ht="15.75" customHeight="1">
      <c r="E981" s="47"/>
      <c r="H981" s="189"/>
      <c r="I981" s="189"/>
      <c r="J981" s="189"/>
      <c r="K981" s="189"/>
      <c r="L981" s="189"/>
      <c r="M981" s="189"/>
      <c r="N981" s="190"/>
      <c r="R981" s="189"/>
      <c r="V981" s="47"/>
    </row>
    <row r="982" spans="5:22" ht="15.75" customHeight="1">
      <c r="E982" s="47"/>
      <c r="H982" s="189"/>
      <c r="I982" s="189"/>
      <c r="J982" s="189"/>
      <c r="K982" s="189"/>
      <c r="L982" s="189"/>
      <c r="M982" s="189"/>
      <c r="N982" s="190"/>
      <c r="R982" s="189"/>
      <c r="V982" s="47"/>
    </row>
    <row r="983" spans="5:22" ht="15.75" customHeight="1">
      <c r="E983" s="47"/>
      <c r="H983" s="189"/>
      <c r="I983" s="189"/>
      <c r="J983" s="189"/>
      <c r="K983" s="189"/>
      <c r="L983" s="189"/>
      <c r="M983" s="189"/>
      <c r="N983" s="190"/>
      <c r="R983" s="189"/>
      <c r="V983" s="47"/>
    </row>
    <row r="984" spans="5:22" ht="15.75" customHeight="1">
      <c r="E984" s="47"/>
      <c r="H984" s="189"/>
      <c r="I984" s="189"/>
      <c r="J984" s="189"/>
      <c r="K984" s="189"/>
      <c r="L984" s="189"/>
      <c r="M984" s="189"/>
      <c r="N984" s="190"/>
      <c r="R984" s="189"/>
      <c r="V984" s="47"/>
    </row>
    <row r="985" spans="5:22" ht="15.75" customHeight="1">
      <c r="E985" s="47"/>
      <c r="H985" s="189"/>
      <c r="I985" s="189"/>
      <c r="J985" s="189"/>
      <c r="K985" s="189"/>
      <c r="L985" s="189"/>
      <c r="M985" s="189"/>
      <c r="N985" s="190"/>
      <c r="R985" s="189"/>
      <c r="V985" s="47"/>
    </row>
    <row r="986" spans="5:22" ht="15.75" customHeight="1">
      <c r="E986" s="47"/>
      <c r="H986" s="189"/>
      <c r="I986" s="189"/>
      <c r="J986" s="189"/>
      <c r="K986" s="189"/>
      <c r="L986" s="189"/>
      <c r="M986" s="189"/>
      <c r="N986" s="190"/>
      <c r="R986" s="189"/>
      <c r="V986" s="47"/>
    </row>
    <row r="987" spans="5:22" ht="15.75" customHeight="1">
      <c r="E987" s="47"/>
      <c r="H987" s="189"/>
      <c r="I987" s="189"/>
      <c r="J987" s="189"/>
      <c r="K987" s="189"/>
      <c r="L987" s="189"/>
      <c r="M987" s="189"/>
      <c r="N987" s="190"/>
      <c r="R987" s="189"/>
      <c r="V987" s="47"/>
    </row>
    <row r="988" spans="5:22" ht="15.75" customHeight="1">
      <c r="E988" s="47"/>
      <c r="H988" s="189"/>
      <c r="I988" s="189"/>
      <c r="J988" s="189"/>
      <c r="K988" s="189"/>
      <c r="L988" s="189"/>
      <c r="M988" s="189"/>
      <c r="N988" s="190"/>
      <c r="R988" s="189"/>
      <c r="V988" s="47"/>
    </row>
    <row r="989" spans="5:22" ht="15.75" customHeight="1">
      <c r="E989" s="47"/>
      <c r="H989" s="189"/>
      <c r="I989" s="189"/>
      <c r="J989" s="189"/>
      <c r="K989" s="189"/>
      <c r="L989" s="189"/>
      <c r="M989" s="189"/>
      <c r="N989" s="190"/>
      <c r="R989" s="189"/>
      <c r="V989" s="47"/>
    </row>
    <row r="990" spans="5:22" ht="15.75" customHeight="1">
      <c r="E990" s="47"/>
      <c r="H990" s="189"/>
      <c r="I990" s="189"/>
      <c r="J990" s="189"/>
      <c r="K990" s="189"/>
      <c r="L990" s="189"/>
      <c r="M990" s="189"/>
      <c r="N990" s="190"/>
      <c r="R990" s="189"/>
      <c r="V990" s="47"/>
    </row>
    <row r="991" spans="5:22" ht="15.75" customHeight="1">
      <c r="E991" s="47"/>
      <c r="H991" s="189"/>
      <c r="I991" s="189"/>
      <c r="J991" s="189"/>
      <c r="K991" s="189"/>
      <c r="L991" s="189"/>
      <c r="M991" s="189"/>
      <c r="N991" s="190"/>
      <c r="R991" s="189"/>
      <c r="V991" s="47"/>
    </row>
    <row r="992" spans="5:22" ht="15.75" customHeight="1">
      <c r="E992" s="47"/>
      <c r="H992" s="189"/>
      <c r="I992" s="189"/>
      <c r="J992" s="189"/>
      <c r="K992" s="189"/>
      <c r="L992" s="189"/>
      <c r="M992" s="189"/>
      <c r="N992" s="190"/>
      <c r="R992" s="189"/>
      <c r="V992" s="47"/>
    </row>
    <row r="993" spans="5:22" ht="15.75" customHeight="1">
      <c r="E993" s="47"/>
      <c r="H993" s="189"/>
      <c r="I993" s="189"/>
      <c r="J993" s="189"/>
      <c r="K993" s="189"/>
      <c r="L993" s="189"/>
      <c r="M993" s="189"/>
      <c r="N993" s="190"/>
      <c r="R993" s="189"/>
      <c r="V993" s="47"/>
    </row>
    <row r="994" spans="5:22" ht="15.75" customHeight="1">
      <c r="E994" s="47"/>
      <c r="H994" s="189"/>
      <c r="I994" s="189"/>
      <c r="J994" s="189"/>
      <c r="K994" s="189"/>
      <c r="L994" s="189"/>
      <c r="M994" s="189"/>
      <c r="N994" s="190"/>
      <c r="R994" s="189"/>
      <c r="V994" s="47"/>
    </row>
    <row r="995" spans="5:22" ht="15.75" customHeight="1">
      <c r="E995" s="47"/>
      <c r="H995" s="189"/>
      <c r="I995" s="189"/>
      <c r="J995" s="189"/>
      <c r="K995" s="189"/>
      <c r="L995" s="189"/>
      <c r="M995" s="189"/>
      <c r="N995" s="190"/>
      <c r="R995" s="189"/>
      <c r="V995" s="47"/>
    </row>
    <row r="996" spans="5:22" ht="15.75" customHeight="1">
      <c r="E996" s="47"/>
      <c r="H996" s="189"/>
      <c r="I996" s="189"/>
      <c r="J996" s="189"/>
      <c r="K996" s="189"/>
      <c r="L996" s="189"/>
      <c r="M996" s="189"/>
      <c r="N996" s="190"/>
      <c r="R996" s="189"/>
      <c r="V996" s="47"/>
    </row>
    <row r="997" spans="5:22" ht="15.75" customHeight="1">
      <c r="E997" s="47"/>
      <c r="H997" s="189"/>
      <c r="I997" s="189"/>
      <c r="J997" s="189"/>
      <c r="K997" s="189"/>
      <c r="L997" s="189"/>
      <c r="M997" s="189"/>
      <c r="N997" s="190"/>
      <c r="R997" s="189"/>
      <c r="V997" s="47"/>
    </row>
    <row r="998" spans="5:22" ht="15.75" customHeight="1">
      <c r="E998" s="47"/>
      <c r="H998" s="189"/>
      <c r="I998" s="189"/>
      <c r="J998" s="189"/>
      <c r="K998" s="189"/>
      <c r="L998" s="189"/>
      <c r="M998" s="189"/>
      <c r="N998" s="190"/>
      <c r="R998" s="189"/>
      <c r="V998" s="47"/>
    </row>
    <row r="999" spans="5:22" ht="15.75" customHeight="1">
      <c r="E999" s="47"/>
      <c r="H999" s="189"/>
      <c r="I999" s="189"/>
      <c r="J999" s="189"/>
      <c r="K999" s="189"/>
      <c r="L999" s="189"/>
      <c r="M999" s="189"/>
      <c r="N999" s="190"/>
      <c r="R999" s="189"/>
      <c r="V999" s="47"/>
    </row>
    <row r="1000" spans="5:22" ht="15.75" customHeight="1">
      <c r="E1000" s="47"/>
      <c r="H1000" s="189"/>
      <c r="I1000" s="189"/>
      <c r="J1000" s="189"/>
      <c r="K1000" s="189"/>
      <c r="L1000" s="189"/>
      <c r="M1000" s="189"/>
      <c r="N1000" s="190"/>
      <c r="R1000" s="189"/>
      <c r="V1000" s="47"/>
    </row>
    <row r="1001" spans="5:22" ht="15.75" customHeight="1">
      <c r="E1001" s="47"/>
      <c r="H1001" s="189"/>
      <c r="I1001" s="189"/>
      <c r="J1001" s="189"/>
      <c r="K1001" s="189"/>
      <c r="L1001" s="189"/>
      <c r="M1001" s="189"/>
      <c r="N1001" s="190"/>
      <c r="R1001" s="189"/>
      <c r="V1001" s="47"/>
    </row>
    <row r="1002" spans="5:22" ht="15.75" customHeight="1">
      <c r="E1002" s="47"/>
      <c r="H1002" s="189"/>
      <c r="I1002" s="189"/>
      <c r="J1002" s="189"/>
      <c r="K1002" s="189"/>
      <c r="L1002" s="189"/>
      <c r="M1002" s="189"/>
      <c r="N1002" s="190"/>
      <c r="R1002" s="189"/>
      <c r="V1002" s="47"/>
    </row>
    <row r="1003" spans="5:22" ht="15.75" customHeight="1">
      <c r="E1003" s="47"/>
      <c r="H1003" s="189"/>
      <c r="I1003" s="189"/>
      <c r="J1003" s="189"/>
      <c r="K1003" s="189"/>
      <c r="L1003" s="189"/>
      <c r="M1003" s="189"/>
      <c r="N1003" s="190"/>
      <c r="R1003" s="189"/>
      <c r="V1003" s="47"/>
    </row>
  </sheetData>
  <autoFilter ref="A1:Z57">
    <filterColumn colId="3">
      <filters>
        <filter val="Data Science and Big Data"/>
      </filters>
    </filterColumn>
  </autoFilter>
  <dataValidations count="1">
    <dataValidation type="list" allowBlank="1" showErrorMessage="1" sqref="D2:D57 D59:D66 D72 D74:D76">
      <formula1>#REF!</formula1>
    </dataValidation>
  </dataValidations>
  <hyperlinks>
    <hyperlink ref="Q2" r:id="rId1"/>
    <hyperlink ref="Q3" r:id="rId2"/>
    <hyperlink ref="P4" r:id="rId3"/>
    <hyperlink ref="Q4" r:id="rId4"/>
    <hyperlink ref="U4" r:id="rId5"/>
    <hyperlink ref="P5" r:id="rId6"/>
    <hyperlink ref="Q5" r:id="rId7"/>
    <hyperlink ref="U5" r:id="rId8"/>
    <hyperlink ref="P6" r:id="rId9"/>
    <hyperlink ref="Q6" r:id="rId10"/>
    <hyperlink ref="U6" r:id="rId11"/>
    <hyperlink ref="P7" r:id="rId12"/>
    <hyperlink ref="Q7" r:id="rId13"/>
    <hyperlink ref="U7" r:id="rId14"/>
    <hyperlink ref="F8" r:id="rId15"/>
    <hyperlink ref="P8" r:id="rId16"/>
    <hyperlink ref="Q8" r:id="rId17"/>
    <hyperlink ref="U8" r:id="rId18"/>
    <hyperlink ref="P9" r:id="rId19"/>
    <hyperlink ref="Q9" r:id="rId20"/>
    <hyperlink ref="U9" r:id="rId21"/>
    <hyperlink ref="P10" r:id="rId22"/>
    <hyperlink ref="Q10" r:id="rId23"/>
    <hyperlink ref="U10" r:id="rId24"/>
    <hyperlink ref="G11" r:id="rId25"/>
    <hyperlink ref="P11" r:id="rId26"/>
    <hyperlink ref="Q11" r:id="rId27"/>
    <hyperlink ref="U11" r:id="rId28"/>
    <hyperlink ref="P12" r:id="rId29"/>
    <hyperlink ref="Q12" r:id="rId30"/>
    <hyperlink ref="U12" r:id="rId31"/>
    <hyperlink ref="P13" r:id="rId32"/>
    <hyperlink ref="Q13" r:id="rId33"/>
    <hyperlink ref="U13" r:id="rId34"/>
    <hyperlink ref="P14" r:id="rId35"/>
    <hyperlink ref="Q14" r:id="rId36"/>
    <hyperlink ref="U14" r:id="rId37"/>
    <hyperlink ref="P15" r:id="rId38"/>
    <hyperlink ref="Q15" r:id="rId39"/>
    <hyperlink ref="U15" r:id="rId40"/>
    <hyperlink ref="Q16" r:id="rId41"/>
    <hyperlink ref="U16" r:id="rId42"/>
    <hyperlink ref="Q17" r:id="rId43"/>
    <hyperlink ref="U17" r:id="rId44"/>
    <hyperlink ref="Q18" r:id="rId45"/>
    <hyperlink ref="U18" r:id="rId46"/>
    <hyperlink ref="P19" r:id="rId47"/>
    <hyperlink ref="Q19" r:id="rId48"/>
    <hyperlink ref="U19" r:id="rId49"/>
    <hyperlink ref="P20" r:id="rId50"/>
    <hyperlink ref="Q20" r:id="rId51"/>
    <hyperlink ref="P21" r:id="rId52"/>
    <hyperlink ref="Q21" r:id="rId53"/>
    <hyperlink ref="U21" r:id="rId54"/>
    <hyperlink ref="Q22" r:id="rId55" location="21"/>
    <hyperlink ref="U22" r:id="rId56"/>
    <hyperlink ref="P23" r:id="rId57"/>
    <hyperlink ref="Q23" r:id="rId58"/>
    <hyperlink ref="U23" r:id="rId59"/>
    <hyperlink ref="P24" r:id="rId60"/>
    <hyperlink ref="Q24" r:id="rId61"/>
    <hyperlink ref="U24" r:id="rId62"/>
    <hyperlink ref="P25" r:id="rId63"/>
    <hyperlink ref="Q25" r:id="rId64"/>
    <hyperlink ref="U25" r:id="rId65"/>
    <hyperlink ref="P26" r:id="rId66"/>
    <hyperlink ref="Q26" r:id="rId67" location="citeas"/>
    <hyperlink ref="U26" r:id="rId68"/>
    <hyperlink ref="P27" r:id="rId69"/>
    <hyperlink ref="Q27" r:id="rId70"/>
    <hyperlink ref="U27" r:id="rId71"/>
    <hyperlink ref="P28" r:id="rId72"/>
    <hyperlink ref="Q28" r:id="rId73"/>
    <hyperlink ref="U28" r:id="rId74"/>
    <hyperlink ref="P29" r:id="rId75"/>
    <hyperlink ref="Q29" r:id="rId76"/>
    <hyperlink ref="U29" r:id="rId77"/>
    <hyperlink ref="P30" r:id="rId78"/>
    <hyperlink ref="Q30" r:id="rId79"/>
    <hyperlink ref="U30" r:id="rId80"/>
    <hyperlink ref="P31" r:id="rId81"/>
    <hyperlink ref="Q31" r:id="rId82" location="Information"/>
    <hyperlink ref="U31" r:id="rId83"/>
    <hyperlink ref="P32" r:id="rId84"/>
    <hyperlink ref="Q32" r:id="rId85"/>
    <hyperlink ref="U32" r:id="rId86"/>
    <hyperlink ref="P33" r:id="rId87"/>
    <hyperlink ref="Q33" r:id="rId88"/>
    <hyperlink ref="U33" r:id="rId89"/>
    <hyperlink ref="P34" r:id="rId90"/>
    <hyperlink ref="Q34" r:id="rId91"/>
    <hyperlink ref="U34" r:id="rId92"/>
    <hyperlink ref="P35" r:id="rId93"/>
    <hyperlink ref="Q35" r:id="rId94"/>
    <hyperlink ref="U35" r:id="rId95"/>
    <hyperlink ref="P36" r:id="rId96"/>
    <hyperlink ref="Q36" r:id="rId97"/>
    <hyperlink ref="U36" r:id="rId98"/>
    <hyperlink ref="P37" r:id="rId99"/>
    <hyperlink ref="Q37" r:id="rId100"/>
    <hyperlink ref="U37" r:id="rId101"/>
    <hyperlink ref="P38" r:id="rId102"/>
    <hyperlink ref="Q38" r:id="rId103"/>
    <hyperlink ref="U38" r:id="rId104"/>
    <hyperlink ref="P39" r:id="rId105"/>
    <hyperlink ref="Q39" r:id="rId106"/>
    <hyperlink ref="U39" r:id="rId107"/>
    <hyperlink ref="P40" r:id="rId108"/>
    <hyperlink ref="Q40" r:id="rId109"/>
    <hyperlink ref="U40" r:id="rId110"/>
    <hyperlink ref="P41" r:id="rId111"/>
    <hyperlink ref="Q41" r:id="rId112"/>
    <hyperlink ref="U41" r:id="rId113"/>
    <hyperlink ref="Q42" r:id="rId114"/>
    <hyperlink ref="U42" r:id="rId115"/>
    <hyperlink ref="P43" r:id="rId116"/>
    <hyperlink ref="Q43" r:id="rId117"/>
    <hyperlink ref="U43" r:id="rId118"/>
    <hyperlink ref="Q44" r:id="rId119"/>
    <hyperlink ref="U44" r:id="rId120"/>
    <hyperlink ref="Q45" r:id="rId121"/>
    <hyperlink ref="U45" r:id="rId122"/>
    <hyperlink ref="F46" r:id="rId123"/>
    <hyperlink ref="P46" r:id="rId124"/>
    <hyperlink ref="Q46" r:id="rId125"/>
    <hyperlink ref="U46" r:id="rId126"/>
    <hyperlink ref="P47" r:id="rId127"/>
    <hyperlink ref="Q47" r:id="rId128"/>
    <hyperlink ref="U47" r:id="rId129"/>
    <hyperlink ref="P48" r:id="rId130"/>
    <hyperlink ref="Q48" r:id="rId131"/>
    <hyperlink ref="U48" r:id="rId132"/>
    <hyperlink ref="P49" r:id="rId133"/>
    <hyperlink ref="Q49" r:id="rId134"/>
    <hyperlink ref="U49" r:id="rId135"/>
    <hyperlink ref="P50" r:id="rId136"/>
    <hyperlink ref="Q50" r:id="rId137"/>
    <hyperlink ref="U50" r:id="rId138"/>
    <hyperlink ref="P51" r:id="rId139"/>
    <hyperlink ref="Q51" r:id="rId140"/>
    <hyperlink ref="U51" r:id="rId141"/>
    <hyperlink ref="P52" r:id="rId142"/>
    <hyperlink ref="Q52" r:id="rId143"/>
    <hyperlink ref="U52" r:id="rId144"/>
    <hyperlink ref="P53" r:id="rId145"/>
    <hyperlink ref="Q53" r:id="rId146"/>
    <hyperlink ref="U53" r:id="rId147"/>
    <hyperlink ref="P54" r:id="rId148"/>
    <hyperlink ref="Q54" r:id="rId149"/>
    <hyperlink ref="U54" r:id="rId150"/>
    <hyperlink ref="P55" r:id="rId151"/>
    <hyperlink ref="Q55" r:id="rId152"/>
    <hyperlink ref="U55" r:id="rId153"/>
    <hyperlink ref="P56" r:id="rId154"/>
    <hyperlink ref="Q56" r:id="rId155"/>
    <hyperlink ref="U56" r:id="rId156"/>
    <hyperlink ref="P57" r:id="rId157"/>
    <hyperlink ref="Q57" r:id="rId158"/>
    <hyperlink ref="P59" r:id="rId159"/>
    <hyperlink ref="Q59" r:id="rId160"/>
    <hyperlink ref="U59" r:id="rId161"/>
    <hyperlink ref="P60" r:id="rId162"/>
    <hyperlink ref="Q60" r:id="rId163"/>
    <hyperlink ref="U60" r:id="rId164"/>
    <hyperlink ref="P61" r:id="rId165"/>
    <hyperlink ref="Q61" r:id="rId166"/>
    <hyperlink ref="U61" r:id="rId167"/>
    <hyperlink ref="E62" r:id="rId168"/>
    <hyperlink ref="P62" r:id="rId169"/>
    <hyperlink ref="Q62" r:id="rId170"/>
    <hyperlink ref="U62" r:id="rId171"/>
    <hyperlink ref="P63" r:id="rId172"/>
    <hyperlink ref="Q63" r:id="rId173"/>
    <hyperlink ref="U63" r:id="rId174"/>
    <hyperlink ref="G64" r:id="rId175"/>
    <hyperlink ref="P64" r:id="rId176"/>
    <hyperlink ref="Q64" r:id="rId177"/>
    <hyperlink ref="P65" r:id="rId178"/>
    <hyperlink ref="Q65" r:id="rId179"/>
    <hyperlink ref="U65" r:id="rId180"/>
    <hyperlink ref="P66" r:id="rId181"/>
    <hyperlink ref="Q66" r:id="rId182"/>
    <hyperlink ref="U66" r:id="rId183"/>
    <hyperlink ref="P67" r:id="rId184"/>
    <hyperlink ref="U67" r:id="rId185"/>
    <hyperlink ref="P68" r:id="rId186"/>
    <hyperlink ref="Q68" r:id="rId187" location="citeas"/>
    <hyperlink ref="U68" r:id="rId188"/>
    <hyperlink ref="P69" r:id="rId189"/>
    <hyperlink ref="Q69" r:id="rId190"/>
    <hyperlink ref="U69" r:id="rId191"/>
    <hyperlink ref="P70" r:id="rId192"/>
    <hyperlink ref="Q70" r:id="rId193"/>
    <hyperlink ref="U70" r:id="rId194"/>
    <hyperlink ref="P71" r:id="rId195"/>
    <hyperlink ref="Q71" r:id="rId196"/>
    <hyperlink ref="U71" r:id="rId197"/>
    <hyperlink ref="P72" r:id="rId198"/>
    <hyperlink ref="Q72" r:id="rId199" location="citeas"/>
    <hyperlink ref="U72" r:id="rId200"/>
    <hyperlink ref="P73" r:id="rId201"/>
    <hyperlink ref="Q73" r:id="rId202"/>
    <hyperlink ref="U73" r:id="rId203"/>
    <hyperlink ref="P74" r:id="rId204"/>
    <hyperlink ref="Q74" r:id="rId205"/>
    <hyperlink ref="U74" r:id="rId206"/>
    <hyperlink ref="P75" r:id="rId207"/>
    <hyperlink ref="Q75" r:id="rId208"/>
    <hyperlink ref="U75" r:id="rId209"/>
    <hyperlink ref="P76" r:id="rId210"/>
    <hyperlink ref="Q76" r:id="rId211"/>
    <hyperlink ref="U76" r:id="rId212"/>
  </hyperlinks>
  <pageMargins left="0.7" right="0.7" top="0.75" bottom="0.75" header="0" footer="0"/>
  <pageSetup orientation="landscape"/>
  <tableParts count="5">
    <tablePart r:id="rId213"/>
    <tablePart r:id="rId214"/>
    <tablePart r:id="rId215"/>
    <tablePart r:id="rId216"/>
    <tablePart r:id="rId217"/>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X2036"/>
  <sheetViews>
    <sheetView workbookViewId="0">
      <pane ySplit="1" topLeftCell="A2" activePane="bottomLeft" state="frozen"/>
      <selection pane="bottomLeft" activeCell="X1" sqref="X1:X1048576"/>
    </sheetView>
  </sheetViews>
  <sheetFormatPr defaultColWidth="12.6328125" defaultRowHeight="15" customHeight="1"/>
  <cols>
    <col min="1" max="1" width="9.6328125" customWidth="1"/>
    <col min="2" max="2" width="27.453125" customWidth="1"/>
    <col min="3" max="3" width="16.08984375" customWidth="1"/>
    <col min="4" max="4" width="16.1796875" customWidth="1"/>
    <col min="5" max="5" width="19.81640625" customWidth="1"/>
    <col min="6" max="6" width="32.1796875" customWidth="1"/>
    <col min="7" max="7" width="18.08984375" customWidth="1"/>
    <col min="8" max="8" width="9.90625" customWidth="1"/>
    <col min="9" max="9" width="12.6328125" customWidth="1"/>
    <col min="10" max="10" width="22" customWidth="1"/>
    <col min="11" max="11" width="17.1796875" customWidth="1"/>
    <col min="12" max="12" width="75.81640625" customWidth="1"/>
    <col min="13" max="13" width="23.90625" customWidth="1"/>
    <col min="15" max="15" width="17.81640625" customWidth="1"/>
    <col min="16" max="16" width="10.36328125" customWidth="1"/>
    <col min="17" max="17" width="12.6328125" customWidth="1"/>
    <col min="18" max="18" width="22.81640625" customWidth="1"/>
    <col min="19" max="19" width="37.6328125" customWidth="1"/>
    <col min="20" max="20" width="19.1796875" customWidth="1"/>
    <col min="21" max="21" width="17.453125" customWidth="1"/>
    <col min="22" max="22" width="25.81640625" customWidth="1"/>
    <col min="23" max="23" width="18.90625" customWidth="1"/>
    <col min="24" max="24" width="31.453125" customWidth="1"/>
  </cols>
  <sheetData>
    <row r="1" spans="1:24" ht="99.75" customHeight="1">
      <c r="A1" s="191" t="s">
        <v>60</v>
      </c>
      <c r="B1" s="191" t="s">
        <v>61</v>
      </c>
      <c r="C1" s="192" t="s">
        <v>62</v>
      </c>
      <c r="D1" s="192" t="s">
        <v>63</v>
      </c>
      <c r="E1" s="191" t="s">
        <v>64</v>
      </c>
      <c r="F1" s="193" t="s">
        <v>691</v>
      </c>
      <c r="G1" s="193" t="s">
        <v>692</v>
      </c>
      <c r="H1" s="193" t="s">
        <v>693</v>
      </c>
      <c r="I1" s="194" t="s">
        <v>694</v>
      </c>
      <c r="J1" s="193" t="s">
        <v>695</v>
      </c>
      <c r="K1" s="193" t="s">
        <v>696</v>
      </c>
      <c r="L1" s="193" t="s">
        <v>697</v>
      </c>
      <c r="M1" s="193" t="s">
        <v>698</v>
      </c>
      <c r="N1" s="193" t="s">
        <v>141</v>
      </c>
      <c r="O1" s="193" t="s">
        <v>699</v>
      </c>
      <c r="P1" s="193" t="s">
        <v>143</v>
      </c>
      <c r="Q1" s="193" t="s">
        <v>700</v>
      </c>
      <c r="R1" s="193" t="s">
        <v>147</v>
      </c>
      <c r="S1" s="193" t="s">
        <v>701</v>
      </c>
      <c r="T1" s="193" t="s">
        <v>702</v>
      </c>
      <c r="U1" s="195" t="s">
        <v>703</v>
      </c>
      <c r="V1" s="193" t="s">
        <v>704</v>
      </c>
      <c r="W1" s="195" t="s">
        <v>2023</v>
      </c>
      <c r="X1" s="195" t="s">
        <v>2024</v>
      </c>
    </row>
    <row r="2" spans="1:24" ht="52.5" customHeight="1">
      <c r="A2" s="196" t="s">
        <v>65</v>
      </c>
      <c r="B2" s="197" t="s">
        <v>29</v>
      </c>
      <c r="C2" s="164" t="s">
        <v>705</v>
      </c>
      <c r="D2" s="164" t="s">
        <v>67</v>
      </c>
      <c r="E2" s="4" t="s">
        <v>5</v>
      </c>
      <c r="F2" s="198" t="s">
        <v>706</v>
      </c>
      <c r="G2" s="164" t="s">
        <v>707</v>
      </c>
      <c r="H2" s="164" t="s">
        <v>228</v>
      </c>
      <c r="I2" s="33" t="s">
        <v>448</v>
      </c>
      <c r="J2" s="35"/>
      <c r="K2" s="27" t="s">
        <v>708</v>
      </c>
      <c r="L2" s="164" t="s">
        <v>29</v>
      </c>
      <c r="M2" s="41" t="s">
        <v>709</v>
      </c>
      <c r="N2" s="198" t="s">
        <v>710</v>
      </c>
      <c r="O2" s="199">
        <v>45689</v>
      </c>
      <c r="P2" s="33">
        <v>2025</v>
      </c>
      <c r="Q2" s="33" t="s">
        <v>488</v>
      </c>
      <c r="R2" s="34" t="s">
        <v>711</v>
      </c>
      <c r="S2" s="34" t="s">
        <v>712</v>
      </c>
      <c r="T2" s="35"/>
      <c r="U2" s="35"/>
      <c r="V2" s="35"/>
      <c r="W2" s="33"/>
      <c r="X2" s="35"/>
    </row>
    <row r="3" spans="1:24" ht="52.5" customHeight="1">
      <c r="A3" s="196" t="s">
        <v>65</v>
      </c>
      <c r="B3" s="197" t="s">
        <v>29</v>
      </c>
      <c r="C3" s="164" t="s">
        <v>66</v>
      </c>
      <c r="D3" s="164" t="s">
        <v>67</v>
      </c>
      <c r="E3" s="4" t="s">
        <v>5</v>
      </c>
      <c r="F3" s="200" t="s">
        <v>713</v>
      </c>
      <c r="G3" s="30" t="s">
        <v>714</v>
      </c>
      <c r="H3" s="30" t="s">
        <v>228</v>
      </c>
      <c r="I3" s="200" t="s">
        <v>448</v>
      </c>
      <c r="J3" s="200" t="s">
        <v>715</v>
      </c>
      <c r="K3" s="30" t="s">
        <v>716</v>
      </c>
      <c r="L3" s="200" t="s">
        <v>29</v>
      </c>
      <c r="M3" s="201"/>
      <c r="N3" s="202"/>
      <c r="O3" s="203" t="s">
        <v>321</v>
      </c>
      <c r="P3" s="203">
        <v>2025</v>
      </c>
      <c r="Q3" s="202"/>
      <c r="R3" s="202"/>
      <c r="S3" s="201"/>
      <c r="T3" s="204"/>
      <c r="U3" s="204"/>
      <c r="V3" s="205" t="s">
        <v>717</v>
      </c>
      <c r="W3" s="206"/>
      <c r="X3" s="207"/>
    </row>
    <row r="4" spans="1:24" ht="52.5" customHeight="1">
      <c r="A4" s="196" t="s">
        <v>65</v>
      </c>
      <c r="B4" s="197" t="s">
        <v>29</v>
      </c>
      <c r="C4" s="164" t="s">
        <v>66</v>
      </c>
      <c r="D4" s="164" t="s">
        <v>67</v>
      </c>
      <c r="E4" s="4" t="s">
        <v>5</v>
      </c>
      <c r="F4" s="208" t="s">
        <v>718</v>
      </c>
      <c r="G4" s="30" t="s">
        <v>714</v>
      </c>
      <c r="H4" s="30" t="s">
        <v>228</v>
      </c>
      <c r="I4" s="208" t="s">
        <v>448</v>
      </c>
      <c r="J4" s="200" t="s">
        <v>715</v>
      </c>
      <c r="K4" s="30" t="s">
        <v>716</v>
      </c>
      <c r="L4" s="200" t="s">
        <v>29</v>
      </c>
      <c r="M4" s="208"/>
      <c r="N4" s="147"/>
      <c r="O4" s="209" t="s">
        <v>613</v>
      </c>
      <c r="P4" s="210">
        <v>2025</v>
      </c>
      <c r="Q4" s="208"/>
      <c r="R4" s="208"/>
      <c r="S4" s="211"/>
      <c r="T4" s="201"/>
      <c r="U4" s="201"/>
      <c r="V4" s="212" t="s">
        <v>719</v>
      </c>
      <c r="W4" s="213"/>
      <c r="X4" s="214"/>
    </row>
    <row r="5" spans="1:24" ht="52.5" customHeight="1">
      <c r="A5" s="30" t="s">
        <v>68</v>
      </c>
      <c r="B5" s="30" t="s">
        <v>54</v>
      </c>
      <c r="C5" s="30" t="s">
        <v>72</v>
      </c>
      <c r="D5" s="30" t="s">
        <v>76</v>
      </c>
      <c r="E5" s="30" t="s">
        <v>2</v>
      </c>
      <c r="F5" s="30" t="s">
        <v>720</v>
      </c>
      <c r="G5" s="30" t="s">
        <v>707</v>
      </c>
      <c r="H5" s="30" t="s">
        <v>228</v>
      </c>
      <c r="I5" s="30" t="s">
        <v>190</v>
      </c>
      <c r="J5" s="30" t="s">
        <v>721</v>
      </c>
      <c r="K5" s="30" t="s">
        <v>722</v>
      </c>
      <c r="L5" s="30" t="s">
        <v>723</v>
      </c>
      <c r="M5" s="171"/>
      <c r="N5" s="171"/>
      <c r="O5" s="171"/>
      <c r="P5" s="171"/>
      <c r="Q5" s="171"/>
      <c r="R5" s="171"/>
      <c r="S5" s="171"/>
      <c r="T5" s="174"/>
      <c r="U5" s="32"/>
      <c r="V5" s="31" t="s">
        <v>724</v>
      </c>
      <c r="W5" s="30"/>
      <c r="X5" s="30"/>
    </row>
    <row r="6" spans="1:24" ht="52.5" customHeight="1">
      <c r="A6" s="30" t="s">
        <v>68</v>
      </c>
      <c r="B6" s="30" t="s">
        <v>54</v>
      </c>
      <c r="C6" s="30" t="s">
        <v>72</v>
      </c>
      <c r="D6" s="30" t="s">
        <v>76</v>
      </c>
      <c r="E6" s="30" t="s">
        <v>2</v>
      </c>
      <c r="F6" s="30" t="s">
        <v>725</v>
      </c>
      <c r="G6" s="30" t="s">
        <v>707</v>
      </c>
      <c r="H6" s="30" t="s">
        <v>228</v>
      </c>
      <c r="I6" s="30" t="s">
        <v>448</v>
      </c>
      <c r="J6" s="30" t="s">
        <v>726</v>
      </c>
      <c r="K6" s="30" t="s">
        <v>722</v>
      </c>
      <c r="L6" s="30" t="s">
        <v>723</v>
      </c>
      <c r="M6" s="171"/>
      <c r="N6" s="171"/>
      <c r="O6" s="171"/>
      <c r="P6" s="171"/>
      <c r="Q6" s="171"/>
      <c r="R6" s="32"/>
      <c r="S6" s="32"/>
      <c r="T6" s="32"/>
      <c r="U6" s="32"/>
      <c r="V6" s="31" t="s">
        <v>727</v>
      </c>
      <c r="W6" s="30"/>
      <c r="X6" s="30"/>
    </row>
    <row r="7" spans="1:24" ht="52.5" customHeight="1">
      <c r="A7" s="30" t="s">
        <v>68</v>
      </c>
      <c r="B7" s="33" t="s">
        <v>54</v>
      </c>
      <c r="C7" s="30" t="s">
        <v>72</v>
      </c>
      <c r="D7" s="30" t="s">
        <v>76</v>
      </c>
      <c r="E7" s="30" t="s">
        <v>2</v>
      </c>
      <c r="F7" s="30" t="s">
        <v>728</v>
      </c>
      <c r="G7" s="4" t="s">
        <v>707</v>
      </c>
      <c r="H7" s="4" t="s">
        <v>228</v>
      </c>
      <c r="I7" s="4" t="s">
        <v>448</v>
      </c>
      <c r="J7" s="4" t="s">
        <v>729</v>
      </c>
      <c r="K7" s="4" t="s">
        <v>730</v>
      </c>
      <c r="L7" s="30" t="s">
        <v>723</v>
      </c>
      <c r="M7" s="4" t="s">
        <v>359</v>
      </c>
      <c r="N7" s="4" t="s">
        <v>359</v>
      </c>
      <c r="O7" s="4" t="s">
        <v>359</v>
      </c>
      <c r="P7" s="4">
        <v>2025</v>
      </c>
      <c r="Q7" s="4" t="s">
        <v>359</v>
      </c>
      <c r="R7" s="4" t="s">
        <v>359</v>
      </c>
      <c r="S7" s="4" t="s">
        <v>359</v>
      </c>
      <c r="T7" s="4" t="s">
        <v>359</v>
      </c>
      <c r="U7" s="4" t="s">
        <v>359</v>
      </c>
      <c r="V7" s="31" t="s">
        <v>731</v>
      </c>
      <c r="W7" s="30"/>
      <c r="X7" s="30"/>
    </row>
    <row r="8" spans="1:24" ht="52.5" customHeight="1">
      <c r="A8" s="30" t="s">
        <v>68</v>
      </c>
      <c r="B8" s="33" t="s">
        <v>54</v>
      </c>
      <c r="C8" s="30" t="s">
        <v>72</v>
      </c>
      <c r="D8" s="30" t="s">
        <v>76</v>
      </c>
      <c r="E8" s="30" t="s">
        <v>2</v>
      </c>
      <c r="F8" s="30" t="s">
        <v>732</v>
      </c>
      <c r="G8" s="4" t="s">
        <v>707</v>
      </c>
      <c r="H8" s="4" t="s">
        <v>228</v>
      </c>
      <c r="I8" s="4" t="s">
        <v>158</v>
      </c>
      <c r="J8" s="4" t="s">
        <v>733</v>
      </c>
      <c r="K8" s="4" t="s">
        <v>730</v>
      </c>
      <c r="L8" s="30" t="s">
        <v>723</v>
      </c>
      <c r="M8" s="4" t="s">
        <v>359</v>
      </c>
      <c r="N8" s="4" t="s">
        <v>359</v>
      </c>
      <c r="O8" s="4" t="s">
        <v>359</v>
      </c>
      <c r="P8" s="4">
        <v>2025</v>
      </c>
      <c r="Q8" s="4" t="s">
        <v>359</v>
      </c>
      <c r="R8" s="4" t="s">
        <v>359</v>
      </c>
      <c r="S8" s="4" t="s">
        <v>359</v>
      </c>
      <c r="T8" s="4" t="s">
        <v>359</v>
      </c>
      <c r="U8" s="4" t="s">
        <v>359</v>
      </c>
      <c r="V8" s="31" t="s">
        <v>734</v>
      </c>
      <c r="W8" s="30"/>
      <c r="X8" s="30"/>
    </row>
    <row r="9" spans="1:24" ht="52.5" customHeight="1">
      <c r="A9" s="30" t="s">
        <v>73</v>
      </c>
      <c r="B9" s="30" t="s">
        <v>74</v>
      </c>
      <c r="C9" s="30" t="s">
        <v>75</v>
      </c>
      <c r="D9" s="30" t="s">
        <v>76</v>
      </c>
      <c r="E9" s="30" t="s">
        <v>5</v>
      </c>
      <c r="F9" s="4" t="s">
        <v>735</v>
      </c>
      <c r="G9" s="30" t="s">
        <v>714</v>
      </c>
      <c r="H9" s="30" t="s">
        <v>736</v>
      </c>
      <c r="I9" s="30" t="s">
        <v>448</v>
      </c>
      <c r="J9" s="30" t="s">
        <v>737</v>
      </c>
      <c r="K9" s="30" t="s">
        <v>738</v>
      </c>
      <c r="L9" s="30" t="s">
        <v>74</v>
      </c>
      <c r="M9" s="171"/>
      <c r="N9" s="30" t="s">
        <v>448</v>
      </c>
      <c r="O9" s="171"/>
      <c r="P9" s="30">
        <v>2025</v>
      </c>
      <c r="Q9" s="171"/>
      <c r="R9" s="171"/>
      <c r="S9" s="171"/>
      <c r="T9" s="31" t="s">
        <v>739</v>
      </c>
      <c r="U9" s="171"/>
      <c r="V9" s="31" t="s">
        <v>739</v>
      </c>
      <c r="W9" s="174"/>
      <c r="X9" s="174"/>
    </row>
    <row r="10" spans="1:24" ht="52.5" customHeight="1">
      <c r="A10" s="33" t="s">
        <v>73</v>
      </c>
      <c r="B10" s="33" t="s">
        <v>74</v>
      </c>
      <c r="C10" s="25" t="s">
        <v>75</v>
      </c>
      <c r="D10" s="25" t="s">
        <v>76</v>
      </c>
      <c r="E10" s="4" t="s">
        <v>5</v>
      </c>
      <c r="F10" s="215" t="s">
        <v>740</v>
      </c>
      <c r="G10" s="216" t="s">
        <v>714</v>
      </c>
      <c r="H10" s="216" t="s">
        <v>228</v>
      </c>
      <c r="I10" s="216" t="s">
        <v>448</v>
      </c>
      <c r="J10" s="216" t="s">
        <v>741</v>
      </c>
      <c r="K10" s="217" t="s">
        <v>742</v>
      </c>
      <c r="L10" s="196" t="s">
        <v>743</v>
      </c>
      <c r="M10" s="197" t="s">
        <v>744</v>
      </c>
      <c r="N10" s="216" t="s">
        <v>745</v>
      </c>
      <c r="O10" s="216" t="s">
        <v>613</v>
      </c>
      <c r="P10" s="216">
        <v>2025</v>
      </c>
      <c r="Q10" s="216" t="s">
        <v>223</v>
      </c>
      <c r="R10" s="218" t="s">
        <v>746</v>
      </c>
      <c r="S10" s="34" t="s">
        <v>747</v>
      </c>
      <c r="T10" s="34" t="s">
        <v>748</v>
      </c>
      <c r="U10" s="34" t="s">
        <v>749</v>
      </c>
      <c r="V10" s="34" t="s">
        <v>750</v>
      </c>
      <c r="W10" s="30"/>
      <c r="X10" s="35"/>
    </row>
    <row r="11" spans="1:24" ht="52.5" customHeight="1">
      <c r="A11" s="219" t="s">
        <v>751</v>
      </c>
      <c r="B11" s="219" t="s">
        <v>752</v>
      </c>
      <c r="C11" s="219" t="s">
        <v>753</v>
      </c>
      <c r="D11" s="219" t="s">
        <v>67</v>
      </c>
      <c r="E11" s="219" t="s">
        <v>2</v>
      </c>
      <c r="F11" s="219" t="s">
        <v>754</v>
      </c>
      <c r="G11" s="219" t="s">
        <v>707</v>
      </c>
      <c r="H11" s="219" t="s">
        <v>228</v>
      </c>
      <c r="I11" s="219" t="s">
        <v>190</v>
      </c>
      <c r="J11" s="219" t="s">
        <v>755</v>
      </c>
      <c r="K11" s="219" t="s">
        <v>742</v>
      </c>
      <c r="L11" s="219" t="s">
        <v>756</v>
      </c>
      <c r="M11" s="219" t="s">
        <v>757</v>
      </c>
      <c r="N11" s="219">
        <v>157</v>
      </c>
      <c r="O11" s="219" t="s">
        <v>168</v>
      </c>
      <c r="P11" s="219">
        <v>2025</v>
      </c>
      <c r="Q11" s="219" t="s">
        <v>162</v>
      </c>
      <c r="R11" s="220" t="s">
        <v>758</v>
      </c>
      <c r="S11" s="221"/>
      <c r="T11" s="221"/>
      <c r="U11" s="221"/>
      <c r="V11" s="222"/>
      <c r="W11" s="222"/>
      <c r="X11" s="30"/>
    </row>
    <row r="12" spans="1:24" ht="52.5" customHeight="1">
      <c r="A12" s="30" t="s">
        <v>751</v>
      </c>
      <c r="B12" s="30" t="s">
        <v>752</v>
      </c>
      <c r="C12" s="30" t="s">
        <v>753</v>
      </c>
      <c r="D12" s="30" t="s">
        <v>67</v>
      </c>
      <c r="E12" s="30" t="s">
        <v>2</v>
      </c>
      <c r="F12" s="30" t="s">
        <v>759</v>
      </c>
      <c r="G12" s="30" t="s">
        <v>707</v>
      </c>
      <c r="H12" s="30" t="s">
        <v>228</v>
      </c>
      <c r="I12" s="30" t="s">
        <v>448</v>
      </c>
      <c r="J12" s="30" t="s">
        <v>760</v>
      </c>
      <c r="K12" s="30" t="s">
        <v>742</v>
      </c>
      <c r="L12" s="30" t="s">
        <v>761</v>
      </c>
      <c r="M12" s="30" t="s">
        <v>762</v>
      </c>
      <c r="N12" s="171"/>
      <c r="O12" s="30" t="s">
        <v>390</v>
      </c>
      <c r="P12" s="30">
        <v>2025</v>
      </c>
      <c r="Q12" s="30" t="s">
        <v>162</v>
      </c>
      <c r="R12" s="174" t="s">
        <v>763</v>
      </c>
      <c r="S12" s="32"/>
      <c r="T12" s="32"/>
      <c r="U12" s="31" t="s">
        <v>764</v>
      </c>
      <c r="V12" s="171"/>
      <c r="W12" s="30"/>
      <c r="X12" s="30"/>
    </row>
    <row r="13" spans="1:24" ht="52.5" customHeight="1">
      <c r="A13" s="30" t="s">
        <v>751</v>
      </c>
      <c r="B13" s="30" t="s">
        <v>752</v>
      </c>
      <c r="C13" s="30" t="s">
        <v>753</v>
      </c>
      <c r="D13" s="30" t="s">
        <v>67</v>
      </c>
      <c r="E13" s="30" t="s">
        <v>2</v>
      </c>
      <c r="F13" s="30" t="s">
        <v>759</v>
      </c>
      <c r="G13" s="30" t="s">
        <v>707</v>
      </c>
      <c r="H13" s="30" t="s">
        <v>228</v>
      </c>
      <c r="I13" s="30" t="s">
        <v>448</v>
      </c>
      <c r="J13" s="30" t="s">
        <v>760</v>
      </c>
      <c r="K13" s="30" t="s">
        <v>742</v>
      </c>
      <c r="L13" s="30" t="s">
        <v>765</v>
      </c>
      <c r="M13" s="30" t="s">
        <v>766</v>
      </c>
      <c r="N13" s="171"/>
      <c r="O13" s="30" t="s">
        <v>390</v>
      </c>
      <c r="P13" s="30">
        <v>2025</v>
      </c>
      <c r="Q13" s="30" t="s">
        <v>162</v>
      </c>
      <c r="R13" s="174" t="s">
        <v>767</v>
      </c>
      <c r="S13" s="32"/>
      <c r="T13" s="32"/>
      <c r="U13" s="31" t="s">
        <v>768</v>
      </c>
      <c r="V13" s="171"/>
      <c r="W13" s="30"/>
      <c r="X13" s="30"/>
    </row>
    <row r="14" spans="1:24" ht="52.5" customHeight="1">
      <c r="A14" s="30" t="s">
        <v>751</v>
      </c>
      <c r="B14" s="30" t="s">
        <v>752</v>
      </c>
      <c r="C14" s="30" t="s">
        <v>753</v>
      </c>
      <c r="D14" s="30" t="s">
        <v>67</v>
      </c>
      <c r="E14" s="30" t="s">
        <v>2</v>
      </c>
      <c r="F14" s="30" t="s">
        <v>769</v>
      </c>
      <c r="G14" s="30" t="s">
        <v>707</v>
      </c>
      <c r="H14" s="30" t="s">
        <v>770</v>
      </c>
      <c r="I14" s="30" t="s">
        <v>448</v>
      </c>
      <c r="J14" s="30" t="s">
        <v>771</v>
      </c>
      <c r="K14" s="30" t="s">
        <v>742</v>
      </c>
      <c r="L14" s="30" t="s">
        <v>772</v>
      </c>
      <c r="M14" s="30" t="s">
        <v>773</v>
      </c>
      <c r="N14" s="171"/>
      <c r="O14" s="30" t="s">
        <v>321</v>
      </c>
      <c r="P14" s="30">
        <v>2025</v>
      </c>
      <c r="Q14" s="30" t="s">
        <v>162</v>
      </c>
      <c r="R14" s="34" t="s">
        <v>774</v>
      </c>
      <c r="S14" s="32"/>
      <c r="T14" s="32"/>
      <c r="U14" s="40" t="s">
        <v>775</v>
      </c>
      <c r="V14" s="171"/>
      <c r="W14" s="30"/>
      <c r="X14" s="30"/>
    </row>
    <row r="15" spans="1:24" ht="52.5" customHeight="1">
      <c r="A15" s="30" t="s">
        <v>751</v>
      </c>
      <c r="B15" s="30" t="s">
        <v>752</v>
      </c>
      <c r="C15" s="30" t="s">
        <v>753</v>
      </c>
      <c r="D15" s="30" t="s">
        <v>67</v>
      </c>
      <c r="E15" s="30" t="s">
        <v>2</v>
      </c>
      <c r="F15" s="30" t="s">
        <v>776</v>
      </c>
      <c r="G15" s="30" t="s">
        <v>707</v>
      </c>
      <c r="H15" s="30" t="s">
        <v>770</v>
      </c>
      <c r="I15" s="30" t="s">
        <v>448</v>
      </c>
      <c r="J15" s="30" t="s">
        <v>777</v>
      </c>
      <c r="K15" s="30" t="s">
        <v>742</v>
      </c>
      <c r="L15" s="30" t="s">
        <v>778</v>
      </c>
      <c r="M15" s="30" t="s">
        <v>779</v>
      </c>
      <c r="N15" s="171"/>
      <c r="O15" s="30" t="s">
        <v>559</v>
      </c>
      <c r="P15" s="30">
        <v>2024</v>
      </c>
      <c r="Q15" s="30" t="s">
        <v>162</v>
      </c>
      <c r="R15" s="174" t="s">
        <v>780</v>
      </c>
      <c r="S15" s="32"/>
      <c r="T15" s="32"/>
      <c r="U15" s="40" t="s">
        <v>781</v>
      </c>
      <c r="V15" s="171"/>
      <c r="W15" s="30"/>
      <c r="X15" s="30"/>
    </row>
    <row r="16" spans="1:24" ht="52.5" customHeight="1">
      <c r="A16" s="30" t="s">
        <v>751</v>
      </c>
      <c r="B16" s="30" t="s">
        <v>752</v>
      </c>
      <c r="C16" s="30" t="s">
        <v>753</v>
      </c>
      <c r="D16" s="30" t="s">
        <v>67</v>
      </c>
      <c r="E16" s="30" t="s">
        <v>2</v>
      </c>
      <c r="F16" s="4" t="s">
        <v>782</v>
      </c>
      <c r="G16" s="30" t="s">
        <v>707</v>
      </c>
      <c r="H16" s="30" t="s">
        <v>770</v>
      </c>
      <c r="I16" s="30" t="s">
        <v>448</v>
      </c>
      <c r="J16" s="30" t="s">
        <v>783</v>
      </c>
      <c r="K16" s="30" t="s">
        <v>742</v>
      </c>
      <c r="L16" s="30" t="s">
        <v>784</v>
      </c>
      <c r="M16" s="30" t="s">
        <v>785</v>
      </c>
      <c r="N16" s="171"/>
      <c r="O16" s="30" t="s">
        <v>613</v>
      </c>
      <c r="P16" s="30">
        <v>2024</v>
      </c>
      <c r="Q16" s="30" t="s">
        <v>162</v>
      </c>
      <c r="R16" s="174" t="s">
        <v>786</v>
      </c>
      <c r="S16" s="32"/>
      <c r="T16" s="32"/>
      <c r="U16" s="40" t="s">
        <v>787</v>
      </c>
      <c r="V16" s="171"/>
      <c r="W16" s="30"/>
      <c r="X16" s="30"/>
    </row>
    <row r="17" spans="1:24" ht="52.5" customHeight="1">
      <c r="A17" s="30" t="s">
        <v>68</v>
      </c>
      <c r="B17" s="30" t="s">
        <v>33</v>
      </c>
      <c r="C17" s="30" t="s">
        <v>77</v>
      </c>
      <c r="D17" s="30" t="s">
        <v>76</v>
      </c>
      <c r="E17" s="30" t="s">
        <v>6</v>
      </c>
      <c r="F17" s="223" t="s">
        <v>788</v>
      </c>
      <c r="G17" s="30" t="s">
        <v>714</v>
      </c>
      <c r="H17" s="30" t="s">
        <v>228</v>
      </c>
      <c r="I17" s="4" t="s">
        <v>448</v>
      </c>
      <c r="J17" s="33" t="s">
        <v>789</v>
      </c>
      <c r="K17" s="30" t="s">
        <v>742</v>
      </c>
      <c r="L17" s="33" t="s">
        <v>790</v>
      </c>
      <c r="M17" s="33" t="s">
        <v>791</v>
      </c>
      <c r="N17" s="224">
        <v>45663</v>
      </c>
      <c r="O17" s="225">
        <v>45890</v>
      </c>
      <c r="P17" s="30">
        <v>2025</v>
      </c>
      <c r="Q17" s="30" t="s">
        <v>223</v>
      </c>
      <c r="R17" s="33" t="s">
        <v>792</v>
      </c>
      <c r="S17" s="34" t="s">
        <v>793</v>
      </c>
      <c r="T17" s="31" t="s">
        <v>794</v>
      </c>
      <c r="U17" s="34" t="s">
        <v>795</v>
      </c>
      <c r="V17" s="226"/>
      <c r="W17" s="226"/>
      <c r="X17" s="227"/>
    </row>
    <row r="18" spans="1:24" ht="52.5" customHeight="1">
      <c r="A18" s="30" t="s">
        <v>68</v>
      </c>
      <c r="B18" s="30" t="s">
        <v>33</v>
      </c>
      <c r="C18" s="30" t="s">
        <v>77</v>
      </c>
      <c r="D18" s="30" t="s">
        <v>76</v>
      </c>
      <c r="E18" s="30" t="s">
        <v>6</v>
      </c>
      <c r="F18" s="223" t="s">
        <v>788</v>
      </c>
      <c r="G18" s="30" t="s">
        <v>714</v>
      </c>
      <c r="H18" s="30" t="s">
        <v>228</v>
      </c>
      <c r="I18" s="4" t="s">
        <v>448</v>
      </c>
      <c r="J18" s="33" t="s">
        <v>789</v>
      </c>
      <c r="K18" s="30" t="s">
        <v>742</v>
      </c>
      <c r="L18" s="33" t="s">
        <v>796</v>
      </c>
      <c r="M18" s="33" t="s">
        <v>797</v>
      </c>
      <c r="N18" s="169">
        <v>45664</v>
      </c>
      <c r="O18" s="225">
        <v>45890</v>
      </c>
      <c r="P18" s="30">
        <v>2025</v>
      </c>
      <c r="Q18" s="30" t="s">
        <v>162</v>
      </c>
      <c r="R18" s="33" t="s">
        <v>798</v>
      </c>
      <c r="S18" s="34" t="s">
        <v>799</v>
      </c>
      <c r="T18" s="32"/>
      <c r="U18" s="34" t="s">
        <v>800</v>
      </c>
      <c r="V18" s="171"/>
      <c r="W18" s="30"/>
      <c r="X18" s="228"/>
    </row>
    <row r="19" spans="1:24" ht="52.5" customHeight="1">
      <c r="A19" s="30" t="s">
        <v>68</v>
      </c>
      <c r="B19" s="30" t="s">
        <v>33</v>
      </c>
      <c r="C19" s="30" t="s">
        <v>77</v>
      </c>
      <c r="D19" s="30" t="s">
        <v>76</v>
      </c>
      <c r="E19" s="30" t="s">
        <v>6</v>
      </c>
      <c r="F19" s="30" t="s">
        <v>801</v>
      </c>
      <c r="G19" s="30" t="s">
        <v>714</v>
      </c>
      <c r="H19" s="30" t="s">
        <v>228</v>
      </c>
      <c r="I19" s="4" t="s">
        <v>448</v>
      </c>
      <c r="J19" s="33" t="s">
        <v>802</v>
      </c>
      <c r="K19" s="30" t="s">
        <v>742</v>
      </c>
      <c r="L19" s="33" t="s">
        <v>803</v>
      </c>
      <c r="M19" s="33" t="s">
        <v>804</v>
      </c>
      <c r="N19" s="30" t="s">
        <v>805</v>
      </c>
      <c r="O19" s="225">
        <v>45763</v>
      </c>
      <c r="P19" s="30">
        <v>2025</v>
      </c>
      <c r="Q19" s="30" t="s">
        <v>162</v>
      </c>
      <c r="R19" s="33" t="s">
        <v>806</v>
      </c>
      <c r="S19" s="34" t="s">
        <v>807</v>
      </c>
      <c r="T19" s="32"/>
      <c r="U19" s="34" t="s">
        <v>808</v>
      </c>
      <c r="V19" s="171"/>
      <c r="W19" s="30"/>
      <c r="X19" s="228"/>
    </row>
    <row r="20" spans="1:24" ht="52.5" customHeight="1">
      <c r="A20" s="30" t="s">
        <v>68</v>
      </c>
      <c r="B20" s="30" t="s">
        <v>33</v>
      </c>
      <c r="C20" s="30" t="s">
        <v>77</v>
      </c>
      <c r="D20" s="30" t="s">
        <v>76</v>
      </c>
      <c r="E20" s="30" t="s">
        <v>6</v>
      </c>
      <c r="F20" s="30" t="s">
        <v>801</v>
      </c>
      <c r="G20" s="30" t="s">
        <v>714</v>
      </c>
      <c r="H20" s="30" t="s">
        <v>228</v>
      </c>
      <c r="I20" s="4" t="s">
        <v>448</v>
      </c>
      <c r="J20" s="33" t="s">
        <v>802</v>
      </c>
      <c r="K20" s="30" t="s">
        <v>742</v>
      </c>
      <c r="L20" s="33" t="s">
        <v>809</v>
      </c>
      <c r="M20" s="33" t="s">
        <v>810</v>
      </c>
      <c r="N20" s="4" t="s">
        <v>811</v>
      </c>
      <c r="O20" s="225">
        <v>45763</v>
      </c>
      <c r="P20" s="30">
        <v>2025</v>
      </c>
      <c r="Q20" s="30" t="s">
        <v>162</v>
      </c>
      <c r="R20" s="33" t="s">
        <v>812</v>
      </c>
      <c r="S20" s="34" t="s">
        <v>813</v>
      </c>
      <c r="T20" s="32"/>
      <c r="U20" s="34" t="s">
        <v>814</v>
      </c>
      <c r="V20" s="171"/>
      <c r="W20" s="30"/>
      <c r="X20" s="228"/>
    </row>
    <row r="21" spans="1:24" ht="52.5" customHeight="1">
      <c r="A21" s="30" t="s">
        <v>68</v>
      </c>
      <c r="B21" s="30" t="s">
        <v>33</v>
      </c>
      <c r="C21" s="30" t="s">
        <v>77</v>
      </c>
      <c r="D21" s="30" t="s">
        <v>76</v>
      </c>
      <c r="E21" s="30" t="s">
        <v>6</v>
      </c>
      <c r="F21" s="30" t="s">
        <v>815</v>
      </c>
      <c r="G21" s="30" t="s">
        <v>714</v>
      </c>
      <c r="H21" s="30" t="s">
        <v>228</v>
      </c>
      <c r="I21" s="4" t="s">
        <v>448</v>
      </c>
      <c r="J21" s="30" t="s">
        <v>816</v>
      </c>
      <c r="K21" s="30" t="s">
        <v>817</v>
      </c>
      <c r="L21" s="30" t="s">
        <v>818</v>
      </c>
      <c r="M21" s="171"/>
      <c r="N21" s="171"/>
      <c r="O21" s="171"/>
      <c r="P21" s="171"/>
      <c r="Q21" s="171"/>
      <c r="R21" s="171"/>
      <c r="S21" s="171"/>
      <c r="T21" s="32"/>
      <c r="U21" s="32"/>
      <c r="V21" s="40" t="s">
        <v>819</v>
      </c>
      <c r="W21" s="226"/>
      <c r="X21" s="227"/>
    </row>
    <row r="22" spans="1:24" ht="52.5" customHeight="1">
      <c r="A22" s="219" t="s">
        <v>68</v>
      </c>
      <c r="B22" s="219" t="s">
        <v>33</v>
      </c>
      <c r="C22" s="219" t="s">
        <v>77</v>
      </c>
      <c r="D22" s="219" t="s">
        <v>76</v>
      </c>
      <c r="E22" s="219" t="s">
        <v>6</v>
      </c>
      <c r="F22" s="219" t="s">
        <v>820</v>
      </c>
      <c r="G22" s="219" t="s">
        <v>714</v>
      </c>
      <c r="H22" s="219" t="s">
        <v>228</v>
      </c>
      <c r="I22" s="219" t="s">
        <v>448</v>
      </c>
      <c r="J22" s="219" t="s">
        <v>821</v>
      </c>
      <c r="K22" s="219" t="s">
        <v>742</v>
      </c>
      <c r="L22" s="219" t="s">
        <v>818</v>
      </c>
      <c r="M22" s="219" t="s">
        <v>822</v>
      </c>
      <c r="N22" s="229"/>
      <c r="O22" s="222"/>
      <c r="P22" s="222"/>
      <c r="Q22" s="219" t="s">
        <v>223</v>
      </c>
      <c r="R22" s="219" t="s">
        <v>823</v>
      </c>
      <c r="S22" s="222"/>
      <c r="T22" s="230" t="s">
        <v>824</v>
      </c>
      <c r="U22" s="221"/>
      <c r="V22" s="222"/>
      <c r="W22" s="222"/>
      <c r="X22" s="231"/>
    </row>
    <row r="23" spans="1:24" ht="52.5" customHeight="1">
      <c r="A23" s="30" t="s">
        <v>73</v>
      </c>
      <c r="B23" s="30" t="s">
        <v>14</v>
      </c>
      <c r="C23" s="30" t="s">
        <v>81</v>
      </c>
      <c r="D23" s="30" t="s">
        <v>67</v>
      </c>
      <c r="E23" s="30" t="s">
        <v>0</v>
      </c>
      <c r="F23" s="30" t="s">
        <v>825</v>
      </c>
      <c r="G23" s="30" t="s">
        <v>714</v>
      </c>
      <c r="H23" s="30" t="s">
        <v>228</v>
      </c>
      <c r="I23" s="30" t="s">
        <v>826</v>
      </c>
      <c r="J23" s="30" t="s">
        <v>827</v>
      </c>
      <c r="K23" s="27" t="s">
        <v>742</v>
      </c>
      <c r="L23" s="30" t="s">
        <v>828</v>
      </c>
      <c r="M23" s="30" t="s">
        <v>829</v>
      </c>
      <c r="N23" s="4" t="s">
        <v>830</v>
      </c>
      <c r="O23" s="30" t="s">
        <v>831</v>
      </c>
      <c r="P23" s="30">
        <v>2025</v>
      </c>
      <c r="Q23" s="30" t="s">
        <v>162</v>
      </c>
      <c r="R23" s="12" t="s">
        <v>832</v>
      </c>
      <c r="S23" s="40" t="s">
        <v>833</v>
      </c>
      <c r="T23" s="31" t="s">
        <v>834</v>
      </c>
      <c r="U23" s="40" t="s">
        <v>835</v>
      </c>
      <c r="V23" s="171"/>
      <c r="W23" s="30"/>
      <c r="X23" s="219"/>
    </row>
    <row r="24" spans="1:24" ht="52.5" customHeight="1">
      <c r="A24" s="219" t="s">
        <v>73</v>
      </c>
      <c r="B24" s="219" t="s">
        <v>14</v>
      </c>
      <c r="C24" s="219" t="s">
        <v>81</v>
      </c>
      <c r="D24" s="219" t="s">
        <v>67</v>
      </c>
      <c r="E24" s="219" t="s">
        <v>0</v>
      </c>
      <c r="F24" s="219" t="s">
        <v>836</v>
      </c>
      <c r="G24" s="219" t="s">
        <v>714</v>
      </c>
      <c r="H24" s="219" t="s">
        <v>228</v>
      </c>
      <c r="I24" s="219" t="s">
        <v>826</v>
      </c>
      <c r="J24" s="219" t="s">
        <v>837</v>
      </c>
      <c r="K24" s="219" t="s">
        <v>742</v>
      </c>
      <c r="L24" s="219" t="s">
        <v>828</v>
      </c>
      <c r="M24" s="219" t="s">
        <v>838</v>
      </c>
      <c r="N24" s="219"/>
      <c r="O24" s="219" t="s">
        <v>839</v>
      </c>
      <c r="P24" s="219">
        <v>2025</v>
      </c>
      <c r="Q24" s="219" t="s">
        <v>162</v>
      </c>
      <c r="R24" s="219" t="s">
        <v>823</v>
      </c>
      <c r="S24" s="220"/>
      <c r="T24" s="230" t="s">
        <v>840</v>
      </c>
      <c r="U24" s="221"/>
      <c r="V24" s="222"/>
      <c r="W24" s="219"/>
      <c r="X24" s="219"/>
    </row>
    <row r="25" spans="1:24" ht="52.5" customHeight="1">
      <c r="A25" s="30" t="s">
        <v>73</v>
      </c>
      <c r="B25" s="30" t="s">
        <v>14</v>
      </c>
      <c r="C25" s="30" t="s">
        <v>81</v>
      </c>
      <c r="D25" s="30" t="s">
        <v>67</v>
      </c>
      <c r="E25" s="30" t="s">
        <v>0</v>
      </c>
      <c r="F25" s="30" t="s">
        <v>841</v>
      </c>
      <c r="G25" s="30" t="s">
        <v>714</v>
      </c>
      <c r="H25" s="30" t="s">
        <v>228</v>
      </c>
      <c r="I25" s="4" t="s">
        <v>448</v>
      </c>
      <c r="J25" s="30" t="s">
        <v>842</v>
      </c>
      <c r="K25" s="30" t="s">
        <v>742</v>
      </c>
      <c r="L25" s="30" t="s">
        <v>843</v>
      </c>
      <c r="M25" s="30" t="s">
        <v>844</v>
      </c>
      <c r="N25" s="4"/>
      <c r="O25" s="30" t="s">
        <v>845</v>
      </c>
      <c r="P25" s="30">
        <v>2025</v>
      </c>
      <c r="Q25" s="30" t="s">
        <v>242</v>
      </c>
      <c r="R25" s="4" t="s">
        <v>823</v>
      </c>
      <c r="S25" s="174"/>
      <c r="T25" s="41" t="s">
        <v>846</v>
      </c>
      <c r="U25" s="32"/>
      <c r="V25" s="171"/>
      <c r="W25" s="30"/>
      <c r="X25" s="30"/>
    </row>
    <row r="26" spans="1:24" ht="52.5" customHeight="1">
      <c r="A26" s="30" t="s">
        <v>73</v>
      </c>
      <c r="B26" s="30" t="s">
        <v>14</v>
      </c>
      <c r="C26" s="30" t="s">
        <v>81</v>
      </c>
      <c r="D26" s="30" t="s">
        <v>67</v>
      </c>
      <c r="E26" s="30" t="s">
        <v>0</v>
      </c>
      <c r="F26" s="30" t="s">
        <v>841</v>
      </c>
      <c r="G26" s="30" t="s">
        <v>714</v>
      </c>
      <c r="H26" s="30" t="s">
        <v>228</v>
      </c>
      <c r="I26" s="4" t="s">
        <v>448</v>
      </c>
      <c r="J26" s="30" t="s">
        <v>842</v>
      </c>
      <c r="K26" s="30" t="s">
        <v>742</v>
      </c>
      <c r="L26" s="30" t="s">
        <v>847</v>
      </c>
      <c r="M26" s="30" t="s">
        <v>848</v>
      </c>
      <c r="N26" s="4"/>
      <c r="O26" s="30" t="s">
        <v>845</v>
      </c>
      <c r="P26" s="30">
        <v>2025</v>
      </c>
      <c r="Q26" s="30" t="s">
        <v>162</v>
      </c>
      <c r="R26" s="4" t="s">
        <v>823</v>
      </c>
      <c r="S26" s="174"/>
      <c r="T26" s="41" t="s">
        <v>849</v>
      </c>
      <c r="U26" s="32"/>
      <c r="V26" s="171"/>
      <c r="W26" s="30"/>
      <c r="X26" s="30"/>
    </row>
    <row r="27" spans="1:24" ht="52.5" customHeight="1">
      <c r="A27" s="30" t="s">
        <v>73</v>
      </c>
      <c r="B27" s="30" t="s">
        <v>14</v>
      </c>
      <c r="C27" s="30" t="s">
        <v>81</v>
      </c>
      <c r="D27" s="30" t="s">
        <v>67</v>
      </c>
      <c r="E27" s="30" t="s">
        <v>0</v>
      </c>
      <c r="F27" s="30" t="s">
        <v>850</v>
      </c>
      <c r="G27" s="30" t="s">
        <v>714</v>
      </c>
      <c r="H27" s="30" t="s">
        <v>228</v>
      </c>
      <c r="I27" s="4" t="s">
        <v>448</v>
      </c>
      <c r="J27" s="30" t="s">
        <v>851</v>
      </c>
      <c r="K27" s="30" t="s">
        <v>716</v>
      </c>
      <c r="L27" s="30" t="s">
        <v>852</v>
      </c>
      <c r="M27" s="30"/>
      <c r="N27" s="4"/>
      <c r="O27" s="30" t="s">
        <v>307</v>
      </c>
      <c r="P27" s="30">
        <v>2025</v>
      </c>
      <c r="Q27" s="30"/>
      <c r="R27" s="4"/>
      <c r="S27" s="174"/>
      <c r="T27" s="41" t="s">
        <v>853</v>
      </c>
      <c r="U27" s="32"/>
      <c r="V27" s="171"/>
      <c r="W27" s="30"/>
      <c r="X27" s="219"/>
    </row>
    <row r="28" spans="1:24" ht="52.5" customHeight="1">
      <c r="A28" s="30" t="s">
        <v>73</v>
      </c>
      <c r="B28" s="30" t="s">
        <v>14</v>
      </c>
      <c r="C28" s="30" t="s">
        <v>81</v>
      </c>
      <c r="D28" s="30" t="s">
        <v>67</v>
      </c>
      <c r="E28" s="30" t="s">
        <v>0</v>
      </c>
      <c r="F28" s="30" t="s">
        <v>841</v>
      </c>
      <c r="G28" s="30" t="s">
        <v>714</v>
      </c>
      <c r="H28" s="30" t="s">
        <v>228</v>
      </c>
      <c r="I28" s="4" t="s">
        <v>448</v>
      </c>
      <c r="J28" s="30" t="s">
        <v>842</v>
      </c>
      <c r="K28" s="30" t="s">
        <v>716</v>
      </c>
      <c r="L28" s="30" t="s">
        <v>852</v>
      </c>
      <c r="M28" s="30"/>
      <c r="N28" s="4"/>
      <c r="O28" s="30" t="s">
        <v>168</v>
      </c>
      <c r="P28" s="30">
        <v>2025</v>
      </c>
      <c r="Q28" s="30"/>
      <c r="R28" s="4"/>
      <c r="S28" s="174"/>
      <c r="T28" s="41" t="s">
        <v>854</v>
      </c>
      <c r="U28" s="32"/>
      <c r="V28" s="171"/>
      <c r="W28" s="30"/>
      <c r="X28" s="219"/>
    </row>
    <row r="29" spans="1:24" ht="52.5" customHeight="1">
      <c r="A29" s="30" t="s">
        <v>73</v>
      </c>
      <c r="B29" s="30" t="s">
        <v>14</v>
      </c>
      <c r="C29" s="30" t="s">
        <v>81</v>
      </c>
      <c r="D29" s="30" t="s">
        <v>67</v>
      </c>
      <c r="E29" s="30" t="s">
        <v>0</v>
      </c>
      <c r="F29" s="176" t="s">
        <v>855</v>
      </c>
      <c r="G29" s="30" t="s">
        <v>714</v>
      </c>
      <c r="H29" s="30" t="s">
        <v>228</v>
      </c>
      <c r="I29" s="30" t="s">
        <v>826</v>
      </c>
      <c r="J29" s="30" t="s">
        <v>856</v>
      </c>
      <c r="K29" s="30" t="s">
        <v>716</v>
      </c>
      <c r="L29" s="30" t="s">
        <v>852</v>
      </c>
      <c r="M29" s="30"/>
      <c r="N29" s="4"/>
      <c r="O29" s="30" t="s">
        <v>168</v>
      </c>
      <c r="P29" s="30">
        <v>2025</v>
      </c>
      <c r="Q29" s="30"/>
      <c r="R29" s="4"/>
      <c r="S29" s="174"/>
      <c r="T29" s="41" t="s">
        <v>857</v>
      </c>
      <c r="U29" s="32"/>
      <c r="V29" s="171"/>
      <c r="W29" s="30"/>
      <c r="X29" s="30"/>
    </row>
    <row r="30" spans="1:24" ht="52.5" customHeight="1">
      <c r="A30" s="30" t="s">
        <v>73</v>
      </c>
      <c r="B30" s="30" t="s">
        <v>14</v>
      </c>
      <c r="C30" s="30" t="s">
        <v>81</v>
      </c>
      <c r="D30" s="30" t="s">
        <v>67</v>
      </c>
      <c r="E30" s="30" t="s">
        <v>0</v>
      </c>
      <c r="F30" s="176" t="s">
        <v>858</v>
      </c>
      <c r="G30" s="30" t="s">
        <v>714</v>
      </c>
      <c r="H30" s="30" t="s">
        <v>228</v>
      </c>
      <c r="I30" s="30" t="s">
        <v>448</v>
      </c>
      <c r="J30" s="30" t="s">
        <v>859</v>
      </c>
      <c r="K30" s="30" t="s">
        <v>716</v>
      </c>
      <c r="L30" s="30" t="s">
        <v>852</v>
      </c>
      <c r="M30" s="30"/>
      <c r="N30" s="4"/>
      <c r="O30" s="30" t="s">
        <v>634</v>
      </c>
      <c r="P30" s="30">
        <v>2025</v>
      </c>
      <c r="Q30" s="30"/>
      <c r="R30" s="4"/>
      <c r="S30" s="174"/>
      <c r="T30" s="41" t="s">
        <v>860</v>
      </c>
      <c r="U30" s="32"/>
      <c r="V30" s="171"/>
      <c r="W30" s="30"/>
      <c r="X30" s="30"/>
    </row>
    <row r="31" spans="1:24" ht="52.5" customHeight="1">
      <c r="A31" s="30" t="s">
        <v>73</v>
      </c>
      <c r="B31" s="30" t="s">
        <v>14</v>
      </c>
      <c r="C31" s="30" t="s">
        <v>81</v>
      </c>
      <c r="D31" s="30" t="s">
        <v>67</v>
      </c>
      <c r="E31" s="30" t="s">
        <v>0</v>
      </c>
      <c r="F31" s="176" t="s">
        <v>861</v>
      </c>
      <c r="G31" s="30" t="s">
        <v>714</v>
      </c>
      <c r="H31" s="30" t="s">
        <v>228</v>
      </c>
      <c r="I31" s="30" t="s">
        <v>448</v>
      </c>
      <c r="J31" s="30" t="s">
        <v>862</v>
      </c>
      <c r="K31" s="30" t="s">
        <v>716</v>
      </c>
      <c r="L31" s="30" t="s">
        <v>852</v>
      </c>
      <c r="M31" s="30"/>
      <c r="N31" s="4"/>
      <c r="O31" s="30" t="s">
        <v>613</v>
      </c>
      <c r="P31" s="30">
        <v>2025</v>
      </c>
      <c r="Q31" s="30"/>
      <c r="R31" s="4"/>
      <c r="S31" s="174"/>
      <c r="T31" s="41" t="s">
        <v>863</v>
      </c>
      <c r="U31" s="32"/>
      <c r="V31" s="171"/>
      <c r="W31" s="30"/>
      <c r="X31" s="30"/>
    </row>
    <row r="32" spans="1:24" ht="52.5" customHeight="1">
      <c r="A32" s="30" t="s">
        <v>73</v>
      </c>
      <c r="B32" s="30" t="s">
        <v>27</v>
      </c>
      <c r="C32" s="30" t="s">
        <v>82</v>
      </c>
      <c r="D32" s="30" t="s">
        <v>67</v>
      </c>
      <c r="E32" s="30" t="s">
        <v>6</v>
      </c>
      <c r="F32" s="30" t="s">
        <v>864</v>
      </c>
      <c r="G32" s="30" t="s">
        <v>714</v>
      </c>
      <c r="H32" s="30" t="s">
        <v>736</v>
      </c>
      <c r="I32" s="4" t="s">
        <v>448</v>
      </c>
      <c r="J32" s="30" t="s">
        <v>865</v>
      </c>
      <c r="K32" s="27" t="s">
        <v>742</v>
      </c>
      <c r="L32" s="4" t="s">
        <v>866</v>
      </c>
      <c r="M32" s="30" t="s">
        <v>867</v>
      </c>
      <c r="N32" s="4" t="s">
        <v>868</v>
      </c>
      <c r="O32" s="232">
        <v>45673</v>
      </c>
      <c r="P32" s="30">
        <v>2025</v>
      </c>
      <c r="Q32" s="30" t="s">
        <v>377</v>
      </c>
      <c r="R32" s="41" t="s">
        <v>869</v>
      </c>
      <c r="S32" s="40" t="s">
        <v>870</v>
      </c>
      <c r="T32" s="40" t="s">
        <v>871</v>
      </c>
      <c r="U32" s="32"/>
      <c r="V32" s="171"/>
      <c r="W32" s="30"/>
      <c r="X32" s="228"/>
    </row>
    <row r="33" spans="1:24" ht="52.5" customHeight="1">
      <c r="A33" s="30" t="s">
        <v>68</v>
      </c>
      <c r="B33" s="30" t="s">
        <v>35</v>
      </c>
      <c r="C33" s="30" t="s">
        <v>83</v>
      </c>
      <c r="D33" s="30" t="s">
        <v>84</v>
      </c>
      <c r="E33" s="30" t="s">
        <v>4</v>
      </c>
      <c r="F33" s="30" t="s">
        <v>872</v>
      </c>
      <c r="G33" s="30" t="s">
        <v>707</v>
      </c>
      <c r="H33" s="30" t="s">
        <v>228</v>
      </c>
      <c r="I33" s="30" t="s">
        <v>190</v>
      </c>
      <c r="J33" s="30" t="s">
        <v>873</v>
      </c>
      <c r="K33" s="30" t="s">
        <v>742</v>
      </c>
      <c r="L33" s="30" t="s">
        <v>874</v>
      </c>
      <c r="M33" s="30" t="s">
        <v>875</v>
      </c>
      <c r="N33" s="30" t="s">
        <v>876</v>
      </c>
      <c r="O33" s="233">
        <v>45962</v>
      </c>
      <c r="P33" s="30">
        <v>2025</v>
      </c>
      <c r="Q33" s="30" t="s">
        <v>162</v>
      </c>
      <c r="R33" s="31" t="s">
        <v>877</v>
      </c>
      <c r="S33" s="31" t="s">
        <v>878</v>
      </c>
      <c r="T33" s="31" t="s">
        <v>879</v>
      </c>
      <c r="U33" s="31" t="s">
        <v>880</v>
      </c>
      <c r="V33" s="32"/>
      <c r="W33" s="174"/>
      <c r="X33" s="174"/>
    </row>
    <row r="34" spans="1:24" ht="52.5" customHeight="1">
      <c r="A34" s="219" t="s">
        <v>68</v>
      </c>
      <c r="B34" s="219" t="s">
        <v>881</v>
      </c>
      <c r="C34" s="219" t="s">
        <v>571</v>
      </c>
      <c r="D34" s="219" t="s">
        <v>70</v>
      </c>
      <c r="E34" s="219" t="s">
        <v>5</v>
      </c>
      <c r="F34" s="219" t="s">
        <v>720</v>
      </c>
      <c r="G34" s="219" t="s">
        <v>707</v>
      </c>
      <c r="H34" s="219" t="s">
        <v>228</v>
      </c>
      <c r="I34" s="219" t="s">
        <v>190</v>
      </c>
      <c r="J34" s="219" t="s">
        <v>721</v>
      </c>
      <c r="K34" s="219" t="s">
        <v>742</v>
      </c>
      <c r="L34" s="219" t="s">
        <v>882</v>
      </c>
      <c r="M34" s="219" t="s">
        <v>883</v>
      </c>
      <c r="N34" s="219" t="s">
        <v>884</v>
      </c>
      <c r="O34" s="222"/>
      <c r="P34" s="222"/>
      <c r="Q34" s="219" t="s">
        <v>223</v>
      </c>
      <c r="R34" s="221"/>
      <c r="S34" s="221"/>
      <c r="T34" s="221"/>
      <c r="U34" s="221"/>
      <c r="V34" s="222"/>
      <c r="W34" s="219"/>
      <c r="X34" s="219"/>
    </row>
    <row r="35" spans="1:24" ht="52.5" customHeight="1">
      <c r="A35" s="219" t="s">
        <v>65</v>
      </c>
      <c r="B35" s="219" t="s">
        <v>59</v>
      </c>
      <c r="C35" s="219" t="s">
        <v>85</v>
      </c>
      <c r="D35" s="219" t="s">
        <v>76</v>
      </c>
      <c r="E35" s="219" t="s">
        <v>4</v>
      </c>
      <c r="F35" s="219" t="s">
        <v>885</v>
      </c>
      <c r="G35" s="219" t="s">
        <v>714</v>
      </c>
      <c r="H35" s="219" t="s">
        <v>228</v>
      </c>
      <c r="I35" s="219" t="s">
        <v>448</v>
      </c>
      <c r="J35" s="219" t="s">
        <v>886</v>
      </c>
      <c r="K35" s="219" t="s">
        <v>887</v>
      </c>
      <c r="L35" s="219" t="s">
        <v>888</v>
      </c>
      <c r="M35" s="219" t="s">
        <v>889</v>
      </c>
      <c r="N35" s="219" t="s">
        <v>890</v>
      </c>
      <c r="O35" s="219" t="s">
        <v>626</v>
      </c>
      <c r="P35" s="219">
        <v>2026</v>
      </c>
      <c r="Q35" s="219" t="s">
        <v>242</v>
      </c>
      <c r="R35" s="234" t="s">
        <v>891</v>
      </c>
      <c r="S35" s="230" t="s">
        <v>892</v>
      </c>
      <c r="T35" s="221"/>
      <c r="U35" s="230" t="s">
        <v>893</v>
      </c>
      <c r="V35" s="222"/>
      <c r="W35" s="219"/>
      <c r="X35" s="231"/>
    </row>
    <row r="36" spans="1:24" ht="52.5" customHeight="1">
      <c r="A36" s="163" t="s">
        <v>68</v>
      </c>
      <c r="B36" s="163" t="s">
        <v>36</v>
      </c>
      <c r="C36" s="164" t="s">
        <v>86</v>
      </c>
      <c r="D36" s="164" t="s">
        <v>70</v>
      </c>
      <c r="E36" s="164" t="s">
        <v>7</v>
      </c>
      <c r="F36" s="163" t="s">
        <v>894</v>
      </c>
      <c r="G36" s="164" t="s">
        <v>895</v>
      </c>
      <c r="H36" s="163" t="s">
        <v>896</v>
      </c>
      <c r="I36" s="163" t="s">
        <v>897</v>
      </c>
      <c r="J36" s="163" t="s">
        <v>898</v>
      </c>
      <c r="K36" s="163" t="s">
        <v>742</v>
      </c>
      <c r="L36" s="163" t="s">
        <v>899</v>
      </c>
      <c r="M36" s="163" t="s">
        <v>900</v>
      </c>
      <c r="N36" s="30" t="s">
        <v>901</v>
      </c>
      <c r="O36" s="163" t="s">
        <v>902</v>
      </c>
      <c r="P36" s="164">
        <v>2025</v>
      </c>
      <c r="Q36" s="163" t="s">
        <v>223</v>
      </c>
      <c r="R36" s="235" t="s">
        <v>903</v>
      </c>
      <c r="S36" s="34" t="s">
        <v>904</v>
      </c>
      <c r="T36" s="236"/>
      <c r="U36" s="237" t="s">
        <v>905</v>
      </c>
      <c r="V36" s="238"/>
      <c r="W36" s="239"/>
      <c r="X36" s="164"/>
    </row>
    <row r="37" spans="1:24" ht="52.5" customHeight="1">
      <c r="A37" s="163" t="s">
        <v>68</v>
      </c>
      <c r="B37" s="163" t="s">
        <v>36</v>
      </c>
      <c r="C37" s="164" t="s">
        <v>86</v>
      </c>
      <c r="D37" s="164" t="s">
        <v>70</v>
      </c>
      <c r="E37" s="164" t="s">
        <v>7</v>
      </c>
      <c r="F37" s="163" t="s">
        <v>906</v>
      </c>
      <c r="G37" s="164" t="s">
        <v>707</v>
      </c>
      <c r="H37" s="163" t="s">
        <v>228</v>
      </c>
      <c r="I37" s="163" t="s">
        <v>907</v>
      </c>
      <c r="J37" s="163" t="s">
        <v>908</v>
      </c>
      <c r="K37" s="163" t="s">
        <v>742</v>
      </c>
      <c r="L37" s="164" t="s">
        <v>909</v>
      </c>
      <c r="M37" s="163" t="s">
        <v>910</v>
      </c>
      <c r="N37" s="164" t="s">
        <v>911</v>
      </c>
      <c r="O37" s="163" t="s">
        <v>390</v>
      </c>
      <c r="P37" s="164">
        <v>2025</v>
      </c>
      <c r="Q37" s="163" t="s">
        <v>162</v>
      </c>
      <c r="R37" s="235" t="s">
        <v>912</v>
      </c>
      <c r="S37" s="237" t="s">
        <v>913</v>
      </c>
      <c r="T37" s="236"/>
      <c r="U37" s="237" t="s">
        <v>914</v>
      </c>
      <c r="V37" s="238"/>
      <c r="W37" s="240"/>
      <c r="X37" s="164"/>
    </row>
    <row r="38" spans="1:24" ht="52.5" customHeight="1">
      <c r="A38" s="164" t="s">
        <v>68</v>
      </c>
      <c r="B38" s="164" t="s">
        <v>36</v>
      </c>
      <c r="C38" s="164" t="s">
        <v>915</v>
      </c>
      <c r="D38" s="164" t="s">
        <v>84</v>
      </c>
      <c r="E38" s="164" t="s">
        <v>7</v>
      </c>
      <c r="F38" s="164" t="s">
        <v>872</v>
      </c>
      <c r="G38" s="164" t="s">
        <v>707</v>
      </c>
      <c r="H38" s="164" t="s">
        <v>228</v>
      </c>
      <c r="I38" s="164" t="s">
        <v>190</v>
      </c>
      <c r="J38" s="164" t="s">
        <v>873</v>
      </c>
      <c r="K38" s="164" t="s">
        <v>742</v>
      </c>
      <c r="L38" s="164" t="s">
        <v>874</v>
      </c>
      <c r="M38" s="164" t="s">
        <v>875</v>
      </c>
      <c r="N38" s="241"/>
      <c r="O38" s="242"/>
      <c r="P38" s="242"/>
      <c r="Q38" s="164" t="s">
        <v>223</v>
      </c>
      <c r="R38" s="243" t="s">
        <v>916</v>
      </c>
      <c r="S38" s="244" t="s">
        <v>878</v>
      </c>
      <c r="T38" s="244" t="s">
        <v>917</v>
      </c>
      <c r="U38" s="237" t="s">
        <v>918</v>
      </c>
      <c r="V38" s="245"/>
      <c r="W38" s="245"/>
      <c r="X38" s="246"/>
    </row>
    <row r="39" spans="1:24" ht="52.5" customHeight="1">
      <c r="A39" s="164" t="s">
        <v>68</v>
      </c>
      <c r="B39" s="164" t="s">
        <v>36</v>
      </c>
      <c r="C39" s="164" t="s">
        <v>915</v>
      </c>
      <c r="D39" s="164" t="s">
        <v>84</v>
      </c>
      <c r="E39" s="164" t="s">
        <v>7</v>
      </c>
      <c r="F39" s="164" t="s">
        <v>872</v>
      </c>
      <c r="G39" s="164" t="s">
        <v>707</v>
      </c>
      <c r="H39" s="164" t="s">
        <v>228</v>
      </c>
      <c r="I39" s="164" t="s">
        <v>190</v>
      </c>
      <c r="J39" s="164" t="s">
        <v>873</v>
      </c>
      <c r="K39" s="164" t="s">
        <v>730</v>
      </c>
      <c r="L39" s="164" t="s">
        <v>359</v>
      </c>
      <c r="M39" s="164" t="s">
        <v>359</v>
      </c>
      <c r="N39" s="164" t="s">
        <v>359</v>
      </c>
      <c r="O39" s="164" t="s">
        <v>359</v>
      </c>
      <c r="P39" s="242"/>
      <c r="Q39" s="164"/>
      <c r="R39" s="242"/>
      <c r="S39" s="242"/>
      <c r="T39" s="244" t="s">
        <v>919</v>
      </c>
      <c r="U39" s="164"/>
      <c r="V39" s="245"/>
      <c r="W39" s="246"/>
      <c r="X39" s="246"/>
    </row>
    <row r="40" spans="1:24" ht="52.5" customHeight="1">
      <c r="A40" s="33" t="s">
        <v>95</v>
      </c>
      <c r="B40" s="28" t="s">
        <v>37</v>
      </c>
      <c r="C40" s="164" t="s">
        <v>66</v>
      </c>
      <c r="D40" s="164" t="s">
        <v>70</v>
      </c>
      <c r="E40" s="4" t="s">
        <v>5</v>
      </c>
      <c r="F40" s="33" t="s">
        <v>920</v>
      </c>
      <c r="G40" s="164" t="s">
        <v>707</v>
      </c>
      <c r="H40" s="164" t="s">
        <v>228</v>
      </c>
      <c r="I40" s="164" t="s">
        <v>921</v>
      </c>
      <c r="J40" s="164" t="s">
        <v>922</v>
      </c>
      <c r="K40" s="247" t="s">
        <v>923</v>
      </c>
      <c r="L40" s="28" t="s">
        <v>37</v>
      </c>
      <c r="M40" s="33" t="s">
        <v>924</v>
      </c>
      <c r="N40" s="248"/>
      <c r="O40" s="249">
        <v>45930</v>
      </c>
      <c r="P40" s="164">
        <v>2025</v>
      </c>
      <c r="Q40" s="164" t="s">
        <v>242</v>
      </c>
      <c r="R40" s="41" t="s">
        <v>925</v>
      </c>
      <c r="S40" s="34" t="s">
        <v>926</v>
      </c>
      <c r="T40" s="250"/>
      <c r="U40" s="248"/>
      <c r="V40" s="251"/>
      <c r="W40" s="196"/>
      <c r="X40" s="35"/>
    </row>
    <row r="41" spans="1:24" ht="52.5" customHeight="1">
      <c r="A41" s="252" t="s">
        <v>68</v>
      </c>
      <c r="B41" s="252" t="s">
        <v>927</v>
      </c>
      <c r="C41" s="253" t="s">
        <v>928</v>
      </c>
      <c r="D41" s="252" t="s">
        <v>80</v>
      </c>
      <c r="E41" s="252" t="s">
        <v>6</v>
      </c>
      <c r="F41" s="254" t="s">
        <v>929</v>
      </c>
      <c r="G41" s="164" t="s">
        <v>707</v>
      </c>
      <c r="H41" s="254" t="s">
        <v>228</v>
      </c>
      <c r="I41" s="254" t="s">
        <v>448</v>
      </c>
      <c r="J41" s="254" t="s">
        <v>930</v>
      </c>
      <c r="K41" s="255" t="s">
        <v>742</v>
      </c>
      <c r="L41" s="254" t="s">
        <v>931</v>
      </c>
      <c r="M41" s="254" t="s">
        <v>932</v>
      </c>
      <c r="N41" s="33" t="s">
        <v>933</v>
      </c>
      <c r="O41" s="254" t="s">
        <v>934</v>
      </c>
      <c r="P41" s="256">
        <v>2025</v>
      </c>
      <c r="Q41" s="254" t="s">
        <v>162</v>
      </c>
      <c r="R41" s="254" t="s">
        <v>935</v>
      </c>
      <c r="S41" s="257" t="s">
        <v>936</v>
      </c>
      <c r="T41" s="242"/>
      <c r="U41" s="242"/>
      <c r="V41" s="245"/>
      <c r="W41" s="245"/>
      <c r="X41" s="258"/>
    </row>
    <row r="42" spans="1:24" ht="52.5" customHeight="1">
      <c r="A42" s="252" t="s">
        <v>68</v>
      </c>
      <c r="B42" s="252" t="s">
        <v>927</v>
      </c>
      <c r="C42" s="253" t="s">
        <v>928</v>
      </c>
      <c r="D42" s="252" t="s">
        <v>80</v>
      </c>
      <c r="E42" s="252" t="s">
        <v>6</v>
      </c>
      <c r="F42" s="254" t="s">
        <v>937</v>
      </c>
      <c r="G42" s="164" t="s">
        <v>707</v>
      </c>
      <c r="H42" s="254" t="s">
        <v>228</v>
      </c>
      <c r="I42" s="254" t="s">
        <v>448</v>
      </c>
      <c r="J42" s="254" t="s">
        <v>938</v>
      </c>
      <c r="K42" s="254" t="s">
        <v>730</v>
      </c>
      <c r="L42" s="254" t="s">
        <v>939</v>
      </c>
      <c r="M42" s="254" t="s">
        <v>940</v>
      </c>
      <c r="N42" s="175">
        <v>45663</v>
      </c>
      <c r="O42" s="254" t="s">
        <v>934</v>
      </c>
      <c r="P42" s="256">
        <v>2025</v>
      </c>
      <c r="Q42" s="256" t="s">
        <v>162</v>
      </c>
      <c r="R42" s="256" t="s">
        <v>941</v>
      </c>
      <c r="S42" s="257" t="s">
        <v>942</v>
      </c>
      <c r="T42" s="245"/>
      <c r="U42" s="245"/>
      <c r="V42" s="242"/>
      <c r="W42" s="164"/>
      <c r="X42" s="259"/>
    </row>
    <row r="43" spans="1:24" ht="52.5" customHeight="1">
      <c r="A43" s="252" t="s">
        <v>68</v>
      </c>
      <c r="B43" s="252" t="s">
        <v>927</v>
      </c>
      <c r="C43" s="253" t="s">
        <v>928</v>
      </c>
      <c r="D43" s="252" t="s">
        <v>80</v>
      </c>
      <c r="E43" s="252" t="s">
        <v>6</v>
      </c>
      <c r="F43" s="254" t="s">
        <v>937</v>
      </c>
      <c r="G43" s="164" t="s">
        <v>707</v>
      </c>
      <c r="H43" s="254" t="s">
        <v>228</v>
      </c>
      <c r="I43" s="254" t="s">
        <v>448</v>
      </c>
      <c r="J43" s="254" t="s">
        <v>938</v>
      </c>
      <c r="K43" s="255" t="s">
        <v>742</v>
      </c>
      <c r="L43" s="254" t="s">
        <v>943</v>
      </c>
      <c r="M43" s="256" t="s">
        <v>944</v>
      </c>
      <c r="N43" s="175">
        <v>45662</v>
      </c>
      <c r="O43" s="254" t="s">
        <v>934</v>
      </c>
      <c r="P43" s="256">
        <v>2025</v>
      </c>
      <c r="Q43" s="254" t="s">
        <v>162</v>
      </c>
      <c r="R43" s="254" t="s">
        <v>945</v>
      </c>
      <c r="S43" s="257" t="s">
        <v>946</v>
      </c>
      <c r="T43" s="245"/>
      <c r="U43" s="245"/>
      <c r="V43" s="242"/>
      <c r="W43" s="242"/>
      <c r="X43" s="259"/>
    </row>
    <row r="44" spans="1:24" ht="52.5" customHeight="1">
      <c r="A44" s="252" t="s">
        <v>68</v>
      </c>
      <c r="B44" s="252" t="s">
        <v>927</v>
      </c>
      <c r="C44" s="253" t="s">
        <v>928</v>
      </c>
      <c r="D44" s="252" t="s">
        <v>80</v>
      </c>
      <c r="E44" s="252" t="s">
        <v>6</v>
      </c>
      <c r="F44" s="256" t="s">
        <v>947</v>
      </c>
      <c r="G44" s="164" t="s">
        <v>707</v>
      </c>
      <c r="H44" s="254" t="s">
        <v>228</v>
      </c>
      <c r="I44" s="254" t="s">
        <v>448</v>
      </c>
      <c r="J44" s="254" t="s">
        <v>948</v>
      </c>
      <c r="K44" s="255" t="s">
        <v>742</v>
      </c>
      <c r="L44" s="254" t="s">
        <v>949</v>
      </c>
      <c r="M44" s="256" t="s">
        <v>950</v>
      </c>
      <c r="N44" s="175">
        <v>45663</v>
      </c>
      <c r="O44" s="254" t="s">
        <v>951</v>
      </c>
      <c r="P44" s="256">
        <v>2025</v>
      </c>
      <c r="Q44" s="254" t="s">
        <v>162</v>
      </c>
      <c r="R44" s="254" t="s">
        <v>952</v>
      </c>
      <c r="S44" s="257" t="s">
        <v>953</v>
      </c>
      <c r="T44" s="258"/>
      <c r="U44" s="258"/>
      <c r="V44" s="259"/>
      <c r="W44" s="259"/>
      <c r="X44" s="259"/>
    </row>
    <row r="45" spans="1:24" ht="52.5" customHeight="1">
      <c r="A45" s="252" t="s">
        <v>68</v>
      </c>
      <c r="B45" s="252" t="s">
        <v>927</v>
      </c>
      <c r="C45" s="253" t="s">
        <v>928</v>
      </c>
      <c r="D45" s="252" t="s">
        <v>80</v>
      </c>
      <c r="E45" s="252" t="s">
        <v>6</v>
      </c>
      <c r="F45" s="254" t="s">
        <v>954</v>
      </c>
      <c r="G45" s="164" t="s">
        <v>707</v>
      </c>
      <c r="H45" s="254" t="s">
        <v>228</v>
      </c>
      <c r="I45" s="254" t="s">
        <v>448</v>
      </c>
      <c r="J45" s="254" t="s">
        <v>955</v>
      </c>
      <c r="K45" s="255" t="s">
        <v>742</v>
      </c>
      <c r="L45" s="254" t="s">
        <v>956</v>
      </c>
      <c r="M45" s="254" t="s">
        <v>954</v>
      </c>
      <c r="N45" s="175">
        <v>45663</v>
      </c>
      <c r="O45" s="254" t="s">
        <v>390</v>
      </c>
      <c r="P45" s="256">
        <v>2025</v>
      </c>
      <c r="Q45" s="254" t="s">
        <v>162</v>
      </c>
      <c r="R45" s="254" t="s">
        <v>957</v>
      </c>
      <c r="S45" s="257" t="s">
        <v>958</v>
      </c>
      <c r="T45" s="258"/>
      <c r="U45" s="258"/>
      <c r="V45" s="259"/>
      <c r="W45" s="259"/>
      <c r="X45" s="259"/>
    </row>
    <row r="46" spans="1:24" ht="52.5" customHeight="1">
      <c r="A46" s="30" t="s">
        <v>88</v>
      </c>
      <c r="B46" s="30" t="s">
        <v>38</v>
      </c>
      <c r="C46" s="30" t="s">
        <v>89</v>
      </c>
      <c r="D46" s="30" t="s">
        <v>76</v>
      </c>
      <c r="E46" s="30" t="s">
        <v>5</v>
      </c>
      <c r="F46" s="33" t="s">
        <v>959</v>
      </c>
      <c r="G46" s="30" t="s">
        <v>714</v>
      </c>
      <c r="H46" s="30" t="s">
        <v>736</v>
      </c>
      <c r="I46" s="30" t="s">
        <v>448</v>
      </c>
      <c r="J46" s="30" t="s">
        <v>960</v>
      </c>
      <c r="K46" s="30" t="s">
        <v>742</v>
      </c>
      <c r="L46" s="30" t="s">
        <v>38</v>
      </c>
      <c r="M46" s="30" t="s">
        <v>961</v>
      </c>
      <c r="N46" s="171"/>
      <c r="O46" s="30" t="s">
        <v>962</v>
      </c>
      <c r="P46" s="30">
        <v>2025</v>
      </c>
      <c r="Q46" s="171"/>
      <c r="R46" s="41" t="s">
        <v>963</v>
      </c>
      <c r="S46" s="171"/>
      <c r="T46" s="171"/>
      <c r="U46" s="171"/>
      <c r="V46" s="32"/>
      <c r="W46" s="174"/>
      <c r="X46" s="178"/>
    </row>
    <row r="47" spans="1:24" ht="52.5" customHeight="1">
      <c r="A47" s="4" t="s">
        <v>88</v>
      </c>
      <c r="B47" s="4" t="s">
        <v>38</v>
      </c>
      <c r="C47" s="4" t="s">
        <v>89</v>
      </c>
      <c r="D47" s="4" t="s">
        <v>76</v>
      </c>
      <c r="E47" s="4" t="s">
        <v>5</v>
      </c>
      <c r="F47" s="37" t="s">
        <v>706</v>
      </c>
      <c r="G47" s="4" t="s">
        <v>714</v>
      </c>
      <c r="H47" s="4" t="s">
        <v>228</v>
      </c>
      <c r="I47" s="4" t="s">
        <v>448</v>
      </c>
      <c r="J47" s="17"/>
      <c r="K47" s="27" t="s">
        <v>742</v>
      </c>
      <c r="L47" s="4" t="s">
        <v>38</v>
      </c>
      <c r="M47" s="37" t="s">
        <v>709</v>
      </c>
      <c r="N47" s="260"/>
      <c r="O47" s="261">
        <v>45689</v>
      </c>
      <c r="P47" s="4">
        <v>2025</v>
      </c>
      <c r="Q47" s="17"/>
      <c r="R47" s="12" t="s">
        <v>964</v>
      </c>
      <c r="S47" s="7" t="s">
        <v>965</v>
      </c>
      <c r="T47" s="22"/>
      <c r="U47" s="22"/>
      <c r="V47" s="17"/>
      <c r="W47" s="174"/>
      <c r="X47" s="39"/>
    </row>
    <row r="48" spans="1:24" ht="52.5" customHeight="1">
      <c r="A48" s="196" t="s">
        <v>65</v>
      </c>
      <c r="B48" s="262" t="s">
        <v>29</v>
      </c>
      <c r="C48" s="164" t="s">
        <v>66</v>
      </c>
      <c r="D48" s="164" t="s">
        <v>67</v>
      </c>
      <c r="E48" s="4" t="s">
        <v>5</v>
      </c>
      <c r="F48" s="33" t="s">
        <v>920</v>
      </c>
      <c r="G48" s="164" t="s">
        <v>707</v>
      </c>
      <c r="H48" s="164" t="s">
        <v>228</v>
      </c>
      <c r="I48" s="164" t="s">
        <v>921</v>
      </c>
      <c r="J48" s="164" t="s">
        <v>922</v>
      </c>
      <c r="K48" s="164" t="s">
        <v>887</v>
      </c>
      <c r="L48" s="164" t="s">
        <v>29</v>
      </c>
      <c r="M48" s="33" t="s">
        <v>924</v>
      </c>
      <c r="N48" s="248"/>
      <c r="O48" s="249">
        <v>45930</v>
      </c>
      <c r="P48" s="164">
        <v>2025</v>
      </c>
      <c r="Q48" s="164" t="s">
        <v>242</v>
      </c>
      <c r="R48" s="34" t="s">
        <v>966</v>
      </c>
      <c r="S48" s="34" t="s">
        <v>967</v>
      </c>
      <c r="T48" s="250"/>
      <c r="U48" s="248"/>
      <c r="V48" s="263"/>
      <c r="W48" s="246"/>
      <c r="X48" s="263"/>
    </row>
    <row r="49" spans="1:24" ht="52.5" customHeight="1">
      <c r="A49" s="1"/>
      <c r="B49" s="197" t="s">
        <v>38</v>
      </c>
      <c r="C49" s="164" t="s">
        <v>89</v>
      </c>
      <c r="D49" s="164" t="s">
        <v>67</v>
      </c>
      <c r="E49" s="4" t="s">
        <v>5</v>
      </c>
      <c r="F49" s="264" t="s">
        <v>968</v>
      </c>
      <c r="G49" s="30" t="s">
        <v>714</v>
      </c>
      <c r="H49" s="30" t="s">
        <v>228</v>
      </c>
      <c r="I49" s="208" t="s">
        <v>448</v>
      </c>
      <c r="J49" s="200" t="s">
        <v>969</v>
      </c>
      <c r="K49" s="30" t="s">
        <v>716</v>
      </c>
      <c r="L49" s="200" t="s">
        <v>38</v>
      </c>
      <c r="M49" s="208"/>
      <c r="N49" s="147"/>
      <c r="O49" s="209" t="s">
        <v>970</v>
      </c>
      <c r="P49" s="210">
        <v>2025</v>
      </c>
      <c r="Q49" s="208"/>
      <c r="R49" s="208"/>
      <c r="S49" s="211"/>
      <c r="T49" s="201"/>
      <c r="U49" s="201"/>
      <c r="V49" s="265" t="s">
        <v>971</v>
      </c>
      <c r="W49" s="213"/>
      <c r="X49" s="214"/>
    </row>
    <row r="50" spans="1:24" ht="52.5" customHeight="1">
      <c r="A50" s="1"/>
      <c r="B50" s="197" t="s">
        <v>38</v>
      </c>
      <c r="C50" s="164" t="s">
        <v>89</v>
      </c>
      <c r="D50" s="164" t="s">
        <v>67</v>
      </c>
      <c r="E50" s="4" t="s">
        <v>5</v>
      </c>
      <c r="F50" s="266" t="s">
        <v>972</v>
      </c>
      <c r="G50" s="30" t="s">
        <v>714</v>
      </c>
      <c r="H50" s="30" t="s">
        <v>228</v>
      </c>
      <c r="I50" s="208" t="s">
        <v>448</v>
      </c>
      <c r="J50" s="267" t="s">
        <v>969</v>
      </c>
      <c r="K50" s="30" t="s">
        <v>716</v>
      </c>
      <c r="L50" s="200" t="s">
        <v>38</v>
      </c>
      <c r="M50" s="208"/>
      <c r="N50" s="147"/>
      <c r="O50" s="209" t="s">
        <v>553</v>
      </c>
      <c r="P50" s="210">
        <v>2025</v>
      </c>
      <c r="Q50" s="173"/>
      <c r="R50" s="268"/>
      <c r="S50" s="268"/>
      <c r="T50" s="268"/>
      <c r="U50" s="268"/>
      <c r="V50" s="269" t="s">
        <v>973</v>
      </c>
      <c r="W50" s="270"/>
      <c r="X50" s="1"/>
    </row>
    <row r="51" spans="1:24" ht="52.5" customHeight="1">
      <c r="A51" s="163" t="s">
        <v>65</v>
      </c>
      <c r="B51" s="163" t="s">
        <v>974</v>
      </c>
      <c r="C51" s="256" t="s">
        <v>90</v>
      </c>
      <c r="D51" s="164" t="s">
        <v>67</v>
      </c>
      <c r="E51" s="164" t="s">
        <v>3</v>
      </c>
      <c r="F51" s="254" t="s">
        <v>975</v>
      </c>
      <c r="G51" s="164" t="s">
        <v>707</v>
      </c>
      <c r="H51" s="254" t="s">
        <v>228</v>
      </c>
      <c r="I51" s="254" t="s">
        <v>448</v>
      </c>
      <c r="J51" s="163" t="s">
        <v>976</v>
      </c>
      <c r="K51" s="254" t="s">
        <v>742</v>
      </c>
      <c r="L51" s="163" t="s">
        <v>977</v>
      </c>
      <c r="M51" s="163" t="s">
        <v>978</v>
      </c>
      <c r="N51" s="38"/>
      <c r="O51" s="163" t="s">
        <v>979</v>
      </c>
      <c r="P51" s="164">
        <v>2025</v>
      </c>
      <c r="Q51" s="163" t="s">
        <v>162</v>
      </c>
      <c r="R51" s="271" t="s">
        <v>980</v>
      </c>
      <c r="S51" s="272" t="s">
        <v>981</v>
      </c>
      <c r="T51" s="258"/>
      <c r="U51" s="258"/>
      <c r="V51" s="259"/>
      <c r="W51" s="259"/>
      <c r="X51" s="259"/>
    </row>
    <row r="52" spans="1:24" ht="52.5" customHeight="1">
      <c r="A52" s="163" t="s">
        <v>78</v>
      </c>
      <c r="B52" s="163" t="s">
        <v>56</v>
      </c>
      <c r="C52" s="4" t="s">
        <v>122</v>
      </c>
      <c r="D52" s="164" t="s">
        <v>67</v>
      </c>
      <c r="E52" s="164" t="s">
        <v>3</v>
      </c>
      <c r="F52" s="254" t="s">
        <v>982</v>
      </c>
      <c r="G52" s="164" t="s">
        <v>707</v>
      </c>
      <c r="H52" s="254" t="s">
        <v>228</v>
      </c>
      <c r="I52" s="254" t="s">
        <v>983</v>
      </c>
      <c r="J52" s="163" t="s">
        <v>984</v>
      </c>
      <c r="K52" s="254" t="s">
        <v>742</v>
      </c>
      <c r="L52" s="5" t="s">
        <v>985</v>
      </c>
      <c r="M52" s="273" t="s">
        <v>986</v>
      </c>
      <c r="N52" s="38"/>
      <c r="O52" s="163"/>
      <c r="P52" s="164">
        <v>2025</v>
      </c>
      <c r="Q52" s="163" t="s">
        <v>377</v>
      </c>
      <c r="R52" s="163"/>
      <c r="S52" s="164"/>
      <c r="T52" s="246" t="s">
        <v>987</v>
      </c>
      <c r="U52" s="258"/>
      <c r="V52" s="259"/>
      <c r="W52" s="164"/>
      <c r="X52" s="259"/>
    </row>
    <row r="53" spans="1:24" ht="52.5" customHeight="1">
      <c r="A53" s="9" t="s">
        <v>68</v>
      </c>
      <c r="B53" s="9" t="s">
        <v>42</v>
      </c>
      <c r="C53" s="9" t="s">
        <v>93</v>
      </c>
      <c r="D53" s="9" t="s">
        <v>80</v>
      </c>
      <c r="E53" s="9" t="s">
        <v>5</v>
      </c>
      <c r="F53" s="9" t="s">
        <v>988</v>
      </c>
      <c r="G53" s="9" t="s">
        <v>707</v>
      </c>
      <c r="H53" s="9" t="s">
        <v>228</v>
      </c>
      <c r="I53" s="9" t="s">
        <v>448</v>
      </c>
      <c r="J53" s="9" t="s">
        <v>989</v>
      </c>
      <c r="K53" s="9" t="s">
        <v>990</v>
      </c>
      <c r="L53" s="4" t="s">
        <v>991</v>
      </c>
      <c r="M53" s="9" t="s">
        <v>992</v>
      </c>
      <c r="N53" s="9" t="s">
        <v>993</v>
      </c>
      <c r="O53" s="104">
        <v>45717</v>
      </c>
      <c r="P53" s="9">
        <v>2025</v>
      </c>
      <c r="Q53" s="9" t="s">
        <v>162</v>
      </c>
      <c r="R53" s="14" t="s">
        <v>994</v>
      </c>
      <c r="S53" s="13" t="s">
        <v>995</v>
      </c>
      <c r="T53" s="13" t="s">
        <v>94</v>
      </c>
      <c r="U53" s="13" t="s">
        <v>94</v>
      </c>
      <c r="V53" s="13" t="s">
        <v>94</v>
      </c>
      <c r="W53" s="274"/>
      <c r="X53" s="30"/>
    </row>
    <row r="54" spans="1:24" ht="52.5" customHeight="1">
      <c r="A54" s="4" t="s">
        <v>68</v>
      </c>
      <c r="B54" s="4" t="s">
        <v>42</v>
      </c>
      <c r="C54" s="4" t="s">
        <v>93</v>
      </c>
      <c r="D54" s="4" t="s">
        <v>80</v>
      </c>
      <c r="E54" s="9" t="s">
        <v>5</v>
      </c>
      <c r="F54" s="4" t="s">
        <v>988</v>
      </c>
      <c r="G54" s="4" t="s">
        <v>707</v>
      </c>
      <c r="H54" s="4" t="s">
        <v>228</v>
      </c>
      <c r="I54" s="4" t="s">
        <v>448</v>
      </c>
      <c r="J54" s="4" t="s">
        <v>989</v>
      </c>
      <c r="K54" s="4" t="s">
        <v>990</v>
      </c>
      <c r="L54" s="4" t="s">
        <v>996</v>
      </c>
      <c r="M54" s="4" t="s">
        <v>997</v>
      </c>
      <c r="N54" s="4" t="s">
        <v>998</v>
      </c>
      <c r="O54" s="20">
        <v>45741</v>
      </c>
      <c r="P54" s="4">
        <v>2025</v>
      </c>
      <c r="Q54" s="4" t="s">
        <v>162</v>
      </c>
      <c r="R54" s="4" t="s">
        <v>999</v>
      </c>
      <c r="S54" s="12" t="s">
        <v>1000</v>
      </c>
      <c r="T54" s="12" t="s">
        <v>94</v>
      </c>
      <c r="U54" s="12" t="s">
        <v>94</v>
      </c>
      <c r="V54" s="12" t="s">
        <v>94</v>
      </c>
      <c r="W54" s="274"/>
      <c r="X54" s="30"/>
    </row>
    <row r="55" spans="1:24" ht="52.5" customHeight="1">
      <c r="A55" s="9" t="s">
        <v>68</v>
      </c>
      <c r="B55" s="9" t="s">
        <v>42</v>
      </c>
      <c r="C55" s="9" t="s">
        <v>93</v>
      </c>
      <c r="D55" s="9" t="s">
        <v>80</v>
      </c>
      <c r="E55" s="9" t="s">
        <v>5</v>
      </c>
      <c r="F55" s="9" t="s">
        <v>1001</v>
      </c>
      <c r="G55" s="9" t="s">
        <v>707</v>
      </c>
      <c r="H55" s="9" t="s">
        <v>228</v>
      </c>
      <c r="I55" s="9" t="s">
        <v>190</v>
      </c>
      <c r="J55" s="9" t="s">
        <v>1002</v>
      </c>
      <c r="K55" s="9" t="s">
        <v>742</v>
      </c>
      <c r="L55" s="9" t="s">
        <v>1003</v>
      </c>
      <c r="M55" s="9" t="s">
        <v>1004</v>
      </c>
      <c r="N55" s="8"/>
      <c r="O55" s="9" t="s">
        <v>321</v>
      </c>
      <c r="P55" s="9">
        <v>2025</v>
      </c>
      <c r="Q55" s="9" t="s">
        <v>162</v>
      </c>
      <c r="R55" s="90"/>
      <c r="S55" s="13" t="s">
        <v>1005</v>
      </c>
      <c r="T55" s="13" t="s">
        <v>94</v>
      </c>
      <c r="U55" s="13" t="s">
        <v>94</v>
      </c>
      <c r="V55" s="13" t="s">
        <v>94</v>
      </c>
      <c r="W55" s="274"/>
      <c r="X55" s="30"/>
    </row>
    <row r="56" spans="1:24" ht="52.5" customHeight="1">
      <c r="A56" s="4" t="s">
        <v>68</v>
      </c>
      <c r="B56" s="4" t="s">
        <v>42</v>
      </c>
      <c r="C56" s="4" t="s">
        <v>93</v>
      </c>
      <c r="D56" s="4" t="s">
        <v>80</v>
      </c>
      <c r="E56" s="9" t="s">
        <v>5</v>
      </c>
      <c r="F56" s="4" t="s">
        <v>1006</v>
      </c>
      <c r="G56" s="4" t="s">
        <v>707</v>
      </c>
      <c r="H56" s="4" t="s">
        <v>228</v>
      </c>
      <c r="I56" s="4" t="s">
        <v>448</v>
      </c>
      <c r="J56" s="4" t="s">
        <v>1007</v>
      </c>
      <c r="K56" s="4" t="s">
        <v>730</v>
      </c>
      <c r="L56" s="4" t="s">
        <v>42</v>
      </c>
      <c r="M56" s="138"/>
      <c r="N56" s="8"/>
      <c r="O56" s="4" t="s">
        <v>364</v>
      </c>
      <c r="P56" s="4">
        <v>2024</v>
      </c>
      <c r="Q56" s="4" t="s">
        <v>162</v>
      </c>
      <c r="R56" s="8"/>
      <c r="S56" s="90"/>
      <c r="T56" s="90"/>
      <c r="U56" s="90"/>
      <c r="V56" s="8"/>
      <c r="W56" s="274"/>
      <c r="X56" s="30"/>
    </row>
    <row r="57" spans="1:24" ht="52.5" customHeight="1">
      <c r="A57" s="9" t="s">
        <v>68</v>
      </c>
      <c r="B57" s="9" t="s">
        <v>42</v>
      </c>
      <c r="C57" s="9" t="s">
        <v>93</v>
      </c>
      <c r="D57" s="9" t="s">
        <v>80</v>
      </c>
      <c r="E57" s="9" t="s">
        <v>5</v>
      </c>
      <c r="F57" s="9" t="s">
        <v>1008</v>
      </c>
      <c r="G57" s="9" t="s">
        <v>707</v>
      </c>
      <c r="H57" s="9" t="s">
        <v>228</v>
      </c>
      <c r="I57" s="275"/>
      <c r="J57" s="9" t="s">
        <v>1009</v>
      </c>
      <c r="K57" s="276" t="s">
        <v>990</v>
      </c>
      <c r="L57" s="9" t="s">
        <v>1010</v>
      </c>
      <c r="M57" s="9" t="s">
        <v>1011</v>
      </c>
      <c r="N57" s="8"/>
      <c r="O57" s="9" t="s">
        <v>321</v>
      </c>
      <c r="P57" s="9">
        <v>2025</v>
      </c>
      <c r="Q57" s="9" t="s">
        <v>223</v>
      </c>
      <c r="R57" s="8"/>
      <c r="S57" s="127"/>
      <c r="T57" s="13" t="s">
        <v>94</v>
      </c>
      <c r="U57" s="127"/>
      <c r="V57" s="34" t="s">
        <v>1012</v>
      </c>
      <c r="W57" s="274"/>
      <c r="X57" s="30"/>
    </row>
    <row r="58" spans="1:24" ht="52.5" customHeight="1">
      <c r="A58" s="30" t="s">
        <v>95</v>
      </c>
      <c r="B58" s="30" t="s">
        <v>10</v>
      </c>
      <c r="C58" s="4" t="s">
        <v>96</v>
      </c>
      <c r="D58" s="30" t="s">
        <v>70</v>
      </c>
      <c r="E58" s="30" t="s">
        <v>0</v>
      </c>
      <c r="F58" s="30" t="s">
        <v>1013</v>
      </c>
      <c r="G58" s="30" t="s">
        <v>714</v>
      </c>
      <c r="H58" s="30" t="s">
        <v>228</v>
      </c>
      <c r="I58" s="180" t="s">
        <v>448</v>
      </c>
      <c r="J58" s="33" t="s">
        <v>1014</v>
      </c>
      <c r="K58" s="30" t="s">
        <v>742</v>
      </c>
      <c r="L58" s="30" t="s">
        <v>10</v>
      </c>
      <c r="M58" s="33" t="s">
        <v>1015</v>
      </c>
      <c r="N58" s="30" t="s">
        <v>448</v>
      </c>
      <c r="O58" s="30" t="s">
        <v>1016</v>
      </c>
      <c r="P58" s="30">
        <v>2025</v>
      </c>
      <c r="Q58" s="30" t="s">
        <v>223</v>
      </c>
      <c r="R58" s="31" t="s">
        <v>1017</v>
      </c>
      <c r="S58" s="31" t="s">
        <v>1018</v>
      </c>
      <c r="T58" s="31" t="s">
        <v>1019</v>
      </c>
      <c r="U58" s="32"/>
      <c r="V58" s="171"/>
      <c r="W58" s="171"/>
      <c r="X58" s="30"/>
    </row>
    <row r="59" spans="1:24" ht="52.5" customHeight="1">
      <c r="A59" s="30" t="s">
        <v>78</v>
      </c>
      <c r="B59" s="30" t="s">
        <v>10</v>
      </c>
      <c r="C59" s="4" t="s">
        <v>96</v>
      </c>
      <c r="D59" s="30" t="s">
        <v>70</v>
      </c>
      <c r="E59" s="30" t="s">
        <v>0</v>
      </c>
      <c r="F59" s="4" t="s">
        <v>1020</v>
      </c>
      <c r="G59" s="30" t="s">
        <v>714</v>
      </c>
      <c r="H59" s="30" t="s">
        <v>228</v>
      </c>
      <c r="I59" s="277" t="s">
        <v>1021</v>
      </c>
      <c r="J59" s="33" t="s">
        <v>1022</v>
      </c>
      <c r="K59" s="180" t="s">
        <v>742</v>
      </c>
      <c r="L59" s="30" t="s">
        <v>10</v>
      </c>
      <c r="M59" s="4" t="s">
        <v>1023</v>
      </c>
      <c r="N59" s="30" t="s">
        <v>158</v>
      </c>
      <c r="O59" s="30" t="s">
        <v>1024</v>
      </c>
      <c r="P59" s="30">
        <v>2025</v>
      </c>
      <c r="Q59" s="30" t="s">
        <v>223</v>
      </c>
      <c r="R59" s="31" t="s">
        <v>1025</v>
      </c>
      <c r="S59" s="31" t="s">
        <v>1026</v>
      </c>
      <c r="T59" s="40" t="s">
        <v>1027</v>
      </c>
      <c r="U59" s="32"/>
      <c r="V59" s="171"/>
      <c r="W59" s="171"/>
      <c r="X59" s="30"/>
    </row>
    <row r="60" spans="1:24" ht="52.5" customHeight="1">
      <c r="A60" s="219" t="s">
        <v>95</v>
      </c>
      <c r="B60" s="219" t="s">
        <v>10</v>
      </c>
      <c r="C60" s="219" t="s">
        <v>96</v>
      </c>
      <c r="D60" s="219" t="s">
        <v>70</v>
      </c>
      <c r="E60" s="219" t="s">
        <v>0</v>
      </c>
      <c r="F60" s="219" t="s">
        <v>1028</v>
      </c>
      <c r="G60" s="219" t="s">
        <v>714</v>
      </c>
      <c r="H60" s="219" t="s">
        <v>228</v>
      </c>
      <c r="I60" s="219" t="s">
        <v>448</v>
      </c>
      <c r="J60" s="278" t="s">
        <v>1029</v>
      </c>
      <c r="K60" s="219" t="s">
        <v>742</v>
      </c>
      <c r="L60" s="219" t="s">
        <v>10</v>
      </c>
      <c r="M60" s="219" t="s">
        <v>1030</v>
      </c>
      <c r="N60" s="219" t="s">
        <v>448</v>
      </c>
      <c r="O60" s="222"/>
      <c r="P60" s="222"/>
      <c r="Q60" s="222"/>
      <c r="R60" s="222"/>
      <c r="S60" s="222"/>
      <c r="T60" s="221"/>
      <c r="U60" s="221"/>
      <c r="V60" s="222"/>
      <c r="W60" s="222"/>
      <c r="X60" s="231"/>
    </row>
    <row r="61" spans="1:24" ht="52.5" customHeight="1">
      <c r="A61" s="33" t="s">
        <v>78</v>
      </c>
      <c r="B61" s="30" t="s">
        <v>10</v>
      </c>
      <c r="C61" s="4" t="s">
        <v>96</v>
      </c>
      <c r="D61" s="30" t="s">
        <v>70</v>
      </c>
      <c r="E61" s="30" t="s">
        <v>0</v>
      </c>
      <c r="F61" s="33" t="s">
        <v>1031</v>
      </c>
      <c r="G61" s="279" t="s">
        <v>707</v>
      </c>
      <c r="H61" s="30" t="s">
        <v>228</v>
      </c>
      <c r="I61" s="3" t="s">
        <v>190</v>
      </c>
      <c r="J61" s="280" t="s">
        <v>1032</v>
      </c>
      <c r="K61" s="2" t="s">
        <v>716</v>
      </c>
      <c r="L61" s="33" t="s">
        <v>359</v>
      </c>
      <c r="M61" s="33" t="s">
        <v>359</v>
      </c>
      <c r="N61" s="33" t="s">
        <v>359</v>
      </c>
      <c r="O61" s="33" t="s">
        <v>359</v>
      </c>
      <c r="P61" s="33">
        <v>2025</v>
      </c>
      <c r="Q61" s="33" t="s">
        <v>359</v>
      </c>
      <c r="R61" s="33" t="s">
        <v>359</v>
      </c>
      <c r="S61" s="33" t="s">
        <v>359</v>
      </c>
      <c r="T61" s="33" t="s">
        <v>359</v>
      </c>
      <c r="U61" s="33" t="s">
        <v>359</v>
      </c>
      <c r="V61" s="281" t="s">
        <v>1033</v>
      </c>
      <c r="W61" s="171"/>
      <c r="X61" s="280"/>
    </row>
    <row r="62" spans="1:24" ht="52.5" customHeight="1">
      <c r="A62" s="33" t="s">
        <v>78</v>
      </c>
      <c r="B62" s="30" t="s">
        <v>10</v>
      </c>
      <c r="C62" s="4" t="s">
        <v>96</v>
      </c>
      <c r="D62" s="30" t="s">
        <v>70</v>
      </c>
      <c r="E62" s="30" t="s">
        <v>0</v>
      </c>
      <c r="F62" s="33" t="s">
        <v>1034</v>
      </c>
      <c r="G62" s="279" t="s">
        <v>707</v>
      </c>
      <c r="H62" s="30" t="s">
        <v>228</v>
      </c>
      <c r="I62" s="3" t="s">
        <v>448</v>
      </c>
      <c r="J62" s="280" t="s">
        <v>1035</v>
      </c>
      <c r="K62" s="33" t="s">
        <v>730</v>
      </c>
      <c r="L62" s="33" t="s">
        <v>359</v>
      </c>
      <c r="M62" s="33" t="s">
        <v>359</v>
      </c>
      <c r="N62" s="33" t="s">
        <v>359</v>
      </c>
      <c r="O62" s="33" t="s">
        <v>359</v>
      </c>
      <c r="P62" s="33">
        <v>2025</v>
      </c>
      <c r="Q62" s="33" t="s">
        <v>359</v>
      </c>
      <c r="R62" s="33" t="s">
        <v>359</v>
      </c>
      <c r="S62" s="33" t="s">
        <v>359</v>
      </c>
      <c r="T62" s="33" t="s">
        <v>359</v>
      </c>
      <c r="U62" s="33" t="s">
        <v>359</v>
      </c>
      <c r="V62" s="281" t="s">
        <v>1036</v>
      </c>
      <c r="W62" s="171"/>
      <c r="X62" s="280"/>
    </row>
    <row r="63" spans="1:24" ht="52.5" customHeight="1">
      <c r="A63" s="33" t="s">
        <v>78</v>
      </c>
      <c r="B63" s="30" t="s">
        <v>10</v>
      </c>
      <c r="C63" s="4" t="s">
        <v>96</v>
      </c>
      <c r="D63" s="30" t="s">
        <v>70</v>
      </c>
      <c r="E63" s="30" t="s">
        <v>0</v>
      </c>
      <c r="F63" s="33" t="s">
        <v>1037</v>
      </c>
      <c r="G63" s="279" t="s">
        <v>707</v>
      </c>
      <c r="H63" s="30" t="s">
        <v>228</v>
      </c>
      <c r="I63" s="3" t="s">
        <v>448</v>
      </c>
      <c r="J63" s="280" t="s">
        <v>1035</v>
      </c>
      <c r="K63" s="2" t="s">
        <v>716</v>
      </c>
      <c r="L63" s="33" t="s">
        <v>359</v>
      </c>
      <c r="M63" s="33" t="s">
        <v>359</v>
      </c>
      <c r="N63" s="33" t="s">
        <v>359</v>
      </c>
      <c r="O63" s="33" t="s">
        <v>359</v>
      </c>
      <c r="P63" s="33">
        <v>2025</v>
      </c>
      <c r="Q63" s="33" t="s">
        <v>359</v>
      </c>
      <c r="R63" s="33" t="s">
        <v>359</v>
      </c>
      <c r="S63" s="33" t="s">
        <v>359</v>
      </c>
      <c r="T63" s="33" t="s">
        <v>359</v>
      </c>
      <c r="U63" s="33" t="s">
        <v>359</v>
      </c>
      <c r="V63" s="281" t="s">
        <v>1038</v>
      </c>
      <c r="W63" s="171"/>
      <c r="X63" s="280"/>
    </row>
    <row r="64" spans="1:24" ht="52.5" customHeight="1">
      <c r="A64" s="163" t="s">
        <v>71</v>
      </c>
      <c r="B64" s="33" t="s">
        <v>43</v>
      </c>
      <c r="C64" s="164" t="s">
        <v>334</v>
      </c>
      <c r="D64" s="164" t="s">
        <v>80</v>
      </c>
      <c r="E64" s="164" t="s">
        <v>7</v>
      </c>
      <c r="F64" s="33" t="s">
        <v>1039</v>
      </c>
      <c r="G64" s="279" t="s">
        <v>707</v>
      </c>
      <c r="H64" s="33" t="s">
        <v>228</v>
      </c>
      <c r="I64" s="33" t="s">
        <v>826</v>
      </c>
      <c r="J64" s="33" t="s">
        <v>1040</v>
      </c>
      <c r="K64" s="33" t="s">
        <v>730</v>
      </c>
      <c r="L64" s="33" t="s">
        <v>359</v>
      </c>
      <c r="M64" s="33" t="s">
        <v>359</v>
      </c>
      <c r="N64" s="33" t="s">
        <v>359</v>
      </c>
      <c r="O64" s="33" t="s">
        <v>359</v>
      </c>
      <c r="P64" s="33">
        <v>2025</v>
      </c>
      <c r="Q64" s="33" t="s">
        <v>359</v>
      </c>
      <c r="R64" s="33" t="s">
        <v>359</v>
      </c>
      <c r="S64" s="33" t="s">
        <v>359</v>
      </c>
      <c r="T64" s="33" t="s">
        <v>359</v>
      </c>
      <c r="U64" s="33" t="s">
        <v>359</v>
      </c>
      <c r="V64" s="34" t="s">
        <v>1041</v>
      </c>
      <c r="W64" s="33"/>
      <c r="X64" s="35"/>
    </row>
    <row r="65" spans="1:24" ht="52.5" customHeight="1">
      <c r="A65" s="163" t="s">
        <v>71</v>
      </c>
      <c r="B65" s="33" t="s">
        <v>43</v>
      </c>
      <c r="C65" s="164" t="s">
        <v>334</v>
      </c>
      <c r="D65" s="164" t="s">
        <v>80</v>
      </c>
      <c r="E65" s="164" t="s">
        <v>7</v>
      </c>
      <c r="F65" s="33" t="s">
        <v>1042</v>
      </c>
      <c r="G65" s="279" t="s">
        <v>707</v>
      </c>
      <c r="H65" s="33" t="s">
        <v>228</v>
      </c>
      <c r="I65" s="33" t="s">
        <v>826</v>
      </c>
      <c r="J65" s="33" t="s">
        <v>1043</v>
      </c>
      <c r="K65" s="33" t="s">
        <v>716</v>
      </c>
      <c r="L65" s="33" t="s">
        <v>359</v>
      </c>
      <c r="M65" s="33" t="s">
        <v>359</v>
      </c>
      <c r="N65" s="33" t="s">
        <v>359</v>
      </c>
      <c r="O65" s="33" t="s">
        <v>359</v>
      </c>
      <c r="P65" s="33">
        <v>2025</v>
      </c>
      <c r="Q65" s="33" t="s">
        <v>562</v>
      </c>
      <c r="R65" s="33" t="s">
        <v>548</v>
      </c>
      <c r="S65" s="33" t="s">
        <v>359</v>
      </c>
      <c r="T65" s="33" t="s">
        <v>359</v>
      </c>
      <c r="U65" s="33" t="s">
        <v>359</v>
      </c>
      <c r="V65" s="41" t="s">
        <v>1044</v>
      </c>
      <c r="W65" s="33"/>
      <c r="X65" s="231"/>
    </row>
    <row r="66" spans="1:24" ht="52.5" customHeight="1">
      <c r="A66" s="282" t="s">
        <v>71</v>
      </c>
      <c r="B66" s="282" t="s">
        <v>43</v>
      </c>
      <c r="C66" s="282" t="s">
        <v>334</v>
      </c>
      <c r="D66" s="282" t="s">
        <v>80</v>
      </c>
      <c r="E66" s="164" t="s">
        <v>7</v>
      </c>
      <c r="F66" s="33" t="s">
        <v>1045</v>
      </c>
      <c r="G66" s="279" t="s">
        <v>707</v>
      </c>
      <c r="H66" s="33" t="s">
        <v>228</v>
      </c>
      <c r="I66" s="33" t="s">
        <v>448</v>
      </c>
      <c r="J66" s="33" t="s">
        <v>1046</v>
      </c>
      <c r="K66" s="33" t="s">
        <v>730</v>
      </c>
      <c r="L66" s="33" t="s">
        <v>359</v>
      </c>
      <c r="M66" s="33" t="s">
        <v>359</v>
      </c>
      <c r="N66" s="33" t="s">
        <v>359</v>
      </c>
      <c r="O66" s="33" t="s">
        <v>359</v>
      </c>
      <c r="P66" s="33">
        <v>2025</v>
      </c>
      <c r="Q66" s="33" t="s">
        <v>359</v>
      </c>
      <c r="R66" s="33" t="s">
        <v>562</v>
      </c>
      <c r="S66" s="33" t="s">
        <v>359</v>
      </c>
      <c r="T66" s="33" t="s">
        <v>359</v>
      </c>
      <c r="U66" s="33" t="s">
        <v>359</v>
      </c>
      <c r="V66" s="34" t="s">
        <v>1047</v>
      </c>
      <c r="W66" s="33"/>
      <c r="X66" s="35"/>
    </row>
    <row r="67" spans="1:24" ht="52.5" customHeight="1">
      <c r="A67" s="164" t="s">
        <v>71</v>
      </c>
      <c r="B67" s="164" t="s">
        <v>43</v>
      </c>
      <c r="C67" s="164" t="s">
        <v>334</v>
      </c>
      <c r="D67" s="164" t="s">
        <v>80</v>
      </c>
      <c r="E67" s="164" t="s">
        <v>7</v>
      </c>
      <c r="F67" s="164" t="s">
        <v>872</v>
      </c>
      <c r="G67" s="164" t="s">
        <v>707</v>
      </c>
      <c r="H67" s="164" t="s">
        <v>228</v>
      </c>
      <c r="I67" s="164" t="s">
        <v>190</v>
      </c>
      <c r="J67" s="164" t="s">
        <v>873</v>
      </c>
      <c r="K67" s="247" t="s">
        <v>742</v>
      </c>
      <c r="L67" s="164" t="s">
        <v>874</v>
      </c>
      <c r="M67" s="164" t="s">
        <v>875</v>
      </c>
      <c r="N67" s="164" t="s">
        <v>876</v>
      </c>
      <c r="O67" s="164" t="s">
        <v>613</v>
      </c>
      <c r="P67" s="164">
        <v>2025</v>
      </c>
      <c r="Q67" s="164" t="s">
        <v>162</v>
      </c>
      <c r="R67" s="244" t="s">
        <v>877</v>
      </c>
      <c r="S67" s="272" t="s">
        <v>878</v>
      </c>
      <c r="T67" s="244" t="s">
        <v>1048</v>
      </c>
      <c r="U67" s="237" t="s">
        <v>918</v>
      </c>
      <c r="V67" s="236"/>
      <c r="W67" s="236"/>
      <c r="X67" s="35"/>
    </row>
    <row r="68" spans="1:24" ht="52.5" customHeight="1">
      <c r="A68" s="30" t="s">
        <v>73</v>
      </c>
      <c r="B68" s="30" t="s">
        <v>1049</v>
      </c>
      <c r="C68" s="30" t="s">
        <v>106</v>
      </c>
      <c r="D68" s="30" t="s">
        <v>76</v>
      </c>
      <c r="E68" s="30" t="s">
        <v>0</v>
      </c>
      <c r="F68" s="30" t="s">
        <v>1050</v>
      </c>
      <c r="G68" s="30" t="s">
        <v>714</v>
      </c>
      <c r="H68" s="30" t="s">
        <v>736</v>
      </c>
      <c r="I68" s="4" t="s">
        <v>448</v>
      </c>
      <c r="J68" s="30" t="s">
        <v>1051</v>
      </c>
      <c r="K68" s="30" t="s">
        <v>742</v>
      </c>
      <c r="L68" s="283" t="s">
        <v>1052</v>
      </c>
      <c r="M68" s="283" t="s">
        <v>1053</v>
      </c>
      <c r="N68" s="171"/>
      <c r="O68" s="24">
        <v>45672</v>
      </c>
      <c r="P68" s="30">
        <v>2025</v>
      </c>
      <c r="Q68" s="30" t="s">
        <v>223</v>
      </c>
      <c r="R68" s="41" t="s">
        <v>1054</v>
      </c>
      <c r="S68" s="284" t="s">
        <v>1055</v>
      </c>
      <c r="T68" s="171"/>
      <c r="U68" s="31" t="s">
        <v>1056</v>
      </c>
      <c r="V68" s="32"/>
      <c r="W68" s="32"/>
      <c r="X68" s="173"/>
    </row>
    <row r="69" spans="1:24" ht="52.5" customHeight="1">
      <c r="A69" s="30" t="s">
        <v>73</v>
      </c>
      <c r="B69" s="30" t="s">
        <v>1049</v>
      </c>
      <c r="C69" s="30" t="s">
        <v>106</v>
      </c>
      <c r="D69" s="30" t="s">
        <v>76</v>
      </c>
      <c r="E69" s="30" t="s">
        <v>0</v>
      </c>
      <c r="F69" s="4" t="s">
        <v>864</v>
      </c>
      <c r="G69" s="30" t="s">
        <v>714</v>
      </c>
      <c r="H69" s="30" t="s">
        <v>736</v>
      </c>
      <c r="I69" s="4" t="s">
        <v>448</v>
      </c>
      <c r="J69" s="30" t="s">
        <v>1057</v>
      </c>
      <c r="K69" s="30" t="s">
        <v>742</v>
      </c>
      <c r="L69" s="285" t="s">
        <v>1058</v>
      </c>
      <c r="M69" s="33" t="s">
        <v>1059</v>
      </c>
      <c r="N69" s="171"/>
      <c r="O69" s="171"/>
      <c r="P69" s="30">
        <v>2025</v>
      </c>
      <c r="Q69" s="30" t="s">
        <v>162</v>
      </c>
      <c r="R69" s="31" t="s">
        <v>1060</v>
      </c>
      <c r="S69" s="34" t="s">
        <v>1061</v>
      </c>
      <c r="T69" s="35"/>
      <c r="U69" s="34" t="s">
        <v>1062</v>
      </c>
      <c r="V69" s="171"/>
      <c r="W69" s="30"/>
      <c r="X69" s="228"/>
    </row>
    <row r="70" spans="1:24" ht="52.5" customHeight="1">
      <c r="A70" s="30" t="s">
        <v>73</v>
      </c>
      <c r="B70" s="30" t="s">
        <v>1049</v>
      </c>
      <c r="C70" s="30" t="s">
        <v>106</v>
      </c>
      <c r="D70" s="30" t="s">
        <v>76</v>
      </c>
      <c r="E70" s="30" t="s">
        <v>0</v>
      </c>
      <c r="F70" s="4" t="s">
        <v>864</v>
      </c>
      <c r="G70" s="30" t="s">
        <v>714</v>
      </c>
      <c r="H70" s="30" t="s">
        <v>736</v>
      </c>
      <c r="I70" s="4" t="s">
        <v>448</v>
      </c>
      <c r="J70" s="30" t="s">
        <v>1057</v>
      </c>
      <c r="K70" s="30" t="s">
        <v>742</v>
      </c>
      <c r="L70" s="285" t="s">
        <v>1063</v>
      </c>
      <c r="M70" s="30" t="s">
        <v>1064</v>
      </c>
      <c r="N70" s="171"/>
      <c r="O70" s="24">
        <v>45797</v>
      </c>
      <c r="P70" s="30">
        <v>2025</v>
      </c>
      <c r="Q70" s="30" t="s">
        <v>223</v>
      </c>
      <c r="R70" s="34" t="s">
        <v>1065</v>
      </c>
      <c r="S70" s="34" t="s">
        <v>1066</v>
      </c>
      <c r="T70" s="34" t="s">
        <v>1067</v>
      </c>
      <c r="U70" s="31" t="s">
        <v>1068</v>
      </c>
      <c r="V70" s="171"/>
      <c r="W70" s="171"/>
      <c r="X70" s="228"/>
    </row>
    <row r="71" spans="1:24" ht="52.5" customHeight="1">
      <c r="A71" s="30" t="s">
        <v>68</v>
      </c>
      <c r="B71" s="30" t="s">
        <v>45</v>
      </c>
      <c r="C71" s="30" t="s">
        <v>97</v>
      </c>
      <c r="D71" s="30" t="s">
        <v>67</v>
      </c>
      <c r="E71" s="30" t="s">
        <v>2</v>
      </c>
      <c r="F71" s="30" t="s">
        <v>1069</v>
      </c>
      <c r="G71" s="30" t="s">
        <v>707</v>
      </c>
      <c r="H71" s="30" t="s">
        <v>228</v>
      </c>
      <c r="I71" s="30" t="s">
        <v>448</v>
      </c>
      <c r="J71" s="4" t="s">
        <v>715</v>
      </c>
      <c r="K71" s="30" t="s">
        <v>716</v>
      </c>
      <c r="L71" s="30" t="s">
        <v>45</v>
      </c>
      <c r="M71" s="171"/>
      <c r="N71" s="171"/>
      <c r="O71" s="171"/>
      <c r="P71" s="30">
        <v>2025</v>
      </c>
      <c r="Q71" s="171"/>
      <c r="R71" s="32"/>
      <c r="S71" s="32"/>
      <c r="T71" s="32"/>
      <c r="U71" s="32"/>
      <c r="V71" s="40" t="s">
        <v>98</v>
      </c>
      <c r="W71" s="30"/>
      <c r="X71" s="30"/>
    </row>
    <row r="72" spans="1:24" ht="52.5" customHeight="1">
      <c r="A72" s="30" t="s">
        <v>68</v>
      </c>
      <c r="B72" s="30" t="s">
        <v>45</v>
      </c>
      <c r="C72" s="30" t="s">
        <v>97</v>
      </c>
      <c r="D72" s="30" t="s">
        <v>67</v>
      </c>
      <c r="E72" s="30" t="s">
        <v>5</v>
      </c>
      <c r="F72" s="30" t="s">
        <v>1070</v>
      </c>
      <c r="G72" s="30" t="s">
        <v>707</v>
      </c>
      <c r="H72" s="30" t="s">
        <v>228</v>
      </c>
      <c r="I72" s="30" t="s">
        <v>448</v>
      </c>
      <c r="J72" s="4" t="s">
        <v>1071</v>
      </c>
      <c r="K72" s="30" t="s">
        <v>716</v>
      </c>
      <c r="L72" s="30" t="s">
        <v>45</v>
      </c>
      <c r="M72" s="171"/>
      <c r="N72" s="171"/>
      <c r="O72" s="171"/>
      <c r="P72" s="30">
        <v>2025</v>
      </c>
      <c r="Q72" s="171"/>
      <c r="R72" s="32"/>
      <c r="S72" s="32"/>
      <c r="T72" s="32"/>
      <c r="U72" s="32"/>
      <c r="V72" s="31" t="s">
        <v>98</v>
      </c>
      <c r="W72" s="30"/>
      <c r="X72" s="30"/>
    </row>
    <row r="73" spans="1:24" ht="52.5" customHeight="1">
      <c r="A73" s="30" t="s">
        <v>68</v>
      </c>
      <c r="B73" s="30" t="s">
        <v>45</v>
      </c>
      <c r="C73" s="30" t="s">
        <v>97</v>
      </c>
      <c r="D73" s="30" t="s">
        <v>67</v>
      </c>
      <c r="E73" s="30" t="s">
        <v>5</v>
      </c>
      <c r="F73" s="30" t="s">
        <v>1072</v>
      </c>
      <c r="G73" s="30" t="s">
        <v>707</v>
      </c>
      <c r="H73" s="30" t="s">
        <v>228</v>
      </c>
      <c r="I73" s="30" t="s">
        <v>1021</v>
      </c>
      <c r="J73" s="4" t="s">
        <v>1073</v>
      </c>
      <c r="K73" s="33" t="s">
        <v>730</v>
      </c>
      <c r="L73" s="30" t="s">
        <v>45</v>
      </c>
      <c r="M73" s="171"/>
      <c r="N73" s="171"/>
      <c r="O73" s="171"/>
      <c r="P73" s="30">
        <v>2025</v>
      </c>
      <c r="Q73" s="171"/>
      <c r="R73" s="32"/>
      <c r="S73" s="32"/>
      <c r="T73" s="32"/>
      <c r="U73" s="32"/>
      <c r="V73" s="31" t="s">
        <v>98</v>
      </c>
      <c r="W73" s="30"/>
      <c r="X73" s="30"/>
    </row>
    <row r="74" spans="1:24" ht="52.5" customHeight="1">
      <c r="A74" s="30" t="s">
        <v>68</v>
      </c>
      <c r="B74" s="30" t="s">
        <v>45</v>
      </c>
      <c r="C74" s="30" t="s">
        <v>97</v>
      </c>
      <c r="D74" s="30" t="s">
        <v>67</v>
      </c>
      <c r="E74" s="30" t="s">
        <v>5</v>
      </c>
      <c r="F74" s="4" t="s">
        <v>1074</v>
      </c>
      <c r="G74" s="33" t="s">
        <v>895</v>
      </c>
      <c r="H74" s="33" t="s">
        <v>228</v>
      </c>
      <c r="I74" s="30" t="s">
        <v>1075</v>
      </c>
      <c r="J74" s="4" t="s">
        <v>1076</v>
      </c>
      <c r="K74" s="33" t="s">
        <v>730</v>
      </c>
      <c r="L74" s="30" t="s">
        <v>45</v>
      </c>
      <c r="M74" s="171"/>
      <c r="N74" s="171"/>
      <c r="O74" s="171"/>
      <c r="P74" s="30">
        <v>2025</v>
      </c>
      <c r="Q74" s="171"/>
      <c r="R74" s="32"/>
      <c r="S74" s="32"/>
      <c r="T74" s="32"/>
      <c r="U74" s="32"/>
      <c r="V74" s="31" t="s">
        <v>98</v>
      </c>
      <c r="W74" s="30"/>
      <c r="X74" s="30"/>
    </row>
    <row r="75" spans="1:24" ht="52.5" customHeight="1">
      <c r="A75" s="30" t="s">
        <v>68</v>
      </c>
      <c r="B75" s="30" t="s">
        <v>45</v>
      </c>
      <c r="C75" s="30" t="s">
        <v>97</v>
      </c>
      <c r="D75" s="30" t="s">
        <v>67</v>
      </c>
      <c r="E75" s="30" t="s">
        <v>5</v>
      </c>
      <c r="F75" s="30" t="s">
        <v>1077</v>
      </c>
      <c r="G75" s="30" t="s">
        <v>707</v>
      </c>
      <c r="H75" s="30" t="s">
        <v>228</v>
      </c>
      <c r="I75" s="30" t="s">
        <v>448</v>
      </c>
      <c r="J75" s="4" t="s">
        <v>1078</v>
      </c>
      <c r="K75" s="30" t="s">
        <v>716</v>
      </c>
      <c r="L75" s="30" t="s">
        <v>45</v>
      </c>
      <c r="M75" s="171"/>
      <c r="N75" s="171"/>
      <c r="O75" s="171"/>
      <c r="P75" s="30">
        <v>2025</v>
      </c>
      <c r="Q75" s="171"/>
      <c r="R75" s="32"/>
      <c r="S75" s="32"/>
      <c r="T75" s="32"/>
      <c r="U75" s="32"/>
      <c r="V75" s="31" t="s">
        <v>98</v>
      </c>
      <c r="W75" s="30"/>
      <c r="X75" s="30"/>
    </row>
    <row r="76" spans="1:24" ht="52.5" customHeight="1">
      <c r="A76" s="4" t="s">
        <v>68</v>
      </c>
      <c r="B76" s="4" t="s">
        <v>45</v>
      </c>
      <c r="C76" s="4" t="s">
        <v>97</v>
      </c>
      <c r="D76" s="4" t="s">
        <v>67</v>
      </c>
      <c r="E76" s="4" t="s">
        <v>5</v>
      </c>
      <c r="F76" s="4" t="s">
        <v>1079</v>
      </c>
      <c r="G76" s="4" t="s">
        <v>707</v>
      </c>
      <c r="H76" s="4" t="s">
        <v>228</v>
      </c>
      <c r="I76" s="4" t="s">
        <v>1021</v>
      </c>
      <c r="J76" s="4" t="s">
        <v>1080</v>
      </c>
      <c r="K76" s="4" t="s">
        <v>990</v>
      </c>
      <c r="L76" s="4" t="s">
        <v>386</v>
      </c>
      <c r="M76" s="4" t="s">
        <v>1081</v>
      </c>
      <c r="N76" s="4" t="s">
        <v>884</v>
      </c>
      <c r="O76" s="4"/>
      <c r="P76" s="4"/>
      <c r="Q76" s="4"/>
      <c r="R76" s="4"/>
      <c r="S76" s="4"/>
      <c r="T76" s="12" t="s">
        <v>98</v>
      </c>
      <c r="U76" s="17"/>
      <c r="V76" s="4"/>
      <c r="W76" s="4"/>
      <c r="X76" s="4"/>
    </row>
    <row r="77" spans="1:24" ht="52.5" customHeight="1">
      <c r="A77" s="30" t="s">
        <v>68</v>
      </c>
      <c r="B77" s="30" t="s">
        <v>45</v>
      </c>
      <c r="C77" s="30" t="s">
        <v>97</v>
      </c>
      <c r="D77" s="30" t="s">
        <v>67</v>
      </c>
      <c r="E77" s="30" t="s">
        <v>5</v>
      </c>
      <c r="F77" s="30" t="s">
        <v>1082</v>
      </c>
      <c r="G77" s="30" t="s">
        <v>707</v>
      </c>
      <c r="H77" s="30" t="s">
        <v>228</v>
      </c>
      <c r="I77" s="30" t="s">
        <v>1021</v>
      </c>
      <c r="J77" s="4" t="s">
        <v>1083</v>
      </c>
      <c r="K77" s="33" t="s">
        <v>730</v>
      </c>
      <c r="L77" s="30" t="s">
        <v>45</v>
      </c>
      <c r="M77" s="33"/>
      <c r="N77" s="33"/>
      <c r="O77" s="33"/>
      <c r="P77" s="33"/>
      <c r="Q77" s="33"/>
      <c r="R77" s="33"/>
      <c r="S77" s="33"/>
      <c r="T77" s="171"/>
      <c r="U77" s="171"/>
      <c r="V77" s="31" t="s">
        <v>98</v>
      </c>
      <c r="W77" s="30"/>
      <c r="X77" s="30"/>
    </row>
    <row r="78" spans="1:24" ht="52.5" customHeight="1">
      <c r="A78" s="30" t="s">
        <v>68</v>
      </c>
      <c r="B78" s="30" t="s">
        <v>45</v>
      </c>
      <c r="C78" s="30" t="s">
        <v>97</v>
      </c>
      <c r="D78" s="30" t="s">
        <v>67</v>
      </c>
      <c r="E78" s="30" t="s">
        <v>5</v>
      </c>
      <c r="F78" s="4" t="s">
        <v>1074</v>
      </c>
      <c r="G78" s="33" t="s">
        <v>895</v>
      </c>
      <c r="H78" s="33" t="s">
        <v>228</v>
      </c>
      <c r="I78" s="30" t="s">
        <v>1075</v>
      </c>
      <c r="J78" s="4" t="s">
        <v>1076</v>
      </c>
      <c r="K78" s="30" t="s">
        <v>716</v>
      </c>
      <c r="L78" s="30" t="s">
        <v>45</v>
      </c>
      <c r="M78" s="33"/>
      <c r="N78" s="33"/>
      <c r="O78" s="33"/>
      <c r="P78" s="33"/>
      <c r="Q78" s="33"/>
      <c r="R78" s="33"/>
      <c r="S78" s="33"/>
      <c r="T78" s="171"/>
      <c r="U78" s="171"/>
      <c r="V78" s="31" t="s">
        <v>98</v>
      </c>
      <c r="W78" s="30"/>
      <c r="X78" s="30"/>
    </row>
    <row r="79" spans="1:24" ht="52.5" customHeight="1">
      <c r="A79" s="30" t="s">
        <v>68</v>
      </c>
      <c r="B79" s="30" t="s">
        <v>45</v>
      </c>
      <c r="C79" s="30" t="s">
        <v>97</v>
      </c>
      <c r="D79" s="30" t="s">
        <v>67</v>
      </c>
      <c r="E79" s="30" t="s">
        <v>5</v>
      </c>
      <c r="F79" s="4" t="s">
        <v>1084</v>
      </c>
      <c r="G79" s="30" t="s">
        <v>707</v>
      </c>
      <c r="H79" s="30" t="s">
        <v>228</v>
      </c>
      <c r="I79" s="33" t="s">
        <v>448</v>
      </c>
      <c r="J79" s="4" t="s">
        <v>1085</v>
      </c>
      <c r="K79" s="30" t="s">
        <v>716</v>
      </c>
      <c r="L79" s="30" t="s">
        <v>45</v>
      </c>
      <c r="M79" s="33"/>
      <c r="N79" s="33"/>
      <c r="O79" s="33"/>
      <c r="P79" s="33"/>
      <c r="Q79" s="33"/>
      <c r="R79" s="33"/>
      <c r="S79" s="33"/>
      <c r="T79" s="171"/>
      <c r="U79" s="171"/>
      <c r="V79" s="31" t="s">
        <v>98</v>
      </c>
      <c r="W79" s="30"/>
      <c r="X79" s="30"/>
    </row>
    <row r="80" spans="1:24" ht="52.5" customHeight="1">
      <c r="A80" s="30" t="s">
        <v>68</v>
      </c>
      <c r="B80" s="30" t="s">
        <v>45</v>
      </c>
      <c r="C80" s="30" t="s">
        <v>97</v>
      </c>
      <c r="D80" s="30" t="s">
        <v>67</v>
      </c>
      <c r="E80" s="30" t="s">
        <v>5</v>
      </c>
      <c r="F80" s="4" t="s">
        <v>1086</v>
      </c>
      <c r="G80" s="30" t="s">
        <v>707</v>
      </c>
      <c r="H80" s="30" t="s">
        <v>228</v>
      </c>
      <c r="I80" s="33" t="s">
        <v>448</v>
      </c>
      <c r="J80" s="33" t="s">
        <v>1087</v>
      </c>
      <c r="K80" s="30" t="s">
        <v>716</v>
      </c>
      <c r="L80" s="30" t="s">
        <v>45</v>
      </c>
      <c r="M80" s="33"/>
      <c r="N80" s="33"/>
      <c r="O80" s="33"/>
      <c r="P80" s="33"/>
      <c r="Q80" s="33"/>
      <c r="R80" s="33"/>
      <c r="S80" s="33"/>
      <c r="T80" s="171"/>
      <c r="U80" s="171"/>
      <c r="V80" s="31" t="s">
        <v>98</v>
      </c>
      <c r="W80" s="30"/>
      <c r="X80" s="30"/>
    </row>
    <row r="81" spans="1:24" ht="52.5" customHeight="1">
      <c r="A81" s="30" t="s">
        <v>68</v>
      </c>
      <c r="B81" s="30" t="s">
        <v>45</v>
      </c>
      <c r="C81" s="30" t="s">
        <v>97</v>
      </c>
      <c r="D81" s="30" t="s">
        <v>67</v>
      </c>
      <c r="E81" s="30" t="s">
        <v>5</v>
      </c>
      <c r="F81" s="33" t="s">
        <v>1088</v>
      </c>
      <c r="G81" s="30" t="s">
        <v>707</v>
      </c>
      <c r="H81" s="30" t="s">
        <v>228</v>
      </c>
      <c r="I81" s="33" t="s">
        <v>448</v>
      </c>
      <c r="J81" s="33" t="s">
        <v>1089</v>
      </c>
      <c r="K81" s="30" t="s">
        <v>716</v>
      </c>
      <c r="L81" s="30" t="s">
        <v>45</v>
      </c>
      <c r="M81" s="33"/>
      <c r="N81" s="33"/>
      <c r="O81" s="33"/>
      <c r="P81" s="33"/>
      <c r="Q81" s="33"/>
      <c r="R81" s="33"/>
      <c r="S81" s="33"/>
      <c r="T81" s="171"/>
      <c r="U81" s="171"/>
      <c r="V81" s="31" t="s">
        <v>98</v>
      </c>
      <c r="W81" s="30"/>
      <c r="X81" s="30"/>
    </row>
    <row r="82" spans="1:24" ht="52.5" customHeight="1">
      <c r="A82" s="30" t="s">
        <v>68</v>
      </c>
      <c r="B82" s="30" t="s">
        <v>45</v>
      </c>
      <c r="C82" s="30" t="s">
        <v>97</v>
      </c>
      <c r="D82" s="30" t="s">
        <v>67</v>
      </c>
      <c r="E82" s="30" t="s">
        <v>5</v>
      </c>
      <c r="F82" s="33" t="s">
        <v>1090</v>
      </c>
      <c r="G82" s="30" t="s">
        <v>707</v>
      </c>
      <c r="H82" s="30" t="s">
        <v>228</v>
      </c>
      <c r="I82" s="33" t="s">
        <v>1091</v>
      </c>
      <c r="J82" s="33" t="s">
        <v>1092</v>
      </c>
      <c r="K82" s="30" t="s">
        <v>716</v>
      </c>
      <c r="L82" s="30" t="s">
        <v>45</v>
      </c>
      <c r="M82" s="33"/>
      <c r="N82" s="33"/>
      <c r="O82" s="33"/>
      <c r="P82" s="33"/>
      <c r="Q82" s="33"/>
      <c r="R82" s="33"/>
      <c r="S82" s="33"/>
      <c r="T82" s="171"/>
      <c r="U82" s="171"/>
      <c r="V82" s="31" t="s">
        <v>98</v>
      </c>
      <c r="W82" s="30"/>
      <c r="X82" s="30"/>
    </row>
    <row r="83" spans="1:24" ht="52.5" customHeight="1">
      <c r="A83" s="30" t="s">
        <v>68</v>
      </c>
      <c r="B83" s="30" t="s">
        <v>45</v>
      </c>
      <c r="C83" s="30" t="s">
        <v>97</v>
      </c>
      <c r="D83" s="30" t="s">
        <v>67</v>
      </c>
      <c r="E83" s="30" t="s">
        <v>5</v>
      </c>
      <c r="F83" s="4" t="s">
        <v>1093</v>
      </c>
      <c r="G83" s="30" t="s">
        <v>707</v>
      </c>
      <c r="H83" s="30" t="s">
        <v>228</v>
      </c>
      <c r="I83" s="33" t="s">
        <v>190</v>
      </c>
      <c r="J83" s="4" t="s">
        <v>1094</v>
      </c>
      <c r="K83" s="33" t="s">
        <v>730</v>
      </c>
      <c r="L83" s="30" t="s">
        <v>45</v>
      </c>
      <c r="M83" s="33"/>
      <c r="N83" s="33"/>
      <c r="O83" s="33"/>
      <c r="P83" s="33"/>
      <c r="Q83" s="33"/>
      <c r="R83" s="33"/>
      <c r="S83" s="33"/>
      <c r="T83" s="171"/>
      <c r="U83" s="171"/>
      <c r="V83" s="31" t="s">
        <v>98</v>
      </c>
      <c r="W83" s="30"/>
      <c r="X83" s="30"/>
    </row>
    <row r="84" spans="1:24" ht="52.5" customHeight="1">
      <c r="A84" s="30" t="s">
        <v>68</v>
      </c>
      <c r="B84" s="30" t="s">
        <v>45</v>
      </c>
      <c r="C84" s="30" t="s">
        <v>97</v>
      </c>
      <c r="D84" s="30" t="s">
        <v>67</v>
      </c>
      <c r="E84" s="30" t="s">
        <v>5</v>
      </c>
      <c r="F84" s="4" t="s">
        <v>1095</v>
      </c>
      <c r="G84" s="30" t="s">
        <v>707</v>
      </c>
      <c r="H84" s="30" t="s">
        <v>228</v>
      </c>
      <c r="I84" s="33" t="s">
        <v>448</v>
      </c>
      <c r="J84" s="33" t="s">
        <v>1096</v>
      </c>
      <c r="K84" s="30" t="s">
        <v>716</v>
      </c>
      <c r="L84" s="30" t="s">
        <v>45</v>
      </c>
      <c r="M84" s="33"/>
      <c r="N84" s="33"/>
      <c r="O84" s="33"/>
      <c r="P84" s="33"/>
      <c r="Q84" s="33"/>
      <c r="R84" s="33"/>
      <c r="S84" s="33"/>
      <c r="T84" s="171"/>
      <c r="U84" s="171"/>
      <c r="V84" s="40" t="s">
        <v>98</v>
      </c>
      <c r="W84" s="30"/>
      <c r="X84" s="30"/>
    </row>
    <row r="85" spans="1:24" ht="52.5" customHeight="1">
      <c r="A85" s="30" t="s">
        <v>68</v>
      </c>
      <c r="B85" s="30" t="s">
        <v>45</v>
      </c>
      <c r="C85" s="30" t="s">
        <v>97</v>
      </c>
      <c r="D85" s="30" t="s">
        <v>67</v>
      </c>
      <c r="E85" s="30" t="s">
        <v>5</v>
      </c>
      <c r="F85" s="4" t="s">
        <v>1097</v>
      </c>
      <c r="G85" s="30" t="s">
        <v>707</v>
      </c>
      <c r="H85" s="30" t="s">
        <v>228</v>
      </c>
      <c r="I85" s="33" t="s">
        <v>190</v>
      </c>
      <c r="J85" s="33" t="s">
        <v>1098</v>
      </c>
      <c r="K85" s="33" t="s">
        <v>730</v>
      </c>
      <c r="L85" s="30" t="s">
        <v>45</v>
      </c>
      <c r="M85" s="33"/>
      <c r="N85" s="33"/>
      <c r="O85" s="33"/>
      <c r="P85" s="33"/>
      <c r="Q85" s="33"/>
      <c r="R85" s="33"/>
      <c r="S85" s="33"/>
      <c r="T85" s="171"/>
      <c r="U85" s="171"/>
      <c r="V85" s="40" t="s">
        <v>98</v>
      </c>
      <c r="W85" s="30"/>
      <c r="X85" s="30"/>
    </row>
    <row r="86" spans="1:24" ht="52.5" customHeight="1">
      <c r="A86" s="30" t="s">
        <v>68</v>
      </c>
      <c r="B86" s="30" t="s">
        <v>45</v>
      </c>
      <c r="C86" s="30" t="s">
        <v>97</v>
      </c>
      <c r="D86" s="30" t="s">
        <v>67</v>
      </c>
      <c r="E86" s="30" t="s">
        <v>5</v>
      </c>
      <c r="F86" s="4" t="s">
        <v>1099</v>
      </c>
      <c r="G86" s="30" t="s">
        <v>707</v>
      </c>
      <c r="H86" s="30" t="s">
        <v>228</v>
      </c>
      <c r="I86" s="33" t="s">
        <v>448</v>
      </c>
      <c r="J86" s="33" t="s">
        <v>1100</v>
      </c>
      <c r="K86" s="30" t="s">
        <v>716</v>
      </c>
      <c r="L86" s="30" t="s">
        <v>45</v>
      </c>
      <c r="M86" s="33"/>
      <c r="N86" s="33"/>
      <c r="O86" s="33"/>
      <c r="P86" s="33"/>
      <c r="Q86" s="33"/>
      <c r="R86" s="33"/>
      <c r="S86" s="33"/>
      <c r="T86" s="171"/>
      <c r="U86" s="171"/>
      <c r="V86" s="40" t="s">
        <v>98</v>
      </c>
      <c r="W86" s="30"/>
      <c r="X86" s="30"/>
    </row>
    <row r="87" spans="1:24" ht="52.5" customHeight="1">
      <c r="A87" s="30" t="s">
        <v>68</v>
      </c>
      <c r="B87" s="30" t="s">
        <v>45</v>
      </c>
      <c r="C87" s="30" t="s">
        <v>97</v>
      </c>
      <c r="D87" s="30" t="s">
        <v>67</v>
      </c>
      <c r="E87" s="30" t="s">
        <v>5</v>
      </c>
      <c r="F87" s="4" t="s">
        <v>1101</v>
      </c>
      <c r="G87" s="30" t="s">
        <v>707</v>
      </c>
      <c r="H87" s="30" t="s">
        <v>228</v>
      </c>
      <c r="I87" s="33" t="s">
        <v>1102</v>
      </c>
      <c r="J87" s="33" t="s">
        <v>1103</v>
      </c>
      <c r="K87" s="30" t="s">
        <v>1104</v>
      </c>
      <c r="L87" s="30" t="s">
        <v>45</v>
      </c>
      <c r="M87" s="33"/>
      <c r="N87" s="33"/>
      <c r="O87" s="33"/>
      <c r="P87" s="33"/>
      <c r="Q87" s="33"/>
      <c r="R87" s="33"/>
      <c r="S87" s="33"/>
      <c r="T87" s="171"/>
      <c r="U87" s="171"/>
      <c r="V87" s="40" t="s">
        <v>98</v>
      </c>
      <c r="W87" s="30"/>
      <c r="X87" s="30"/>
    </row>
    <row r="88" spans="1:24" ht="52.5" customHeight="1">
      <c r="A88" s="30" t="s">
        <v>68</v>
      </c>
      <c r="B88" s="30" t="s">
        <v>45</v>
      </c>
      <c r="C88" s="30" t="s">
        <v>97</v>
      </c>
      <c r="D88" s="30" t="s">
        <v>67</v>
      </c>
      <c r="E88" s="30" t="s">
        <v>5</v>
      </c>
      <c r="F88" s="4" t="s">
        <v>1105</v>
      </c>
      <c r="G88" s="30" t="s">
        <v>707</v>
      </c>
      <c r="H88" s="33" t="s">
        <v>228</v>
      </c>
      <c r="I88" s="33" t="s">
        <v>404</v>
      </c>
      <c r="J88" s="33" t="s">
        <v>1103</v>
      </c>
      <c r="K88" s="33" t="s">
        <v>730</v>
      </c>
      <c r="L88" s="30" t="s">
        <v>45</v>
      </c>
      <c r="M88" s="33"/>
      <c r="N88" s="33"/>
      <c r="O88" s="33"/>
      <c r="P88" s="33"/>
      <c r="Q88" s="33"/>
      <c r="R88" s="33"/>
      <c r="S88" s="33"/>
      <c r="T88" s="171"/>
      <c r="U88" s="171"/>
      <c r="V88" s="40" t="s">
        <v>98</v>
      </c>
      <c r="W88" s="30"/>
      <c r="X88" s="30"/>
    </row>
    <row r="89" spans="1:24" ht="52.5" customHeight="1">
      <c r="A89" s="164" t="s">
        <v>71</v>
      </c>
      <c r="B89" s="164" t="s">
        <v>47</v>
      </c>
      <c r="C89" s="164" t="s">
        <v>101</v>
      </c>
      <c r="D89" s="164" t="s">
        <v>70</v>
      </c>
      <c r="E89" s="164" t="s">
        <v>0</v>
      </c>
      <c r="F89" s="164" t="s">
        <v>1106</v>
      </c>
      <c r="G89" s="164" t="s">
        <v>707</v>
      </c>
      <c r="H89" s="164" t="s">
        <v>228</v>
      </c>
      <c r="I89" s="164" t="s">
        <v>448</v>
      </c>
      <c r="J89" s="164" t="s">
        <v>1107</v>
      </c>
      <c r="K89" s="33" t="s">
        <v>730</v>
      </c>
      <c r="L89" s="33" t="s">
        <v>359</v>
      </c>
      <c r="M89" s="33" t="s">
        <v>359</v>
      </c>
      <c r="N89" s="33" t="s">
        <v>359</v>
      </c>
      <c r="O89" s="33" t="s">
        <v>359</v>
      </c>
      <c r="P89" s="33">
        <v>2025</v>
      </c>
      <c r="Q89" s="33" t="s">
        <v>359</v>
      </c>
      <c r="R89" s="244" t="s">
        <v>1108</v>
      </c>
      <c r="S89" s="248"/>
      <c r="T89" s="248"/>
      <c r="U89" s="236"/>
      <c r="V89" s="237" t="s">
        <v>1109</v>
      </c>
      <c r="W89" s="236"/>
      <c r="X89" s="35"/>
    </row>
    <row r="90" spans="1:24" ht="52.5" customHeight="1">
      <c r="A90" s="30" t="s">
        <v>68</v>
      </c>
      <c r="B90" s="30" t="s">
        <v>11</v>
      </c>
      <c r="C90" s="30" t="s">
        <v>102</v>
      </c>
      <c r="D90" s="30" t="s">
        <v>76</v>
      </c>
      <c r="E90" s="30" t="s">
        <v>0</v>
      </c>
      <c r="F90" s="30" t="s">
        <v>1110</v>
      </c>
      <c r="G90" s="30" t="s">
        <v>714</v>
      </c>
      <c r="H90" s="30" t="s">
        <v>228</v>
      </c>
      <c r="I90" s="30" t="s">
        <v>448</v>
      </c>
      <c r="J90" s="30" t="s">
        <v>1111</v>
      </c>
      <c r="K90" s="30" t="s">
        <v>742</v>
      </c>
      <c r="L90" s="4" t="s">
        <v>11</v>
      </c>
      <c r="M90" s="30" t="s">
        <v>1112</v>
      </c>
      <c r="N90" s="30" t="s">
        <v>1113</v>
      </c>
      <c r="O90" s="233">
        <v>45839</v>
      </c>
      <c r="P90" s="30">
        <v>2025</v>
      </c>
      <c r="Q90" s="30" t="s">
        <v>1114</v>
      </c>
      <c r="R90" s="40" t="s">
        <v>1115</v>
      </c>
      <c r="S90" s="40" t="s">
        <v>1116</v>
      </c>
      <c r="T90" s="32"/>
      <c r="U90" s="32"/>
      <c r="V90" s="171"/>
      <c r="W90" s="30"/>
      <c r="X90" s="30"/>
    </row>
    <row r="91" spans="1:24" ht="52.5" customHeight="1">
      <c r="A91" s="30" t="s">
        <v>68</v>
      </c>
      <c r="B91" s="30" t="s">
        <v>11</v>
      </c>
      <c r="C91" s="30" t="s">
        <v>102</v>
      </c>
      <c r="D91" s="30" t="s">
        <v>76</v>
      </c>
      <c r="E91" s="30" t="s">
        <v>0</v>
      </c>
      <c r="F91" s="30" t="s">
        <v>1117</v>
      </c>
      <c r="G91" s="30" t="s">
        <v>714</v>
      </c>
      <c r="H91" s="30" t="s">
        <v>228</v>
      </c>
      <c r="I91" s="30" t="s">
        <v>448</v>
      </c>
      <c r="J91" s="30" t="s">
        <v>1118</v>
      </c>
      <c r="K91" s="30" t="s">
        <v>1119</v>
      </c>
      <c r="L91" s="4" t="s">
        <v>1120</v>
      </c>
      <c r="M91" s="30" t="s">
        <v>1121</v>
      </c>
      <c r="N91" s="171"/>
      <c r="O91" s="233">
        <v>45870</v>
      </c>
      <c r="P91" s="30">
        <v>2025</v>
      </c>
      <c r="Q91" s="30" t="s">
        <v>223</v>
      </c>
      <c r="R91" s="40" t="s">
        <v>1122</v>
      </c>
      <c r="S91" s="40" t="s">
        <v>1123</v>
      </c>
      <c r="T91" s="32"/>
      <c r="U91" s="32"/>
      <c r="V91" s="171"/>
      <c r="W91" s="30"/>
      <c r="X91" s="30"/>
    </row>
    <row r="92" spans="1:24" ht="52.5" customHeight="1">
      <c r="A92" s="39" t="s">
        <v>68</v>
      </c>
      <c r="B92" s="30" t="s">
        <v>11</v>
      </c>
      <c r="C92" s="30" t="s">
        <v>102</v>
      </c>
      <c r="D92" s="30" t="s">
        <v>121</v>
      </c>
      <c r="E92" s="30" t="s">
        <v>0</v>
      </c>
      <c r="F92" s="39" t="s">
        <v>1124</v>
      </c>
      <c r="G92" s="30" t="s">
        <v>714</v>
      </c>
      <c r="H92" s="30" t="s">
        <v>228</v>
      </c>
      <c r="I92" s="30" t="s">
        <v>448</v>
      </c>
      <c r="J92" s="280" t="s">
        <v>1125</v>
      </c>
      <c r="K92" s="30" t="s">
        <v>716</v>
      </c>
      <c r="L92" s="4"/>
      <c r="M92" s="286"/>
      <c r="N92" s="286"/>
      <c r="O92" s="286"/>
      <c r="P92" s="286"/>
      <c r="Q92" s="286"/>
      <c r="R92" s="286"/>
      <c r="S92" s="35"/>
      <c r="T92" s="35"/>
      <c r="U92" s="35"/>
      <c r="V92" s="34" t="s">
        <v>1126</v>
      </c>
      <c r="W92" s="33"/>
      <c r="X92" s="30"/>
    </row>
    <row r="93" spans="1:24" ht="52.5" customHeight="1">
      <c r="A93" s="39" t="s">
        <v>68</v>
      </c>
      <c r="B93" s="30" t="s">
        <v>11</v>
      </c>
      <c r="C93" s="30" t="s">
        <v>102</v>
      </c>
      <c r="D93" s="30" t="s">
        <v>121</v>
      </c>
      <c r="E93" s="30" t="s">
        <v>0</v>
      </c>
      <c r="F93" s="39" t="s">
        <v>1127</v>
      </c>
      <c r="G93" s="30" t="s">
        <v>714</v>
      </c>
      <c r="H93" s="30" t="s">
        <v>228</v>
      </c>
      <c r="I93" s="30" t="s">
        <v>1128</v>
      </c>
      <c r="J93" s="30" t="s">
        <v>1129</v>
      </c>
      <c r="K93" s="30" t="s">
        <v>716</v>
      </c>
      <c r="L93" s="171"/>
      <c r="M93" s="171"/>
      <c r="N93" s="171"/>
      <c r="O93" s="171"/>
      <c r="P93" s="171"/>
      <c r="Q93" s="171"/>
      <c r="R93" s="171"/>
      <c r="S93" s="32"/>
      <c r="T93" s="32"/>
      <c r="U93" s="287"/>
      <c r="V93" s="40" t="s">
        <v>1130</v>
      </c>
      <c r="W93" s="30"/>
      <c r="X93" s="30"/>
    </row>
    <row r="94" spans="1:24" ht="52.5" customHeight="1">
      <c r="A94" s="39" t="s">
        <v>68</v>
      </c>
      <c r="B94" s="30" t="s">
        <v>11</v>
      </c>
      <c r="C94" s="30" t="s">
        <v>102</v>
      </c>
      <c r="D94" s="30" t="s">
        <v>121</v>
      </c>
      <c r="E94" s="30" t="s">
        <v>0</v>
      </c>
      <c r="F94" s="39"/>
      <c r="G94" s="30" t="s">
        <v>714</v>
      </c>
      <c r="H94" s="30" t="s">
        <v>228</v>
      </c>
      <c r="I94" s="30" t="s">
        <v>448</v>
      </c>
      <c r="J94" s="30" t="s">
        <v>1002</v>
      </c>
      <c r="K94" s="30" t="s">
        <v>716</v>
      </c>
      <c r="L94" s="171"/>
      <c r="M94" s="171"/>
      <c r="N94" s="171"/>
      <c r="O94" s="171"/>
      <c r="P94" s="171"/>
      <c r="Q94" s="171"/>
      <c r="R94" s="171"/>
      <c r="S94" s="171"/>
      <c r="T94" s="32"/>
      <c r="U94" s="287"/>
      <c r="V94" s="40" t="s">
        <v>1131</v>
      </c>
      <c r="W94" s="226"/>
      <c r="X94" s="30"/>
    </row>
    <row r="95" spans="1:24" ht="52.5" customHeight="1">
      <c r="A95" s="196" t="s">
        <v>68</v>
      </c>
      <c r="B95" s="30" t="s">
        <v>11</v>
      </c>
      <c r="C95" s="164" t="s">
        <v>102</v>
      </c>
      <c r="D95" s="164" t="s">
        <v>121</v>
      </c>
      <c r="E95" s="164" t="s">
        <v>0</v>
      </c>
      <c r="F95" s="164" t="s">
        <v>872</v>
      </c>
      <c r="G95" s="164" t="s">
        <v>707</v>
      </c>
      <c r="H95" s="164" t="s">
        <v>228</v>
      </c>
      <c r="I95" s="164" t="s">
        <v>190</v>
      </c>
      <c r="J95" s="164" t="s">
        <v>1132</v>
      </c>
      <c r="K95" s="247" t="s">
        <v>1133</v>
      </c>
      <c r="L95" s="164" t="s">
        <v>11</v>
      </c>
      <c r="M95" s="164" t="s">
        <v>1134</v>
      </c>
      <c r="N95" s="164" t="s">
        <v>1135</v>
      </c>
      <c r="O95" s="288">
        <v>45962</v>
      </c>
      <c r="P95" s="164">
        <v>2025</v>
      </c>
      <c r="Q95" s="164" t="s">
        <v>223</v>
      </c>
      <c r="R95" s="244" t="s">
        <v>1136</v>
      </c>
      <c r="S95" s="244" t="s">
        <v>1137</v>
      </c>
      <c r="T95" s="244" t="s">
        <v>1138</v>
      </c>
      <c r="U95" s="248"/>
      <c r="V95" s="263"/>
      <c r="W95" s="246"/>
      <c r="X95" s="263"/>
    </row>
    <row r="96" spans="1:24" ht="52.5" customHeight="1">
      <c r="A96" s="30" t="s">
        <v>1139</v>
      </c>
      <c r="B96" s="30" t="s">
        <v>1140</v>
      </c>
      <c r="C96" s="30" t="s">
        <v>104</v>
      </c>
      <c r="D96" s="30" t="s">
        <v>76</v>
      </c>
      <c r="E96" s="30" t="s">
        <v>0</v>
      </c>
      <c r="F96" s="30" t="s">
        <v>1141</v>
      </c>
      <c r="G96" s="30" t="s">
        <v>707</v>
      </c>
      <c r="H96" s="30" t="s">
        <v>228</v>
      </c>
      <c r="I96" s="30" t="s">
        <v>190</v>
      </c>
      <c r="J96" s="30" t="s">
        <v>715</v>
      </c>
      <c r="K96" s="27" t="s">
        <v>742</v>
      </c>
      <c r="L96" s="30" t="s">
        <v>1142</v>
      </c>
      <c r="M96" s="30" t="s">
        <v>1143</v>
      </c>
      <c r="N96" s="4">
        <v>9781003593034</v>
      </c>
      <c r="O96" s="30" t="s">
        <v>390</v>
      </c>
      <c r="P96" s="30">
        <v>2025</v>
      </c>
      <c r="Q96" s="30" t="s">
        <v>162</v>
      </c>
      <c r="R96" s="34" t="s">
        <v>1144</v>
      </c>
      <c r="S96" s="32"/>
      <c r="T96" s="34" t="s">
        <v>1145</v>
      </c>
      <c r="U96" s="32"/>
      <c r="V96" s="171"/>
      <c r="W96" s="171"/>
      <c r="X96" s="228"/>
    </row>
    <row r="97" spans="1:24" ht="52.5" customHeight="1">
      <c r="A97" s="9" t="s">
        <v>1146</v>
      </c>
      <c r="B97" s="9" t="s">
        <v>1140</v>
      </c>
      <c r="C97" s="30" t="s">
        <v>104</v>
      </c>
      <c r="D97" s="30" t="s">
        <v>76</v>
      </c>
      <c r="E97" s="33" t="s">
        <v>0</v>
      </c>
      <c r="F97" s="33" t="s">
        <v>1147</v>
      </c>
      <c r="G97" s="33" t="s">
        <v>448</v>
      </c>
      <c r="H97" s="33" t="s">
        <v>228</v>
      </c>
      <c r="J97" s="33" t="s">
        <v>359</v>
      </c>
      <c r="K97" s="33" t="s">
        <v>716</v>
      </c>
      <c r="L97" s="33" t="s">
        <v>359</v>
      </c>
      <c r="M97" s="33" t="s">
        <v>359</v>
      </c>
      <c r="N97" s="33" t="s">
        <v>548</v>
      </c>
      <c r="O97" s="33" t="s">
        <v>562</v>
      </c>
      <c r="P97" s="33" t="s">
        <v>548</v>
      </c>
      <c r="Q97" s="33" t="s">
        <v>359</v>
      </c>
      <c r="R97" s="33" t="s">
        <v>359</v>
      </c>
      <c r="S97" s="33" t="s">
        <v>548</v>
      </c>
      <c r="T97" s="289" t="s">
        <v>1148</v>
      </c>
      <c r="U97" s="290"/>
      <c r="V97" s="33" t="s">
        <v>111</v>
      </c>
      <c r="W97" s="33"/>
      <c r="X97" s="228"/>
    </row>
    <row r="98" spans="1:24" ht="52.5" customHeight="1">
      <c r="A98" s="9" t="s">
        <v>1146</v>
      </c>
      <c r="B98" s="9" t="s">
        <v>1140</v>
      </c>
      <c r="C98" s="30" t="s">
        <v>104</v>
      </c>
      <c r="D98" s="30" t="s">
        <v>76</v>
      </c>
      <c r="E98" s="33" t="s">
        <v>0</v>
      </c>
      <c r="F98" s="33" t="s">
        <v>715</v>
      </c>
      <c r="G98" s="33" t="s">
        <v>448</v>
      </c>
      <c r="H98" s="33" t="s">
        <v>228</v>
      </c>
      <c r="J98" s="33" t="s">
        <v>359</v>
      </c>
      <c r="K98" s="33" t="s">
        <v>716</v>
      </c>
      <c r="L98" s="33" t="s">
        <v>359</v>
      </c>
      <c r="M98" s="33" t="s">
        <v>359</v>
      </c>
      <c r="N98" s="33" t="s">
        <v>548</v>
      </c>
      <c r="O98" s="33" t="s">
        <v>562</v>
      </c>
      <c r="P98" s="33" t="s">
        <v>548</v>
      </c>
      <c r="Q98" s="33" t="s">
        <v>359</v>
      </c>
      <c r="R98" s="33" t="s">
        <v>359</v>
      </c>
      <c r="S98" s="33" t="s">
        <v>548</v>
      </c>
      <c r="T98" s="34" t="s">
        <v>1149</v>
      </c>
      <c r="U98" s="290"/>
      <c r="V98" s="33" t="s">
        <v>111</v>
      </c>
      <c r="W98" s="33"/>
      <c r="X98" s="228"/>
    </row>
    <row r="99" spans="1:24" ht="52.5" customHeight="1">
      <c r="A99" s="164" t="s">
        <v>1139</v>
      </c>
      <c r="B99" s="164" t="s">
        <v>1140</v>
      </c>
      <c r="C99" s="164" t="s">
        <v>104</v>
      </c>
      <c r="D99" s="164" t="s">
        <v>76</v>
      </c>
      <c r="E99" s="164" t="s">
        <v>0</v>
      </c>
      <c r="F99" s="164" t="s">
        <v>1150</v>
      </c>
      <c r="G99" s="164" t="s">
        <v>707</v>
      </c>
      <c r="H99" s="164" t="s">
        <v>228</v>
      </c>
      <c r="I99" s="164" t="s">
        <v>448</v>
      </c>
      <c r="J99" s="164" t="s">
        <v>715</v>
      </c>
      <c r="K99" s="164" t="s">
        <v>716</v>
      </c>
      <c r="L99" s="33" t="s">
        <v>359</v>
      </c>
      <c r="M99" s="33" t="s">
        <v>359</v>
      </c>
      <c r="N99" s="33" t="s">
        <v>359</v>
      </c>
      <c r="O99" s="33" t="s">
        <v>359</v>
      </c>
      <c r="P99" s="33">
        <v>2025</v>
      </c>
      <c r="Q99" s="33" t="s">
        <v>562</v>
      </c>
      <c r="R99" s="33" t="s">
        <v>548</v>
      </c>
      <c r="S99" s="33" t="s">
        <v>359</v>
      </c>
      <c r="T99" s="33" t="s">
        <v>359</v>
      </c>
      <c r="U99" s="35"/>
      <c r="V99" s="36" t="s">
        <v>1151</v>
      </c>
      <c r="W99" s="35"/>
      <c r="X99" s="33"/>
    </row>
    <row r="100" spans="1:24" ht="52.5" customHeight="1">
      <c r="A100" s="30" t="s">
        <v>68</v>
      </c>
      <c r="B100" s="30" t="s">
        <v>48</v>
      </c>
      <c r="C100" s="30" t="s">
        <v>105</v>
      </c>
      <c r="D100" s="30" t="s">
        <v>67</v>
      </c>
      <c r="E100" s="30" t="s">
        <v>3</v>
      </c>
      <c r="F100" s="4" t="s">
        <v>1152</v>
      </c>
      <c r="G100" s="30" t="s">
        <v>714</v>
      </c>
      <c r="H100" s="30" t="s">
        <v>228</v>
      </c>
      <c r="I100" s="30" t="s">
        <v>448</v>
      </c>
      <c r="J100" s="30" t="s">
        <v>1153</v>
      </c>
      <c r="K100" s="30" t="s">
        <v>742</v>
      </c>
      <c r="L100" s="30" t="s">
        <v>1154</v>
      </c>
      <c r="M100" s="30" t="s">
        <v>1155</v>
      </c>
      <c r="N100" s="30" t="s">
        <v>1156</v>
      </c>
      <c r="O100" s="233">
        <v>45778</v>
      </c>
      <c r="P100" s="30">
        <v>2025</v>
      </c>
      <c r="Q100" s="30" t="s">
        <v>377</v>
      </c>
      <c r="R100" s="40" t="s">
        <v>1157</v>
      </c>
      <c r="S100" s="40" t="s">
        <v>1158</v>
      </c>
      <c r="T100" s="40" t="s">
        <v>1159</v>
      </c>
      <c r="U100" s="40" t="s">
        <v>1160</v>
      </c>
      <c r="V100" s="171"/>
      <c r="W100" s="171"/>
      <c r="X100" s="228"/>
    </row>
    <row r="101" spans="1:24" ht="52.5" customHeight="1">
      <c r="A101" s="30" t="s">
        <v>68</v>
      </c>
      <c r="B101" s="30" t="s">
        <v>48</v>
      </c>
      <c r="C101" s="30" t="s">
        <v>105</v>
      </c>
      <c r="D101" s="30" t="s">
        <v>67</v>
      </c>
      <c r="E101" s="30" t="s">
        <v>3</v>
      </c>
      <c r="F101" s="30" t="s">
        <v>1110</v>
      </c>
      <c r="G101" s="30" t="s">
        <v>714</v>
      </c>
      <c r="H101" s="30" t="s">
        <v>228</v>
      </c>
      <c r="I101" s="30" t="s">
        <v>448</v>
      </c>
      <c r="J101" s="30" t="s">
        <v>1111</v>
      </c>
      <c r="K101" s="30" t="s">
        <v>742</v>
      </c>
      <c r="L101" s="4" t="s">
        <v>1161</v>
      </c>
      <c r="M101" s="30" t="s">
        <v>1112</v>
      </c>
      <c r="N101" s="30" t="s">
        <v>1113</v>
      </c>
      <c r="O101" s="233">
        <v>45839</v>
      </c>
      <c r="P101" s="30">
        <v>2025</v>
      </c>
      <c r="Q101" s="30" t="s">
        <v>377</v>
      </c>
      <c r="R101" s="40" t="s">
        <v>1115</v>
      </c>
      <c r="S101" s="40" t="s">
        <v>1116</v>
      </c>
      <c r="T101" s="40" t="s">
        <v>1162</v>
      </c>
      <c r="U101" s="40" t="s">
        <v>1163</v>
      </c>
      <c r="V101" s="171"/>
      <c r="W101" s="171"/>
      <c r="X101" s="228"/>
    </row>
    <row r="102" spans="1:24" ht="52.5" customHeight="1">
      <c r="A102" s="30" t="s">
        <v>68</v>
      </c>
      <c r="B102" s="30" t="s">
        <v>48</v>
      </c>
      <c r="C102" s="30" t="s">
        <v>105</v>
      </c>
      <c r="D102" s="30" t="s">
        <v>67</v>
      </c>
      <c r="E102" s="30" t="s">
        <v>3</v>
      </c>
      <c r="F102" s="30" t="s">
        <v>1164</v>
      </c>
      <c r="G102" s="30" t="s">
        <v>714</v>
      </c>
      <c r="H102" s="30" t="s">
        <v>228</v>
      </c>
      <c r="I102" s="30" t="s">
        <v>1165</v>
      </c>
      <c r="J102" s="30" t="s">
        <v>1166</v>
      </c>
      <c r="K102" s="30" t="s">
        <v>1167</v>
      </c>
      <c r="L102" s="33" t="s">
        <v>48</v>
      </c>
      <c r="M102" s="171"/>
      <c r="N102" s="171"/>
      <c r="O102" s="171"/>
      <c r="P102" s="171"/>
      <c r="Q102" s="171"/>
      <c r="R102" s="171"/>
      <c r="S102" s="171"/>
      <c r="T102" s="40" t="s">
        <v>1168</v>
      </c>
      <c r="U102" s="32"/>
      <c r="V102" s="40" t="s">
        <v>1169</v>
      </c>
      <c r="W102" s="226"/>
      <c r="X102" s="228"/>
    </row>
    <row r="103" spans="1:24" ht="52.5" customHeight="1">
      <c r="A103" s="164" t="s">
        <v>68</v>
      </c>
      <c r="B103" s="164" t="s">
        <v>48</v>
      </c>
      <c r="C103" s="164" t="s">
        <v>105</v>
      </c>
      <c r="D103" s="164" t="s">
        <v>67</v>
      </c>
      <c r="E103" s="164" t="s">
        <v>3</v>
      </c>
      <c r="F103" s="248"/>
      <c r="G103" s="164" t="s">
        <v>707</v>
      </c>
      <c r="H103" s="248"/>
      <c r="I103" s="164" t="s">
        <v>190</v>
      </c>
      <c r="J103" s="164" t="s">
        <v>1170</v>
      </c>
      <c r="K103" s="164" t="s">
        <v>716</v>
      </c>
      <c r="L103" s="164" t="s">
        <v>48</v>
      </c>
      <c r="M103" s="248"/>
      <c r="N103" s="248"/>
      <c r="O103" s="248"/>
      <c r="P103" s="259"/>
      <c r="Q103" s="248"/>
      <c r="R103" s="259"/>
      <c r="S103" s="259"/>
      <c r="T103" s="238"/>
      <c r="U103" s="248"/>
      <c r="V103" s="246" t="s">
        <v>1171</v>
      </c>
      <c r="W103" s="246"/>
      <c r="X103" s="263"/>
    </row>
    <row r="104" spans="1:24" ht="52.5" customHeight="1">
      <c r="A104" s="282" t="s">
        <v>68</v>
      </c>
      <c r="B104" s="282" t="s">
        <v>48</v>
      </c>
      <c r="C104" s="282" t="s">
        <v>105</v>
      </c>
      <c r="D104" s="282" t="s">
        <v>67</v>
      </c>
      <c r="E104" s="164" t="s">
        <v>3</v>
      </c>
      <c r="F104" s="248"/>
      <c r="G104" s="164" t="s">
        <v>707</v>
      </c>
      <c r="H104" s="248"/>
      <c r="I104" s="164" t="s">
        <v>190</v>
      </c>
      <c r="J104" s="164" t="s">
        <v>1172</v>
      </c>
      <c r="K104" s="164" t="s">
        <v>716</v>
      </c>
      <c r="L104" s="164" t="s">
        <v>48</v>
      </c>
      <c r="M104" s="248"/>
      <c r="N104" s="248"/>
      <c r="O104" s="248"/>
      <c r="P104" s="259"/>
      <c r="Q104" s="248"/>
      <c r="R104" s="259"/>
      <c r="S104" s="259"/>
      <c r="T104" s="238"/>
      <c r="U104" s="248"/>
      <c r="V104" s="246" t="s">
        <v>1173</v>
      </c>
      <c r="W104" s="246"/>
      <c r="X104" s="263"/>
    </row>
    <row r="105" spans="1:24" ht="52.5" customHeight="1">
      <c r="A105" s="282" t="s">
        <v>68</v>
      </c>
      <c r="B105" s="282" t="s">
        <v>48</v>
      </c>
      <c r="C105" s="282" t="s">
        <v>105</v>
      </c>
      <c r="D105" s="282" t="s">
        <v>67</v>
      </c>
      <c r="E105" s="164" t="s">
        <v>3</v>
      </c>
      <c r="F105" s="248"/>
      <c r="G105" s="164" t="s">
        <v>707</v>
      </c>
      <c r="H105" s="248"/>
      <c r="I105" s="164" t="s">
        <v>190</v>
      </c>
      <c r="J105" s="164" t="s">
        <v>1174</v>
      </c>
      <c r="K105" s="164" t="s">
        <v>716</v>
      </c>
      <c r="L105" s="164" t="s">
        <v>48</v>
      </c>
      <c r="M105" s="248"/>
      <c r="N105" s="248"/>
      <c r="O105" s="248"/>
      <c r="P105" s="259"/>
      <c r="Q105" s="248"/>
      <c r="R105" s="259"/>
      <c r="S105" s="259"/>
      <c r="T105" s="238"/>
      <c r="U105" s="248"/>
      <c r="V105" s="246" t="s">
        <v>1175</v>
      </c>
      <c r="W105" s="246"/>
      <c r="X105" s="263"/>
    </row>
    <row r="106" spans="1:24" ht="52.5" customHeight="1">
      <c r="A106" s="282" t="s">
        <v>68</v>
      </c>
      <c r="B106" s="282" t="s">
        <v>48</v>
      </c>
      <c r="C106" s="282" t="s">
        <v>105</v>
      </c>
      <c r="D106" s="282" t="s">
        <v>67</v>
      </c>
      <c r="E106" s="164" t="s">
        <v>3</v>
      </c>
      <c r="F106" s="248"/>
      <c r="G106" s="164" t="s">
        <v>707</v>
      </c>
      <c r="H106" s="248"/>
      <c r="I106" s="164" t="s">
        <v>1176</v>
      </c>
      <c r="J106" s="164" t="s">
        <v>1177</v>
      </c>
      <c r="K106" s="164" t="s">
        <v>716</v>
      </c>
      <c r="L106" s="164" t="s">
        <v>48</v>
      </c>
      <c r="M106" s="248"/>
      <c r="N106" s="248"/>
      <c r="O106" s="248"/>
      <c r="P106" s="259"/>
      <c r="Q106" s="248"/>
      <c r="R106" s="259"/>
      <c r="S106" s="259"/>
      <c r="T106" s="238"/>
      <c r="U106" s="248"/>
      <c r="V106" s="246" t="s">
        <v>1178</v>
      </c>
      <c r="W106" s="246"/>
      <c r="X106" s="263"/>
    </row>
    <row r="107" spans="1:24" ht="52.5" customHeight="1">
      <c r="A107" s="282" t="s">
        <v>68</v>
      </c>
      <c r="B107" s="282" t="s">
        <v>48</v>
      </c>
      <c r="C107" s="282" t="s">
        <v>105</v>
      </c>
      <c r="D107" s="282" t="s">
        <v>67</v>
      </c>
      <c r="E107" s="164" t="s">
        <v>3</v>
      </c>
      <c r="F107" s="248"/>
      <c r="G107" s="164" t="s">
        <v>707</v>
      </c>
      <c r="H107" s="248"/>
      <c r="I107" s="164" t="s">
        <v>1176</v>
      </c>
      <c r="J107" s="164" t="s">
        <v>1179</v>
      </c>
      <c r="K107" s="164" t="s">
        <v>716</v>
      </c>
      <c r="L107" s="164" t="s">
        <v>48</v>
      </c>
      <c r="M107" s="248"/>
      <c r="N107" s="248"/>
      <c r="O107" s="248"/>
      <c r="P107" s="259"/>
      <c r="Q107" s="248"/>
      <c r="R107" s="259"/>
      <c r="S107" s="259"/>
      <c r="T107" s="238"/>
      <c r="U107" s="248"/>
      <c r="V107" s="246" t="s">
        <v>1180</v>
      </c>
      <c r="W107" s="246"/>
      <c r="X107" s="263"/>
    </row>
    <row r="108" spans="1:24" ht="52.5" customHeight="1">
      <c r="A108" s="282" t="s">
        <v>68</v>
      </c>
      <c r="B108" s="282" t="s">
        <v>48</v>
      </c>
      <c r="C108" s="282" t="s">
        <v>105</v>
      </c>
      <c r="D108" s="282" t="s">
        <v>67</v>
      </c>
      <c r="E108" s="196" t="s">
        <v>3</v>
      </c>
      <c r="F108" s="248"/>
      <c r="G108" s="164" t="s">
        <v>707</v>
      </c>
      <c r="H108" s="248"/>
      <c r="I108" s="164" t="s">
        <v>448</v>
      </c>
      <c r="J108" s="164" t="s">
        <v>1181</v>
      </c>
      <c r="K108" s="164" t="s">
        <v>716</v>
      </c>
      <c r="L108" s="164" t="s">
        <v>48</v>
      </c>
      <c r="M108" s="248"/>
      <c r="N108" s="248"/>
      <c r="O108" s="248"/>
      <c r="P108" s="259"/>
      <c r="Q108" s="248"/>
      <c r="R108" s="259"/>
      <c r="S108" s="259"/>
      <c r="T108" s="238"/>
      <c r="U108" s="248"/>
      <c r="V108" s="246" t="s">
        <v>1182</v>
      </c>
      <c r="W108" s="246"/>
      <c r="X108" s="263"/>
    </row>
    <row r="109" spans="1:24" ht="52.5" customHeight="1">
      <c r="A109" s="30" t="s">
        <v>95</v>
      </c>
      <c r="B109" s="33" t="s">
        <v>107</v>
      </c>
      <c r="C109" s="30" t="s">
        <v>108</v>
      </c>
      <c r="D109" s="30" t="s">
        <v>70</v>
      </c>
      <c r="E109" s="30" t="s">
        <v>2</v>
      </c>
      <c r="F109" s="37" t="s">
        <v>1183</v>
      </c>
      <c r="G109" s="30" t="s">
        <v>1184</v>
      </c>
      <c r="H109" s="30" t="s">
        <v>736</v>
      </c>
      <c r="I109" s="30" t="s">
        <v>448</v>
      </c>
      <c r="J109" s="30" t="s">
        <v>1185</v>
      </c>
      <c r="K109" s="30" t="s">
        <v>1186</v>
      </c>
      <c r="L109" s="30" t="s">
        <v>107</v>
      </c>
      <c r="M109" s="37" t="s">
        <v>1187</v>
      </c>
      <c r="N109" s="30" t="s">
        <v>1184</v>
      </c>
      <c r="O109" s="42">
        <v>45852</v>
      </c>
      <c r="P109" s="33">
        <v>2025</v>
      </c>
      <c r="Q109" s="174" t="s">
        <v>1188</v>
      </c>
      <c r="R109" s="34" t="s">
        <v>1189</v>
      </c>
      <c r="S109" s="31" t="s">
        <v>1190</v>
      </c>
      <c r="T109" s="171"/>
      <c r="U109" s="31" t="s">
        <v>1191</v>
      </c>
      <c r="V109" s="35"/>
      <c r="W109" s="33"/>
      <c r="X109" s="30"/>
    </row>
    <row r="110" spans="1:24" ht="52.5" customHeight="1">
      <c r="A110" s="30" t="s">
        <v>95</v>
      </c>
      <c r="B110" s="33" t="s">
        <v>107</v>
      </c>
      <c r="C110" s="30" t="s">
        <v>108</v>
      </c>
      <c r="D110" s="30" t="s">
        <v>70</v>
      </c>
      <c r="E110" s="30" t="s">
        <v>2</v>
      </c>
      <c r="F110" s="30" t="s">
        <v>1192</v>
      </c>
      <c r="G110" s="30" t="s">
        <v>1184</v>
      </c>
      <c r="H110" s="30" t="s">
        <v>736</v>
      </c>
      <c r="I110" s="30" t="s">
        <v>448</v>
      </c>
      <c r="J110" s="30" t="s">
        <v>1193</v>
      </c>
      <c r="K110" s="30" t="s">
        <v>722</v>
      </c>
      <c r="L110" s="171"/>
      <c r="M110" s="171"/>
      <c r="N110" s="171"/>
      <c r="O110" s="171"/>
      <c r="P110" s="171"/>
      <c r="Q110" s="171"/>
      <c r="R110" s="171"/>
      <c r="S110" s="171"/>
      <c r="T110" s="32"/>
      <c r="U110" s="32"/>
      <c r="V110" s="174" t="s">
        <v>1194</v>
      </c>
      <c r="W110" s="30"/>
      <c r="X110" s="30"/>
    </row>
    <row r="111" spans="1:24" ht="52.5" customHeight="1">
      <c r="A111" s="30" t="s">
        <v>1195</v>
      </c>
      <c r="B111" s="30" t="s">
        <v>17</v>
      </c>
      <c r="C111" s="30" t="s">
        <v>1196</v>
      </c>
      <c r="D111" s="30" t="s">
        <v>67</v>
      </c>
      <c r="E111" s="30" t="s">
        <v>6</v>
      </c>
      <c r="F111" s="30" t="s">
        <v>1197</v>
      </c>
      <c r="G111" s="30" t="s">
        <v>714</v>
      </c>
      <c r="H111" s="30" t="s">
        <v>736</v>
      </c>
      <c r="I111" s="4" t="s">
        <v>448</v>
      </c>
      <c r="J111" s="30" t="s">
        <v>1198</v>
      </c>
      <c r="K111" s="30" t="s">
        <v>742</v>
      </c>
      <c r="L111" s="30" t="s">
        <v>1199</v>
      </c>
      <c r="M111" s="30" t="s">
        <v>1200</v>
      </c>
      <c r="N111" s="171"/>
      <c r="O111" s="30" t="s">
        <v>1201</v>
      </c>
      <c r="P111" s="30">
        <v>2025</v>
      </c>
      <c r="Q111" s="30" t="s">
        <v>162</v>
      </c>
      <c r="R111" s="40" t="s">
        <v>1202</v>
      </c>
      <c r="S111" s="31" t="s">
        <v>1203</v>
      </c>
      <c r="T111" s="171"/>
      <c r="U111" s="171"/>
      <c r="V111" s="32"/>
      <c r="W111" s="32"/>
      <c r="X111" s="173"/>
    </row>
    <row r="112" spans="1:24" ht="52.5" customHeight="1">
      <c r="A112" s="30" t="s">
        <v>1146</v>
      </c>
      <c r="B112" s="30" t="s">
        <v>24</v>
      </c>
      <c r="C112" s="4" t="s">
        <v>112</v>
      </c>
      <c r="D112" s="30" t="s">
        <v>76</v>
      </c>
      <c r="E112" s="30" t="s">
        <v>6</v>
      </c>
      <c r="F112" s="33" t="s">
        <v>1204</v>
      </c>
      <c r="G112" s="30" t="s">
        <v>714</v>
      </c>
      <c r="H112" s="30" t="s">
        <v>736</v>
      </c>
      <c r="I112" s="4" t="s">
        <v>448</v>
      </c>
      <c r="J112" s="33" t="s">
        <v>1205</v>
      </c>
      <c r="K112" s="30" t="s">
        <v>716</v>
      </c>
      <c r="L112" s="171"/>
      <c r="M112" s="30" t="s">
        <v>1206</v>
      </c>
      <c r="N112" s="291"/>
      <c r="O112" s="33" t="s">
        <v>1207</v>
      </c>
      <c r="P112" s="30">
        <v>2025</v>
      </c>
      <c r="Q112" s="171"/>
      <c r="R112" s="171"/>
      <c r="S112" s="32"/>
      <c r="T112" s="174"/>
      <c r="U112" s="32"/>
      <c r="V112" s="31" t="s">
        <v>1208</v>
      </c>
      <c r="W112" s="30"/>
      <c r="X112" s="38"/>
    </row>
    <row r="113" spans="1:24" ht="52.5" customHeight="1">
      <c r="A113" s="197" t="s">
        <v>68</v>
      </c>
      <c r="B113" s="197" t="s">
        <v>50</v>
      </c>
      <c r="C113" s="292" t="s">
        <v>113</v>
      </c>
      <c r="D113" s="197" t="s">
        <v>67</v>
      </c>
      <c r="E113" s="197" t="s">
        <v>6</v>
      </c>
      <c r="F113" s="197" t="s">
        <v>1209</v>
      </c>
      <c r="G113" s="197" t="s">
        <v>707</v>
      </c>
      <c r="H113" s="197" t="s">
        <v>228</v>
      </c>
      <c r="I113" s="197" t="s">
        <v>448</v>
      </c>
      <c r="J113" s="197" t="s">
        <v>1210</v>
      </c>
      <c r="K113" s="197" t="s">
        <v>730</v>
      </c>
      <c r="L113" s="197" t="s">
        <v>359</v>
      </c>
      <c r="M113" s="197" t="s">
        <v>359</v>
      </c>
      <c r="N113" s="197" t="s">
        <v>359</v>
      </c>
      <c r="O113" s="197" t="s">
        <v>359</v>
      </c>
      <c r="P113" s="197">
        <v>2025</v>
      </c>
      <c r="Q113" s="197" t="s">
        <v>359</v>
      </c>
      <c r="R113" s="197" t="s">
        <v>359</v>
      </c>
      <c r="S113" s="197" t="s">
        <v>359</v>
      </c>
      <c r="T113" s="197" t="s">
        <v>359</v>
      </c>
      <c r="U113" s="197" t="s">
        <v>359</v>
      </c>
      <c r="V113" s="257" t="s">
        <v>1211</v>
      </c>
      <c r="W113" s="293"/>
      <c r="X113" s="248"/>
    </row>
    <row r="114" spans="1:24" ht="52.5" customHeight="1">
      <c r="A114" s="279" t="s">
        <v>68</v>
      </c>
      <c r="B114" s="279" t="s">
        <v>50</v>
      </c>
      <c r="C114" s="292" t="s">
        <v>113</v>
      </c>
      <c r="D114" s="279" t="s">
        <v>67</v>
      </c>
      <c r="E114" s="279" t="s">
        <v>6</v>
      </c>
      <c r="F114" s="294" t="s">
        <v>1212</v>
      </c>
      <c r="G114" s="279" t="s">
        <v>707</v>
      </c>
      <c r="H114" s="279" t="s">
        <v>228</v>
      </c>
      <c r="I114" s="279" t="s">
        <v>448</v>
      </c>
      <c r="J114" s="279" t="s">
        <v>715</v>
      </c>
      <c r="K114" s="279" t="s">
        <v>730</v>
      </c>
      <c r="L114" s="279" t="s">
        <v>359</v>
      </c>
      <c r="M114" s="279" t="s">
        <v>359</v>
      </c>
      <c r="N114" s="279" t="s">
        <v>359</v>
      </c>
      <c r="O114" s="279" t="s">
        <v>359</v>
      </c>
      <c r="P114" s="279">
        <v>2025</v>
      </c>
      <c r="Q114" s="279" t="s">
        <v>359</v>
      </c>
      <c r="R114" s="279" t="s">
        <v>359</v>
      </c>
      <c r="S114" s="279" t="s">
        <v>359</v>
      </c>
      <c r="T114" s="279" t="s">
        <v>359</v>
      </c>
      <c r="U114" s="279" t="s">
        <v>359</v>
      </c>
      <c r="V114" s="257" t="s">
        <v>1213</v>
      </c>
      <c r="W114" s="295"/>
      <c r="X114" s="248"/>
    </row>
    <row r="115" spans="1:24" ht="52.5" customHeight="1">
      <c r="A115" s="197" t="s">
        <v>68</v>
      </c>
      <c r="B115" s="197" t="s">
        <v>50</v>
      </c>
      <c r="C115" s="292" t="s">
        <v>113</v>
      </c>
      <c r="D115" s="197" t="s">
        <v>67</v>
      </c>
      <c r="E115" s="197" t="s">
        <v>6</v>
      </c>
      <c r="F115" s="197" t="s">
        <v>1214</v>
      </c>
      <c r="G115" s="197" t="s">
        <v>707</v>
      </c>
      <c r="H115" s="197" t="s">
        <v>228</v>
      </c>
      <c r="I115" s="197" t="s">
        <v>448</v>
      </c>
      <c r="J115" s="197" t="s">
        <v>1215</v>
      </c>
      <c r="K115" s="197" t="s">
        <v>730</v>
      </c>
      <c r="L115" s="197" t="s">
        <v>359</v>
      </c>
      <c r="M115" s="197" t="s">
        <v>359</v>
      </c>
      <c r="N115" s="197" t="s">
        <v>359</v>
      </c>
      <c r="O115" s="197" t="s">
        <v>359</v>
      </c>
      <c r="P115" s="197">
        <v>2025</v>
      </c>
      <c r="Q115" s="197" t="s">
        <v>359</v>
      </c>
      <c r="R115" s="197" t="s">
        <v>359</v>
      </c>
      <c r="S115" s="197" t="s">
        <v>359</v>
      </c>
      <c r="T115" s="197" t="s">
        <v>359</v>
      </c>
      <c r="U115" s="197" t="s">
        <v>359</v>
      </c>
      <c r="V115" s="257" t="s">
        <v>1216</v>
      </c>
      <c r="W115" s="293"/>
      <c r="X115" s="248"/>
    </row>
    <row r="116" spans="1:24" ht="52.5" customHeight="1">
      <c r="A116" s="279" t="s">
        <v>68</v>
      </c>
      <c r="B116" s="279" t="s">
        <v>50</v>
      </c>
      <c r="C116" s="292" t="s">
        <v>113</v>
      </c>
      <c r="D116" s="279" t="s">
        <v>67</v>
      </c>
      <c r="E116" s="279" t="s">
        <v>6</v>
      </c>
      <c r="F116" s="294" t="s">
        <v>1217</v>
      </c>
      <c r="G116" s="279" t="s">
        <v>707</v>
      </c>
      <c r="H116" s="279" t="s">
        <v>228</v>
      </c>
      <c r="I116" s="279" t="s">
        <v>190</v>
      </c>
      <c r="J116" s="279" t="s">
        <v>1002</v>
      </c>
      <c r="K116" s="279" t="s">
        <v>730</v>
      </c>
      <c r="L116" s="279" t="s">
        <v>359</v>
      </c>
      <c r="M116" s="279" t="s">
        <v>359</v>
      </c>
      <c r="N116" s="279" t="s">
        <v>359</v>
      </c>
      <c r="O116" s="279" t="s">
        <v>359</v>
      </c>
      <c r="P116" s="279">
        <v>2025</v>
      </c>
      <c r="Q116" s="279" t="s">
        <v>359</v>
      </c>
      <c r="R116" s="279" t="s">
        <v>359</v>
      </c>
      <c r="S116" s="279" t="s">
        <v>359</v>
      </c>
      <c r="T116" s="279" t="s">
        <v>359</v>
      </c>
      <c r="U116" s="279" t="s">
        <v>359</v>
      </c>
      <c r="V116" s="257" t="s">
        <v>1218</v>
      </c>
      <c r="W116" s="295"/>
      <c r="X116" s="248"/>
    </row>
    <row r="117" spans="1:24" ht="52.5" customHeight="1">
      <c r="A117" s="197" t="s">
        <v>68</v>
      </c>
      <c r="B117" s="197" t="s">
        <v>50</v>
      </c>
      <c r="C117" s="292" t="s">
        <v>113</v>
      </c>
      <c r="D117" s="197" t="s">
        <v>67</v>
      </c>
      <c r="E117" s="197" t="s">
        <v>6</v>
      </c>
      <c r="F117" s="294" t="s">
        <v>1219</v>
      </c>
      <c r="G117" s="197" t="s">
        <v>707</v>
      </c>
      <c r="H117" s="197" t="s">
        <v>228</v>
      </c>
      <c r="I117" s="197" t="s">
        <v>448</v>
      </c>
      <c r="J117" s="197" t="s">
        <v>1051</v>
      </c>
      <c r="K117" s="197" t="s">
        <v>730</v>
      </c>
      <c r="L117" s="197" t="s">
        <v>359</v>
      </c>
      <c r="M117" s="197" t="s">
        <v>359</v>
      </c>
      <c r="N117" s="197" t="s">
        <v>359</v>
      </c>
      <c r="O117" s="197" t="s">
        <v>359</v>
      </c>
      <c r="P117" s="197">
        <v>2025</v>
      </c>
      <c r="Q117" s="197" t="s">
        <v>359</v>
      </c>
      <c r="R117" s="197" t="s">
        <v>359</v>
      </c>
      <c r="S117" s="197" t="s">
        <v>359</v>
      </c>
      <c r="T117" s="197" t="s">
        <v>359</v>
      </c>
      <c r="U117" s="197" t="s">
        <v>359</v>
      </c>
      <c r="V117" s="257" t="s">
        <v>1220</v>
      </c>
      <c r="W117" s="293"/>
      <c r="X117" s="248"/>
    </row>
    <row r="118" spans="1:24" ht="52.5" customHeight="1">
      <c r="A118" s="279" t="s">
        <v>68</v>
      </c>
      <c r="B118" s="279" t="s">
        <v>50</v>
      </c>
      <c r="C118" s="292" t="s">
        <v>113</v>
      </c>
      <c r="D118" s="279" t="s">
        <v>67</v>
      </c>
      <c r="E118" s="279" t="s">
        <v>6</v>
      </c>
      <c r="F118" s="294" t="s">
        <v>1221</v>
      </c>
      <c r="G118" s="279" t="s">
        <v>707</v>
      </c>
      <c r="H118" s="279" t="s">
        <v>228</v>
      </c>
      <c r="I118" s="279" t="s">
        <v>190</v>
      </c>
      <c r="J118" s="279" t="s">
        <v>1222</v>
      </c>
      <c r="K118" s="279" t="s">
        <v>730</v>
      </c>
      <c r="L118" s="279" t="s">
        <v>359</v>
      </c>
      <c r="M118" s="279" t="s">
        <v>359</v>
      </c>
      <c r="N118" s="279" t="s">
        <v>359</v>
      </c>
      <c r="O118" s="279" t="s">
        <v>359</v>
      </c>
      <c r="P118" s="279">
        <v>2025</v>
      </c>
      <c r="Q118" s="279" t="s">
        <v>359</v>
      </c>
      <c r="R118" s="279" t="s">
        <v>359</v>
      </c>
      <c r="S118" s="279" t="s">
        <v>359</v>
      </c>
      <c r="T118" s="279" t="s">
        <v>359</v>
      </c>
      <c r="U118" s="279" t="s">
        <v>359</v>
      </c>
      <c r="V118" s="257" t="s">
        <v>1223</v>
      </c>
      <c r="W118" s="295"/>
      <c r="X118" s="248"/>
    </row>
    <row r="119" spans="1:24" ht="52.5" customHeight="1">
      <c r="A119" s="197" t="s">
        <v>68</v>
      </c>
      <c r="B119" s="197" t="s">
        <v>50</v>
      </c>
      <c r="C119" s="292" t="s">
        <v>113</v>
      </c>
      <c r="D119" s="197" t="s">
        <v>67</v>
      </c>
      <c r="E119" s="197" t="s">
        <v>6</v>
      </c>
      <c r="F119" s="294" t="s">
        <v>1224</v>
      </c>
      <c r="G119" s="197" t="s">
        <v>707</v>
      </c>
      <c r="H119" s="197" t="s">
        <v>228</v>
      </c>
      <c r="I119" s="197" t="s">
        <v>190</v>
      </c>
      <c r="J119" s="197" t="s">
        <v>1225</v>
      </c>
      <c r="K119" s="197" t="s">
        <v>730</v>
      </c>
      <c r="L119" s="197" t="s">
        <v>359</v>
      </c>
      <c r="M119" s="197" t="s">
        <v>359</v>
      </c>
      <c r="N119" s="197" t="s">
        <v>359</v>
      </c>
      <c r="O119" s="197" t="s">
        <v>359</v>
      </c>
      <c r="P119" s="197">
        <v>2025</v>
      </c>
      <c r="Q119" s="197" t="s">
        <v>359</v>
      </c>
      <c r="R119" s="197" t="s">
        <v>359</v>
      </c>
      <c r="S119" s="197" t="s">
        <v>359</v>
      </c>
      <c r="T119" s="197" t="s">
        <v>359</v>
      </c>
      <c r="U119" s="197" t="s">
        <v>359</v>
      </c>
      <c r="V119" s="257" t="s">
        <v>1226</v>
      </c>
      <c r="W119" s="293"/>
      <c r="X119" s="248"/>
    </row>
    <row r="120" spans="1:24" ht="52.5" customHeight="1">
      <c r="A120" s="279" t="s">
        <v>68</v>
      </c>
      <c r="B120" s="279" t="s">
        <v>50</v>
      </c>
      <c r="C120" s="292" t="s">
        <v>113</v>
      </c>
      <c r="D120" s="279" t="s">
        <v>67</v>
      </c>
      <c r="E120" s="279" t="s">
        <v>6</v>
      </c>
      <c r="F120" s="279" t="s">
        <v>1227</v>
      </c>
      <c r="G120" s="279" t="s">
        <v>707</v>
      </c>
      <c r="H120" s="279" t="s">
        <v>228</v>
      </c>
      <c r="I120" s="279" t="s">
        <v>448</v>
      </c>
      <c r="J120" s="279" t="s">
        <v>1215</v>
      </c>
      <c r="K120" s="279" t="s">
        <v>730</v>
      </c>
      <c r="L120" s="279" t="s">
        <v>359</v>
      </c>
      <c r="M120" s="279" t="s">
        <v>359</v>
      </c>
      <c r="N120" s="279" t="s">
        <v>359</v>
      </c>
      <c r="O120" s="279" t="s">
        <v>359</v>
      </c>
      <c r="P120" s="279">
        <v>2025</v>
      </c>
      <c r="Q120" s="279" t="s">
        <v>359</v>
      </c>
      <c r="R120" s="279" t="s">
        <v>359</v>
      </c>
      <c r="S120" s="279" t="s">
        <v>359</v>
      </c>
      <c r="T120" s="279" t="s">
        <v>359</v>
      </c>
      <c r="U120" s="279" t="s">
        <v>359</v>
      </c>
      <c r="V120" s="257" t="s">
        <v>1228</v>
      </c>
      <c r="W120" s="295"/>
      <c r="X120" s="248"/>
    </row>
    <row r="121" spans="1:24" ht="52.5" customHeight="1">
      <c r="A121" s="197" t="s">
        <v>68</v>
      </c>
      <c r="B121" s="197" t="s">
        <v>50</v>
      </c>
      <c r="C121" s="292" t="s">
        <v>113</v>
      </c>
      <c r="D121" s="197" t="s">
        <v>67</v>
      </c>
      <c r="E121" s="197" t="s">
        <v>6</v>
      </c>
      <c r="F121" s="294" t="s">
        <v>1229</v>
      </c>
      <c r="G121" s="197" t="s">
        <v>707</v>
      </c>
      <c r="H121" s="197" t="s">
        <v>228</v>
      </c>
      <c r="I121" s="197" t="s">
        <v>448</v>
      </c>
      <c r="J121" s="197" t="s">
        <v>729</v>
      </c>
      <c r="K121" s="197" t="s">
        <v>730</v>
      </c>
      <c r="L121" s="197" t="s">
        <v>359</v>
      </c>
      <c r="M121" s="197" t="s">
        <v>359</v>
      </c>
      <c r="N121" s="197" t="s">
        <v>359</v>
      </c>
      <c r="O121" s="197" t="s">
        <v>359</v>
      </c>
      <c r="P121" s="197">
        <v>2025</v>
      </c>
      <c r="Q121" s="197" t="s">
        <v>359</v>
      </c>
      <c r="R121" s="197" t="s">
        <v>359</v>
      </c>
      <c r="S121" s="197" t="s">
        <v>359</v>
      </c>
      <c r="T121" s="197" t="s">
        <v>359</v>
      </c>
      <c r="U121" s="197" t="s">
        <v>359</v>
      </c>
      <c r="V121" s="257" t="s">
        <v>1230</v>
      </c>
      <c r="W121" s="293"/>
      <c r="X121" s="248"/>
    </row>
    <row r="122" spans="1:24" ht="52.5" customHeight="1">
      <c r="A122" s="197" t="s">
        <v>68</v>
      </c>
      <c r="B122" s="197" t="s">
        <v>50</v>
      </c>
      <c r="C122" s="292" t="s">
        <v>113</v>
      </c>
      <c r="D122" s="197" t="s">
        <v>67</v>
      </c>
      <c r="E122" s="197" t="s">
        <v>6</v>
      </c>
      <c r="F122" s="196" t="s">
        <v>1231</v>
      </c>
      <c r="G122" s="197" t="s">
        <v>707</v>
      </c>
      <c r="H122" s="197" t="s">
        <v>228</v>
      </c>
      <c r="I122" s="197" t="s">
        <v>448</v>
      </c>
      <c r="J122" s="296" t="s">
        <v>1232</v>
      </c>
      <c r="K122" s="197" t="s">
        <v>730</v>
      </c>
      <c r="L122" s="197" t="s">
        <v>359</v>
      </c>
      <c r="M122" s="197" t="s">
        <v>359</v>
      </c>
      <c r="N122" s="197" t="s">
        <v>359</v>
      </c>
      <c r="O122" s="197" t="s">
        <v>359</v>
      </c>
      <c r="P122" s="196">
        <v>2026</v>
      </c>
      <c r="Q122" s="197" t="s">
        <v>359</v>
      </c>
      <c r="R122" s="197" t="s">
        <v>359</v>
      </c>
      <c r="S122" s="197" t="s">
        <v>359</v>
      </c>
      <c r="T122" s="197" t="s">
        <v>359</v>
      </c>
      <c r="U122" s="197" t="s">
        <v>359</v>
      </c>
      <c r="V122" s="297" t="s">
        <v>1233</v>
      </c>
      <c r="W122" s="298"/>
      <c r="X122" s="248"/>
    </row>
    <row r="123" spans="1:24" ht="52.5" customHeight="1">
      <c r="A123" s="197" t="s">
        <v>68</v>
      </c>
      <c r="B123" s="197" t="s">
        <v>50</v>
      </c>
      <c r="C123" s="292" t="s">
        <v>113</v>
      </c>
      <c r="D123" s="197" t="s">
        <v>67</v>
      </c>
      <c r="E123" s="197" t="s">
        <v>6</v>
      </c>
      <c r="F123" s="196" t="s">
        <v>1231</v>
      </c>
      <c r="G123" s="197" t="s">
        <v>707</v>
      </c>
      <c r="H123" s="197" t="s">
        <v>228</v>
      </c>
      <c r="I123" s="197" t="s">
        <v>448</v>
      </c>
      <c r="J123" s="296" t="s">
        <v>1232</v>
      </c>
      <c r="K123" s="279" t="s">
        <v>1234</v>
      </c>
      <c r="L123" s="197" t="s">
        <v>359</v>
      </c>
      <c r="M123" s="197" t="s">
        <v>359</v>
      </c>
      <c r="N123" s="197" t="s">
        <v>359</v>
      </c>
      <c r="O123" s="197" t="s">
        <v>359</v>
      </c>
      <c r="P123" s="196">
        <v>2026</v>
      </c>
      <c r="Q123" s="197" t="s">
        <v>359</v>
      </c>
      <c r="R123" s="197" t="s">
        <v>359</v>
      </c>
      <c r="S123" s="197" t="s">
        <v>359</v>
      </c>
      <c r="T123" s="197" t="s">
        <v>359</v>
      </c>
      <c r="U123" s="197" t="s">
        <v>359</v>
      </c>
      <c r="V123" s="272" t="s">
        <v>1235</v>
      </c>
      <c r="W123" s="298"/>
      <c r="X123" s="248"/>
    </row>
    <row r="124" spans="1:24" ht="52.5" customHeight="1">
      <c r="A124" s="279" t="s">
        <v>68</v>
      </c>
      <c r="B124" s="279" t="s">
        <v>50</v>
      </c>
      <c r="C124" s="292" t="s">
        <v>113</v>
      </c>
      <c r="D124" s="279" t="s">
        <v>67</v>
      </c>
      <c r="E124" s="279" t="s">
        <v>6</v>
      </c>
      <c r="F124" s="294" t="s">
        <v>1236</v>
      </c>
      <c r="G124" s="279" t="s">
        <v>707</v>
      </c>
      <c r="H124" s="279" t="s">
        <v>228</v>
      </c>
      <c r="I124" s="279" t="s">
        <v>448</v>
      </c>
      <c r="J124" s="279" t="s">
        <v>1237</v>
      </c>
      <c r="K124" s="279" t="s">
        <v>1234</v>
      </c>
      <c r="L124" s="279" t="s">
        <v>359</v>
      </c>
      <c r="M124" s="279" t="s">
        <v>359</v>
      </c>
      <c r="N124" s="279" t="s">
        <v>359</v>
      </c>
      <c r="O124" s="279" t="s">
        <v>359</v>
      </c>
      <c r="P124" s="279">
        <v>2025</v>
      </c>
      <c r="Q124" s="279" t="s">
        <v>359</v>
      </c>
      <c r="R124" s="279" t="s">
        <v>359</v>
      </c>
      <c r="S124" s="279" t="s">
        <v>359</v>
      </c>
      <c r="T124" s="279" t="s">
        <v>359</v>
      </c>
      <c r="U124" s="279" t="s">
        <v>359</v>
      </c>
      <c r="V124" s="257" t="s">
        <v>1238</v>
      </c>
      <c r="W124" s="295"/>
      <c r="X124" s="248"/>
    </row>
    <row r="125" spans="1:24" ht="52.5" customHeight="1">
      <c r="A125" s="197" t="s">
        <v>68</v>
      </c>
      <c r="B125" s="197" t="s">
        <v>50</v>
      </c>
      <c r="C125" s="292" t="s">
        <v>113</v>
      </c>
      <c r="D125" s="197" t="s">
        <v>67</v>
      </c>
      <c r="E125" s="197" t="s">
        <v>6</v>
      </c>
      <c r="F125" s="294" t="s">
        <v>1239</v>
      </c>
      <c r="G125" s="197" t="s">
        <v>707</v>
      </c>
      <c r="H125" s="197" t="s">
        <v>228</v>
      </c>
      <c r="I125" s="197" t="s">
        <v>448</v>
      </c>
      <c r="J125" s="197" t="s">
        <v>1240</v>
      </c>
      <c r="K125" s="197" t="s">
        <v>1234</v>
      </c>
      <c r="L125" s="197" t="s">
        <v>359</v>
      </c>
      <c r="M125" s="197" t="s">
        <v>359</v>
      </c>
      <c r="N125" s="197" t="s">
        <v>359</v>
      </c>
      <c r="O125" s="197" t="s">
        <v>359</v>
      </c>
      <c r="P125" s="197">
        <v>2025</v>
      </c>
      <c r="Q125" s="197" t="s">
        <v>359</v>
      </c>
      <c r="R125" s="197" t="s">
        <v>359</v>
      </c>
      <c r="S125" s="197" t="s">
        <v>359</v>
      </c>
      <c r="T125" s="197" t="s">
        <v>359</v>
      </c>
      <c r="U125" s="197" t="s">
        <v>359</v>
      </c>
      <c r="V125" s="257" t="s">
        <v>1241</v>
      </c>
      <c r="W125" s="293"/>
      <c r="X125" s="248"/>
    </row>
    <row r="126" spans="1:24" ht="52.5" customHeight="1">
      <c r="A126" s="279" t="s">
        <v>68</v>
      </c>
      <c r="B126" s="279" t="s">
        <v>50</v>
      </c>
      <c r="C126" s="292" t="s">
        <v>113</v>
      </c>
      <c r="D126" s="279" t="s">
        <v>67</v>
      </c>
      <c r="E126" s="279" t="s">
        <v>6</v>
      </c>
      <c r="F126" s="299" t="s">
        <v>1242</v>
      </c>
      <c r="G126" s="279" t="s">
        <v>707</v>
      </c>
      <c r="H126" s="279" t="s">
        <v>228</v>
      </c>
      <c r="I126" s="279" t="s">
        <v>190</v>
      </c>
      <c r="J126" s="279" t="s">
        <v>1002</v>
      </c>
      <c r="K126" s="279" t="s">
        <v>716</v>
      </c>
      <c r="L126" s="279" t="s">
        <v>359</v>
      </c>
      <c r="M126" s="279" t="s">
        <v>359</v>
      </c>
      <c r="N126" s="279" t="s">
        <v>359</v>
      </c>
      <c r="O126" s="279" t="s">
        <v>359</v>
      </c>
      <c r="P126" s="279">
        <v>2025</v>
      </c>
      <c r="Q126" s="279" t="s">
        <v>359</v>
      </c>
      <c r="R126" s="279" t="s">
        <v>359</v>
      </c>
      <c r="S126" s="279" t="s">
        <v>359</v>
      </c>
      <c r="T126" s="279" t="s">
        <v>359</v>
      </c>
      <c r="U126" s="279" t="s">
        <v>359</v>
      </c>
      <c r="V126" s="257" t="s">
        <v>1243</v>
      </c>
      <c r="W126" s="279"/>
      <c r="X126" s="248"/>
    </row>
    <row r="127" spans="1:24" ht="52.5" customHeight="1">
      <c r="A127" s="33" t="s">
        <v>95</v>
      </c>
      <c r="B127" s="163" t="s">
        <v>53</v>
      </c>
      <c r="C127" s="39" t="s">
        <v>115</v>
      </c>
      <c r="D127" s="164" t="s">
        <v>67</v>
      </c>
      <c r="E127" s="196" t="s">
        <v>3</v>
      </c>
      <c r="F127" s="256" t="s">
        <v>1244</v>
      </c>
      <c r="G127" s="196" t="s">
        <v>707</v>
      </c>
      <c r="H127" s="196" t="s">
        <v>169</v>
      </c>
      <c r="I127" s="196" t="s">
        <v>448</v>
      </c>
      <c r="J127" s="196" t="s">
        <v>729</v>
      </c>
      <c r="K127" s="196" t="s">
        <v>730</v>
      </c>
      <c r="L127" s="196" t="s">
        <v>359</v>
      </c>
      <c r="M127" s="196" t="s">
        <v>359</v>
      </c>
      <c r="N127" s="196" t="s">
        <v>359</v>
      </c>
      <c r="O127" s="196" t="s">
        <v>359</v>
      </c>
      <c r="P127" s="196" t="s">
        <v>359</v>
      </c>
      <c r="Q127" s="196" t="s">
        <v>359</v>
      </c>
      <c r="R127" s="196" t="s">
        <v>359</v>
      </c>
      <c r="S127" s="196" t="s">
        <v>359</v>
      </c>
      <c r="T127" s="300" t="s">
        <v>1245</v>
      </c>
      <c r="U127" s="251"/>
      <c r="V127" s="251"/>
      <c r="W127" s="196"/>
      <c r="X127" s="35"/>
    </row>
    <row r="128" spans="1:24" ht="52.5" customHeight="1">
      <c r="A128" s="33" t="s">
        <v>95</v>
      </c>
      <c r="B128" s="163" t="s">
        <v>53</v>
      </c>
      <c r="C128" s="39" t="s">
        <v>115</v>
      </c>
      <c r="D128" s="164" t="s">
        <v>67</v>
      </c>
      <c r="E128" s="196" t="s">
        <v>3</v>
      </c>
      <c r="F128" s="301" t="s">
        <v>1246</v>
      </c>
      <c r="G128" s="196" t="s">
        <v>707</v>
      </c>
      <c r="H128" s="196" t="s">
        <v>169</v>
      </c>
      <c r="I128" s="196" t="s">
        <v>448</v>
      </c>
      <c r="J128" s="196" t="s">
        <v>729</v>
      </c>
      <c r="K128" s="196" t="s">
        <v>716</v>
      </c>
      <c r="L128" s="196" t="s">
        <v>359</v>
      </c>
      <c r="M128" s="196" t="s">
        <v>359</v>
      </c>
      <c r="N128" s="196" t="s">
        <v>359</v>
      </c>
      <c r="O128" s="196" t="s">
        <v>359</v>
      </c>
      <c r="P128" s="196" t="s">
        <v>359</v>
      </c>
      <c r="Q128" s="196" t="s">
        <v>359</v>
      </c>
      <c r="R128" s="196" t="s">
        <v>359</v>
      </c>
      <c r="S128" s="196" t="s">
        <v>359</v>
      </c>
      <c r="T128" s="41" t="s">
        <v>1247</v>
      </c>
      <c r="U128" s="251"/>
      <c r="V128" s="251"/>
      <c r="W128" s="196"/>
      <c r="X128" s="35"/>
    </row>
    <row r="129" spans="1:24" ht="52.5" customHeight="1">
      <c r="A129" s="163" t="s">
        <v>65</v>
      </c>
      <c r="B129" s="163" t="s">
        <v>23</v>
      </c>
      <c r="C129" s="164" t="s">
        <v>1248</v>
      </c>
      <c r="D129" s="164" t="s">
        <v>67</v>
      </c>
      <c r="E129" s="254" t="s">
        <v>6</v>
      </c>
      <c r="F129" s="163" t="s">
        <v>1249</v>
      </c>
      <c r="G129" s="164" t="s">
        <v>714</v>
      </c>
      <c r="H129" s="163" t="s">
        <v>1250</v>
      </c>
      <c r="I129" s="163" t="s">
        <v>1251</v>
      </c>
      <c r="J129" s="163" t="s">
        <v>1252</v>
      </c>
      <c r="K129" s="252" t="s">
        <v>742</v>
      </c>
      <c r="L129" s="163" t="s">
        <v>1253</v>
      </c>
      <c r="M129" s="163" t="s">
        <v>1254</v>
      </c>
      <c r="N129" s="38"/>
      <c r="O129" s="163" t="s">
        <v>902</v>
      </c>
      <c r="P129" s="164">
        <v>2025</v>
      </c>
      <c r="Q129" s="163" t="s">
        <v>223</v>
      </c>
      <c r="R129" s="302"/>
      <c r="S129" s="248"/>
      <c r="T129" s="237" t="s">
        <v>1255</v>
      </c>
      <c r="U129" s="258"/>
      <c r="V129" s="244" t="s">
        <v>1255</v>
      </c>
      <c r="W129" s="244"/>
      <c r="X129" s="259"/>
    </row>
    <row r="130" spans="1:24" ht="52.5" customHeight="1">
      <c r="A130" s="30" t="s">
        <v>73</v>
      </c>
      <c r="B130" s="30" t="s">
        <v>21</v>
      </c>
      <c r="C130" s="30" t="s">
        <v>120</v>
      </c>
      <c r="D130" s="30" t="s">
        <v>121</v>
      </c>
      <c r="E130" s="30" t="s">
        <v>6</v>
      </c>
      <c r="F130" s="4" t="s">
        <v>1256</v>
      </c>
      <c r="G130" s="30" t="s">
        <v>714</v>
      </c>
      <c r="H130" s="30" t="s">
        <v>736</v>
      </c>
      <c r="I130" s="4" t="s">
        <v>448</v>
      </c>
      <c r="J130" s="280" t="s">
        <v>1125</v>
      </c>
      <c r="K130" s="30" t="s">
        <v>742</v>
      </c>
      <c r="L130" s="12" t="s">
        <v>1257</v>
      </c>
      <c r="M130" s="30" t="s">
        <v>1258</v>
      </c>
      <c r="N130" s="4" t="s">
        <v>1259</v>
      </c>
      <c r="O130" s="232">
        <v>45806</v>
      </c>
      <c r="P130" s="30">
        <v>2025</v>
      </c>
      <c r="Q130" s="30" t="s">
        <v>242</v>
      </c>
      <c r="R130" s="31" t="s">
        <v>1260</v>
      </c>
      <c r="S130" s="31" t="s">
        <v>1261</v>
      </c>
      <c r="T130" s="32"/>
      <c r="U130" s="32"/>
      <c r="V130" s="171"/>
      <c r="W130" s="171"/>
      <c r="X130" s="228"/>
    </row>
    <row r="131" spans="1:24" ht="52.5" customHeight="1">
      <c r="A131" s="30" t="s">
        <v>73</v>
      </c>
      <c r="B131" s="30" t="s">
        <v>21</v>
      </c>
      <c r="C131" s="30" t="s">
        <v>120</v>
      </c>
      <c r="D131" s="30" t="s">
        <v>121</v>
      </c>
      <c r="E131" s="30" t="s">
        <v>6</v>
      </c>
      <c r="F131" s="4" t="s">
        <v>801</v>
      </c>
      <c r="G131" s="30" t="s">
        <v>714</v>
      </c>
      <c r="H131" s="30" t="s">
        <v>736</v>
      </c>
      <c r="I131" s="4" t="s">
        <v>448</v>
      </c>
      <c r="J131" s="30" t="s">
        <v>1262</v>
      </c>
      <c r="K131" s="30" t="s">
        <v>742</v>
      </c>
      <c r="L131" s="4" t="s">
        <v>1263</v>
      </c>
      <c r="M131" s="30" t="s">
        <v>1264</v>
      </c>
      <c r="N131" s="99">
        <v>45663</v>
      </c>
      <c r="O131" s="232">
        <v>45720</v>
      </c>
      <c r="P131" s="30">
        <v>2025</v>
      </c>
      <c r="Q131" s="30" t="s">
        <v>242</v>
      </c>
      <c r="R131" s="31" t="s">
        <v>1265</v>
      </c>
      <c r="S131" s="31" t="s">
        <v>1266</v>
      </c>
      <c r="T131" s="32"/>
      <c r="U131" s="32"/>
      <c r="V131" s="171"/>
      <c r="W131" s="171"/>
      <c r="X131" s="228"/>
    </row>
    <row r="132" spans="1:24" ht="52.5" customHeight="1">
      <c r="A132" s="30" t="s">
        <v>78</v>
      </c>
      <c r="B132" s="30" t="s">
        <v>56</v>
      </c>
      <c r="C132" s="4" t="s">
        <v>122</v>
      </c>
      <c r="D132" s="30" t="s">
        <v>67</v>
      </c>
      <c r="E132" s="30" t="s">
        <v>3</v>
      </c>
      <c r="F132" s="33" t="s">
        <v>1267</v>
      </c>
      <c r="G132" s="30" t="s">
        <v>1184</v>
      </c>
      <c r="H132" s="30" t="s">
        <v>736</v>
      </c>
      <c r="I132" s="30" t="s">
        <v>448</v>
      </c>
      <c r="J132" s="33" t="s">
        <v>1268</v>
      </c>
      <c r="K132" s="30" t="s">
        <v>1269</v>
      </c>
      <c r="L132" s="30" t="s">
        <v>56</v>
      </c>
      <c r="M132" s="33"/>
      <c r="N132" s="30"/>
      <c r="O132" s="171"/>
      <c r="P132" s="30"/>
      <c r="Q132" s="30"/>
      <c r="R132" s="33"/>
      <c r="S132" s="30"/>
      <c r="T132" s="174"/>
      <c r="U132" s="171"/>
      <c r="V132" s="31" t="s">
        <v>1270</v>
      </c>
      <c r="W132" s="174"/>
      <c r="X132" s="174"/>
    </row>
    <row r="133" spans="1:24" ht="52.5" customHeight="1">
      <c r="A133" s="30" t="s">
        <v>118</v>
      </c>
      <c r="B133" s="30" t="s">
        <v>25</v>
      </c>
      <c r="C133" s="30" t="s">
        <v>124</v>
      </c>
      <c r="D133" s="4" t="s">
        <v>76</v>
      </c>
      <c r="E133" s="30" t="s">
        <v>6</v>
      </c>
      <c r="F133" s="30" t="s">
        <v>1271</v>
      </c>
      <c r="G133" s="30" t="s">
        <v>707</v>
      </c>
      <c r="H133" s="30" t="s">
        <v>228</v>
      </c>
      <c r="I133" s="30" t="s">
        <v>448</v>
      </c>
      <c r="J133" s="303" t="s">
        <v>1272</v>
      </c>
      <c r="K133" s="33" t="s">
        <v>742</v>
      </c>
      <c r="L133" s="30" t="s">
        <v>1273</v>
      </c>
      <c r="M133" s="30" t="s">
        <v>1274</v>
      </c>
      <c r="N133" s="30" t="s">
        <v>1275</v>
      </c>
      <c r="O133" s="30" t="s">
        <v>613</v>
      </c>
      <c r="P133" s="30">
        <v>2024</v>
      </c>
      <c r="Q133" s="30" t="s">
        <v>162</v>
      </c>
      <c r="R133" s="31" t="s">
        <v>1276</v>
      </c>
      <c r="S133" s="31" t="s">
        <v>1277</v>
      </c>
      <c r="T133" s="32"/>
      <c r="U133" s="32"/>
      <c r="V133" s="171"/>
      <c r="W133" s="30"/>
      <c r="X133" s="228"/>
    </row>
    <row r="134" spans="1:24" ht="52.5" customHeight="1">
      <c r="A134" s="30" t="s">
        <v>118</v>
      </c>
      <c r="B134" s="30" t="s">
        <v>25</v>
      </c>
      <c r="C134" s="30" t="s">
        <v>124</v>
      </c>
      <c r="D134" s="4" t="s">
        <v>76</v>
      </c>
      <c r="E134" s="30" t="s">
        <v>6</v>
      </c>
      <c r="F134" s="34" t="s">
        <v>1278</v>
      </c>
      <c r="G134" s="30" t="s">
        <v>707</v>
      </c>
      <c r="H134" s="30" t="s">
        <v>228</v>
      </c>
      <c r="I134" s="30" t="s">
        <v>448</v>
      </c>
      <c r="J134" s="30" t="s">
        <v>1279</v>
      </c>
      <c r="K134" s="33" t="s">
        <v>742</v>
      </c>
      <c r="L134" s="30" t="s">
        <v>1280</v>
      </c>
      <c r="M134" s="30" t="s">
        <v>1281</v>
      </c>
      <c r="N134" s="30" t="s">
        <v>1282</v>
      </c>
      <c r="O134" s="30" t="s">
        <v>321</v>
      </c>
      <c r="P134" s="30">
        <v>2025</v>
      </c>
      <c r="Q134" s="30" t="s">
        <v>162</v>
      </c>
      <c r="R134" s="40" t="s">
        <v>1283</v>
      </c>
      <c r="S134" s="40" t="s">
        <v>1284</v>
      </c>
      <c r="T134" s="32"/>
      <c r="U134" s="32"/>
      <c r="V134" s="171"/>
      <c r="W134" s="30"/>
      <c r="X134" s="38"/>
    </row>
    <row r="135" spans="1:24" ht="52.5" customHeight="1">
      <c r="A135" s="25" t="s">
        <v>751</v>
      </c>
      <c r="B135" s="4" t="s">
        <v>25</v>
      </c>
      <c r="C135" s="4" t="s">
        <v>124</v>
      </c>
      <c r="D135" s="25" t="s">
        <v>76</v>
      </c>
      <c r="E135" s="4" t="s">
        <v>6</v>
      </c>
      <c r="F135" s="25" t="s">
        <v>1249</v>
      </c>
      <c r="G135" s="25" t="s">
        <v>714</v>
      </c>
      <c r="H135" s="25" t="s">
        <v>228</v>
      </c>
      <c r="I135" s="304" t="s">
        <v>1251</v>
      </c>
      <c r="J135" s="25" t="s">
        <v>1285</v>
      </c>
      <c r="K135" s="25" t="s">
        <v>742</v>
      </c>
      <c r="L135" s="4" t="s">
        <v>1286</v>
      </c>
      <c r="M135" s="4" t="s">
        <v>1287</v>
      </c>
      <c r="N135" s="4" t="s">
        <v>884</v>
      </c>
      <c r="O135" s="4"/>
      <c r="P135" s="4"/>
      <c r="Q135" s="4" t="s">
        <v>162</v>
      </c>
      <c r="R135" s="112"/>
      <c r="S135" s="112"/>
      <c r="T135" s="305" t="s">
        <v>1288</v>
      </c>
      <c r="U135" s="22"/>
      <c r="V135" s="17"/>
      <c r="W135" s="17"/>
      <c r="X135" s="306"/>
    </row>
    <row r="136" spans="1:24" ht="52.5" customHeight="1">
      <c r="A136" s="307" t="s">
        <v>751</v>
      </c>
      <c r="B136" s="30" t="s">
        <v>25</v>
      </c>
      <c r="C136" s="30" t="s">
        <v>124</v>
      </c>
      <c r="D136" s="307" t="s">
        <v>76</v>
      </c>
      <c r="E136" s="39" t="s">
        <v>6</v>
      </c>
      <c r="F136" s="308" t="s">
        <v>1289</v>
      </c>
      <c r="G136" s="307" t="s">
        <v>714</v>
      </c>
      <c r="H136" s="307" t="s">
        <v>228</v>
      </c>
      <c r="I136" s="308" t="s">
        <v>190</v>
      </c>
      <c r="J136" s="308" t="s">
        <v>1290</v>
      </c>
      <c r="K136" s="307" t="s">
        <v>716</v>
      </c>
      <c r="L136" s="308"/>
      <c r="M136" s="308"/>
      <c r="N136" s="180"/>
      <c r="O136" s="180"/>
      <c r="P136" s="180"/>
      <c r="Q136" s="180"/>
      <c r="R136" s="309"/>
      <c r="S136" s="309"/>
      <c r="T136" s="187" t="s">
        <v>1291</v>
      </c>
      <c r="U136" s="287"/>
      <c r="V136" s="310"/>
      <c r="W136" s="180"/>
      <c r="X136" s="311"/>
    </row>
    <row r="137" spans="1:24" ht="52.5" customHeight="1">
      <c r="A137" s="3" t="s">
        <v>118</v>
      </c>
      <c r="B137" s="3" t="s">
        <v>25</v>
      </c>
      <c r="C137" s="312" t="s">
        <v>124</v>
      </c>
      <c r="D137" s="313" t="s">
        <v>67</v>
      </c>
      <c r="E137" s="39" t="s">
        <v>6</v>
      </c>
      <c r="F137" s="314" t="s">
        <v>1292</v>
      </c>
      <c r="G137" s="315" t="s">
        <v>707</v>
      </c>
      <c r="H137" s="180" t="s">
        <v>228</v>
      </c>
      <c r="I137" s="180" t="s">
        <v>1293</v>
      </c>
      <c r="J137" s="25" t="s">
        <v>1285</v>
      </c>
      <c r="K137" s="315" t="s">
        <v>742</v>
      </c>
      <c r="L137" s="316" t="s">
        <v>1294</v>
      </c>
      <c r="M137" s="317" t="s">
        <v>1295</v>
      </c>
      <c r="N137" s="318" t="s">
        <v>1296</v>
      </c>
      <c r="O137" s="319">
        <v>46023</v>
      </c>
      <c r="P137" s="315">
        <v>2026</v>
      </c>
      <c r="Q137" s="315" t="s">
        <v>223</v>
      </c>
      <c r="R137" s="320" t="s">
        <v>1297</v>
      </c>
      <c r="S137" s="177" t="s">
        <v>1298</v>
      </c>
      <c r="T137" s="321" t="s">
        <v>1288</v>
      </c>
      <c r="U137" s="153" t="s">
        <v>1299</v>
      </c>
      <c r="V137" s="322"/>
      <c r="W137" s="315"/>
      <c r="X137" s="311"/>
    </row>
    <row r="138" spans="1:24" ht="52.5" customHeight="1">
      <c r="A138" s="30" t="s">
        <v>751</v>
      </c>
      <c r="B138" s="30" t="s">
        <v>26</v>
      </c>
      <c r="C138" s="4" t="s">
        <v>1300</v>
      </c>
      <c r="D138" s="30" t="s">
        <v>76</v>
      </c>
      <c r="E138" s="30" t="s">
        <v>6</v>
      </c>
      <c r="F138" s="4" t="s">
        <v>1301</v>
      </c>
      <c r="G138" s="30" t="s">
        <v>714</v>
      </c>
      <c r="H138" s="30" t="s">
        <v>228</v>
      </c>
      <c r="I138" s="323" t="s">
        <v>1021</v>
      </c>
      <c r="J138" s="4" t="s">
        <v>1302</v>
      </c>
      <c r="K138" s="30" t="s">
        <v>742</v>
      </c>
      <c r="L138" s="30" t="s">
        <v>26</v>
      </c>
      <c r="M138" s="4" t="s">
        <v>1303</v>
      </c>
      <c r="N138" s="30" t="s">
        <v>1304</v>
      </c>
      <c r="O138" s="30" t="s">
        <v>613</v>
      </c>
      <c r="P138" s="30">
        <v>2025</v>
      </c>
      <c r="Q138" s="30" t="s">
        <v>162</v>
      </c>
      <c r="R138" s="324" t="s">
        <v>1305</v>
      </c>
      <c r="S138" s="325" t="s">
        <v>1306</v>
      </c>
      <c r="T138" s="31" t="s">
        <v>1307</v>
      </c>
      <c r="U138" s="31" t="s">
        <v>1308</v>
      </c>
      <c r="V138" s="30" t="s">
        <v>359</v>
      </c>
      <c r="W138" s="30"/>
      <c r="X138" s="38"/>
    </row>
    <row r="139" spans="1:24" ht="52.5" customHeight="1">
      <c r="A139" s="30" t="s">
        <v>751</v>
      </c>
      <c r="B139" s="30" t="s">
        <v>26</v>
      </c>
      <c r="C139" s="4" t="s">
        <v>1300</v>
      </c>
      <c r="D139" s="30" t="s">
        <v>76</v>
      </c>
      <c r="E139" s="30" t="s">
        <v>6</v>
      </c>
      <c r="F139" s="4" t="s">
        <v>1249</v>
      </c>
      <c r="G139" s="30" t="s">
        <v>714</v>
      </c>
      <c r="H139" s="30" t="s">
        <v>228</v>
      </c>
      <c r="I139" s="30" t="s">
        <v>1309</v>
      </c>
      <c r="J139" s="4" t="s">
        <v>1285</v>
      </c>
      <c r="K139" s="30" t="s">
        <v>742</v>
      </c>
      <c r="L139" s="30" t="s">
        <v>1310</v>
      </c>
      <c r="M139" s="4" t="s">
        <v>1287</v>
      </c>
      <c r="N139" s="326" t="s">
        <v>1296</v>
      </c>
      <c r="O139" s="327">
        <v>46048</v>
      </c>
      <c r="P139" s="30">
        <v>2026</v>
      </c>
      <c r="Q139" s="30" t="s">
        <v>162</v>
      </c>
      <c r="R139" s="328" t="s">
        <v>1297</v>
      </c>
      <c r="S139" s="324" t="s">
        <v>1311</v>
      </c>
      <c r="T139" s="31" t="s">
        <v>1312</v>
      </c>
      <c r="U139" s="31" t="s">
        <v>1311</v>
      </c>
      <c r="V139" s="30" t="s">
        <v>359</v>
      </c>
      <c r="W139" s="30"/>
      <c r="X139" s="38"/>
    </row>
    <row r="140" spans="1:24" ht="52.5" customHeight="1">
      <c r="A140" s="30" t="s">
        <v>751</v>
      </c>
      <c r="B140" s="30" t="s">
        <v>26</v>
      </c>
      <c r="C140" s="4" t="s">
        <v>1300</v>
      </c>
      <c r="D140" s="30" t="s">
        <v>76</v>
      </c>
      <c r="E140" s="30" t="s">
        <v>6</v>
      </c>
      <c r="F140" s="4" t="s">
        <v>1289</v>
      </c>
      <c r="G140" s="30" t="s">
        <v>714</v>
      </c>
      <c r="H140" s="30" t="s">
        <v>228</v>
      </c>
      <c r="I140" s="4" t="s">
        <v>190</v>
      </c>
      <c r="J140" s="4" t="s">
        <v>1290</v>
      </c>
      <c r="K140" s="30" t="s">
        <v>716</v>
      </c>
      <c r="L140" s="30" t="s">
        <v>26</v>
      </c>
      <c r="M140" s="35"/>
      <c r="N140" s="171"/>
      <c r="O140" s="30" t="s">
        <v>1313</v>
      </c>
      <c r="P140" s="30">
        <v>2025</v>
      </c>
      <c r="Q140" s="30"/>
      <c r="R140" s="323"/>
      <c r="S140" s="323"/>
      <c r="T140" s="174"/>
      <c r="U140" s="174"/>
      <c r="V140" s="31" t="s">
        <v>1314</v>
      </c>
      <c r="W140" s="30"/>
      <c r="X140" s="38"/>
    </row>
    <row r="141" spans="1:24" ht="50">
      <c r="A141" s="3" t="s">
        <v>95</v>
      </c>
      <c r="B141" s="3" t="s">
        <v>39</v>
      </c>
      <c r="C141" s="3" t="s">
        <v>91</v>
      </c>
      <c r="D141" s="3" t="s">
        <v>261</v>
      </c>
      <c r="E141" s="3" t="s">
        <v>1</v>
      </c>
      <c r="F141" s="3" t="s">
        <v>1315</v>
      </c>
      <c r="G141" s="30" t="s">
        <v>714</v>
      </c>
      <c r="H141" s="30" t="s">
        <v>228</v>
      </c>
      <c r="I141" s="4" t="s">
        <v>190</v>
      </c>
      <c r="J141" s="3" t="s">
        <v>1316</v>
      </c>
      <c r="K141" s="3" t="s">
        <v>730</v>
      </c>
      <c r="L141" s="3" t="s">
        <v>1317</v>
      </c>
      <c r="M141" s="3" t="s">
        <v>359</v>
      </c>
      <c r="N141" s="3" t="s">
        <v>359</v>
      </c>
      <c r="O141" s="3" t="s">
        <v>359</v>
      </c>
      <c r="P141" s="3" t="s">
        <v>359</v>
      </c>
      <c r="Q141" s="3" t="s">
        <v>359</v>
      </c>
      <c r="R141" s="3" t="s">
        <v>359</v>
      </c>
      <c r="S141" s="141" t="s">
        <v>359</v>
      </c>
      <c r="T141" s="329" t="s">
        <v>1318</v>
      </c>
      <c r="U141" s="290"/>
      <c r="V141" s="329" t="s">
        <v>1318</v>
      </c>
      <c r="W141" s="3"/>
      <c r="X141" s="330"/>
    </row>
    <row r="142" spans="1:24" ht="15.5">
      <c r="A142" s="3" t="s">
        <v>1146</v>
      </c>
      <c r="B142" s="3" t="s">
        <v>24</v>
      </c>
      <c r="C142" s="331" t="s">
        <v>112</v>
      </c>
      <c r="D142" s="3" t="s">
        <v>67</v>
      </c>
      <c r="E142" s="3" t="s">
        <v>6</v>
      </c>
      <c r="F142" s="331" t="s">
        <v>1319</v>
      </c>
      <c r="G142" s="3" t="s">
        <v>707</v>
      </c>
      <c r="H142" s="33" t="s">
        <v>228</v>
      </c>
      <c r="I142" s="33" t="s">
        <v>190</v>
      </c>
      <c r="J142" s="3" t="s">
        <v>1320</v>
      </c>
      <c r="K142" s="3" t="s">
        <v>742</v>
      </c>
      <c r="L142" s="3" t="s">
        <v>24</v>
      </c>
      <c r="M142" s="331" t="s">
        <v>1321</v>
      </c>
      <c r="N142" s="3" t="s">
        <v>1322</v>
      </c>
      <c r="O142" s="3" t="s">
        <v>613</v>
      </c>
      <c r="P142" s="3">
        <v>2025</v>
      </c>
      <c r="Q142" s="3" t="s">
        <v>162</v>
      </c>
      <c r="R142" s="332" t="s">
        <v>1323</v>
      </c>
      <c r="S142" s="333" t="s">
        <v>1324</v>
      </c>
      <c r="T142" s="1"/>
      <c r="U142" s="333" t="s">
        <v>1324</v>
      </c>
      <c r="V142" s="1"/>
      <c r="W142" s="3"/>
      <c r="X142" s="330"/>
    </row>
    <row r="143" spans="1:24" ht="15.75" customHeight="1">
      <c r="A143" s="3" t="s">
        <v>68</v>
      </c>
      <c r="B143" s="3" t="s">
        <v>31</v>
      </c>
      <c r="C143" s="312" t="s">
        <v>69</v>
      </c>
      <c r="D143" s="313" t="s">
        <v>70</v>
      </c>
      <c r="E143" s="164" t="s">
        <v>7</v>
      </c>
      <c r="F143" s="334" t="s">
        <v>1325</v>
      </c>
      <c r="G143" s="313" t="s">
        <v>707</v>
      </c>
      <c r="H143" s="30" t="s">
        <v>228</v>
      </c>
      <c r="I143" s="30" t="s">
        <v>448</v>
      </c>
      <c r="J143" s="335" t="s">
        <v>1326</v>
      </c>
      <c r="K143" s="313" t="s">
        <v>730</v>
      </c>
      <c r="L143" s="336" t="s">
        <v>618</v>
      </c>
      <c r="M143" s="334" t="s">
        <v>359</v>
      </c>
      <c r="N143" s="313" t="s">
        <v>359</v>
      </c>
      <c r="O143" s="313" t="s">
        <v>562</v>
      </c>
      <c r="P143" s="313" t="s">
        <v>359</v>
      </c>
      <c r="Q143" s="313" t="s">
        <v>359</v>
      </c>
      <c r="R143" s="337" t="s">
        <v>359</v>
      </c>
      <c r="S143" s="313" t="s">
        <v>359</v>
      </c>
      <c r="T143" s="338"/>
      <c r="U143" s="339"/>
      <c r="V143" s="340" t="s">
        <v>1327</v>
      </c>
      <c r="W143" s="313"/>
      <c r="X143" s="330"/>
    </row>
    <row r="144" spans="1:24" ht="15.75" customHeight="1">
      <c r="A144" s="3" t="s">
        <v>71</v>
      </c>
      <c r="B144" s="3" t="s">
        <v>30</v>
      </c>
      <c r="C144" s="312" t="s">
        <v>153</v>
      </c>
      <c r="D144" s="313" t="s">
        <v>70</v>
      </c>
      <c r="E144" s="164" t="s">
        <v>5</v>
      </c>
      <c r="F144" s="334" t="s">
        <v>1328</v>
      </c>
      <c r="G144" s="313" t="s">
        <v>707</v>
      </c>
      <c r="H144" s="30" t="s">
        <v>228</v>
      </c>
      <c r="I144" s="30" t="s">
        <v>190</v>
      </c>
      <c r="J144" s="335" t="s">
        <v>1329</v>
      </c>
      <c r="K144" s="313" t="s">
        <v>1330</v>
      </c>
      <c r="L144" s="336" t="s">
        <v>359</v>
      </c>
      <c r="M144" s="334" t="s">
        <v>359</v>
      </c>
      <c r="N144" s="313" t="s">
        <v>359</v>
      </c>
      <c r="O144" s="313" t="s">
        <v>359</v>
      </c>
      <c r="P144" s="313" t="s">
        <v>359</v>
      </c>
      <c r="Q144" s="313" t="s">
        <v>359</v>
      </c>
      <c r="R144" s="337" t="s">
        <v>359</v>
      </c>
      <c r="S144" s="313" t="s">
        <v>359</v>
      </c>
      <c r="T144" s="335" t="s">
        <v>359</v>
      </c>
      <c r="U144" s="335" t="s">
        <v>359</v>
      </c>
      <c r="V144" s="340" t="s">
        <v>1331</v>
      </c>
      <c r="W144" s="330"/>
      <c r="X144" s="330"/>
    </row>
    <row r="145" spans="1:24" ht="15.75" customHeight="1">
      <c r="A145" s="3" t="s">
        <v>1146</v>
      </c>
      <c r="B145" s="30" t="s">
        <v>16</v>
      </c>
      <c r="C145" s="30" t="s">
        <v>127</v>
      </c>
      <c r="D145" s="30" t="s">
        <v>67</v>
      </c>
      <c r="E145" s="30" t="s">
        <v>0</v>
      </c>
      <c r="F145" s="341" t="s">
        <v>1332</v>
      </c>
      <c r="G145" s="313" t="s">
        <v>895</v>
      </c>
      <c r="H145" s="30" t="s">
        <v>1333</v>
      </c>
      <c r="I145" s="38"/>
      <c r="J145" s="39" t="s">
        <v>1334</v>
      </c>
      <c r="K145" s="313" t="s">
        <v>742</v>
      </c>
      <c r="L145" s="341" t="s">
        <v>1335</v>
      </c>
      <c r="M145" s="342"/>
      <c r="N145" s="330"/>
      <c r="O145" s="330"/>
      <c r="P145" s="330"/>
      <c r="Q145" s="330"/>
      <c r="R145" s="343"/>
      <c r="S145" s="330"/>
      <c r="T145" s="339"/>
      <c r="U145" s="339"/>
      <c r="V145" s="344"/>
      <c r="W145" s="330"/>
      <c r="X145" s="330"/>
    </row>
    <row r="146" spans="1:24" ht="15.75" customHeight="1">
      <c r="A146" s="3" t="s">
        <v>78</v>
      </c>
      <c r="B146" s="3" t="s">
        <v>35</v>
      </c>
      <c r="C146" s="3" t="s">
        <v>83</v>
      </c>
      <c r="D146" s="3" t="s">
        <v>70</v>
      </c>
      <c r="E146" s="3" t="s">
        <v>4</v>
      </c>
      <c r="F146" s="3" t="s">
        <v>1336</v>
      </c>
      <c r="G146" s="3" t="s">
        <v>707</v>
      </c>
      <c r="H146" s="3" t="s">
        <v>169</v>
      </c>
      <c r="I146" s="3" t="s">
        <v>448</v>
      </c>
      <c r="J146" s="3" t="s">
        <v>1337</v>
      </c>
      <c r="K146" s="3" t="s">
        <v>730</v>
      </c>
      <c r="L146" s="3" t="s">
        <v>359</v>
      </c>
      <c r="M146" s="3" t="s">
        <v>359</v>
      </c>
      <c r="N146" s="3" t="s">
        <v>359</v>
      </c>
      <c r="O146" s="3" t="s">
        <v>359</v>
      </c>
      <c r="P146" s="3" t="s">
        <v>359</v>
      </c>
      <c r="Q146" s="3" t="s">
        <v>359</v>
      </c>
      <c r="R146" s="3" t="s">
        <v>359</v>
      </c>
      <c r="S146" s="3" t="s">
        <v>359</v>
      </c>
      <c r="T146" s="3" t="s">
        <v>359</v>
      </c>
      <c r="U146" s="3" t="s">
        <v>359</v>
      </c>
      <c r="V146" s="340" t="s">
        <v>1338</v>
      </c>
      <c r="W146" s="313"/>
      <c r="X146" s="330"/>
    </row>
    <row r="147" spans="1:24" ht="15.75" customHeight="1">
      <c r="A147" s="3" t="s">
        <v>78</v>
      </c>
      <c r="B147" s="3" t="s">
        <v>35</v>
      </c>
      <c r="C147" s="3" t="s">
        <v>83</v>
      </c>
      <c r="D147" s="3" t="s">
        <v>70</v>
      </c>
      <c r="E147" s="3" t="s">
        <v>4</v>
      </c>
      <c r="F147" s="3" t="s">
        <v>1339</v>
      </c>
      <c r="G147" s="3" t="s">
        <v>707</v>
      </c>
      <c r="H147" s="1"/>
      <c r="I147" s="3" t="s">
        <v>190</v>
      </c>
      <c r="J147" s="3" t="s">
        <v>1340</v>
      </c>
      <c r="K147" s="3" t="s">
        <v>730</v>
      </c>
      <c r="L147" s="3" t="s">
        <v>359</v>
      </c>
      <c r="M147" s="3" t="s">
        <v>359</v>
      </c>
      <c r="N147" s="3" t="s">
        <v>359</v>
      </c>
      <c r="O147" s="3" t="s">
        <v>359</v>
      </c>
      <c r="P147" s="3" t="s">
        <v>359</v>
      </c>
      <c r="Q147" s="3" t="s">
        <v>359</v>
      </c>
      <c r="R147" s="3" t="s">
        <v>359</v>
      </c>
      <c r="S147" s="3" t="s">
        <v>359</v>
      </c>
      <c r="T147" s="3" t="s">
        <v>359</v>
      </c>
      <c r="U147" s="3" t="s">
        <v>359</v>
      </c>
      <c r="V147" s="340" t="s">
        <v>1341</v>
      </c>
      <c r="W147" s="313"/>
      <c r="X147" s="330"/>
    </row>
    <row r="148" spans="1:24" ht="15.75" customHeight="1">
      <c r="A148" s="3" t="s">
        <v>68</v>
      </c>
      <c r="B148" s="3" t="s">
        <v>35</v>
      </c>
      <c r="C148" s="313" t="s">
        <v>83</v>
      </c>
      <c r="D148" s="313" t="s">
        <v>70</v>
      </c>
      <c r="E148" s="313" t="s">
        <v>4</v>
      </c>
      <c r="F148" s="3" t="s">
        <v>1339</v>
      </c>
      <c r="G148" s="313" t="s">
        <v>707</v>
      </c>
      <c r="H148" s="345"/>
      <c r="I148" s="335" t="s">
        <v>190</v>
      </c>
      <c r="J148" s="3" t="s">
        <v>1340</v>
      </c>
      <c r="K148" s="313" t="s">
        <v>1342</v>
      </c>
      <c r="L148" s="3" t="s">
        <v>359</v>
      </c>
      <c r="M148" s="3" t="s">
        <v>359</v>
      </c>
      <c r="N148" s="3" t="s">
        <v>359</v>
      </c>
      <c r="O148" s="3" t="s">
        <v>359</v>
      </c>
      <c r="P148" s="3" t="s">
        <v>359</v>
      </c>
      <c r="Q148" s="3" t="s">
        <v>359</v>
      </c>
      <c r="R148" s="3" t="s">
        <v>359</v>
      </c>
      <c r="S148" s="3" t="s">
        <v>359</v>
      </c>
      <c r="T148" s="3" t="s">
        <v>359</v>
      </c>
      <c r="U148" s="3" t="s">
        <v>359</v>
      </c>
      <c r="V148" s="340" t="s">
        <v>1343</v>
      </c>
      <c r="W148" s="313"/>
      <c r="X148" s="330"/>
    </row>
    <row r="149" spans="1:24" ht="15.75" customHeight="1">
      <c r="A149" s="3" t="s">
        <v>68</v>
      </c>
      <c r="B149" s="3" t="s">
        <v>35</v>
      </c>
      <c r="C149" s="313" t="s">
        <v>83</v>
      </c>
      <c r="D149" s="313" t="s">
        <v>70</v>
      </c>
      <c r="E149" s="313" t="s">
        <v>4</v>
      </c>
      <c r="F149" s="335" t="s">
        <v>1344</v>
      </c>
      <c r="G149" s="313" t="s">
        <v>707</v>
      </c>
      <c r="H149" s="313" t="s">
        <v>169</v>
      </c>
      <c r="I149" s="335" t="s">
        <v>448</v>
      </c>
      <c r="J149" s="335" t="s">
        <v>1345</v>
      </c>
      <c r="K149" s="313" t="s">
        <v>730</v>
      </c>
      <c r="L149" s="3" t="s">
        <v>359</v>
      </c>
      <c r="M149" s="3" t="s">
        <v>359</v>
      </c>
      <c r="N149" s="3" t="s">
        <v>359</v>
      </c>
      <c r="O149" s="3" t="s">
        <v>359</v>
      </c>
      <c r="P149" s="3" t="s">
        <v>359</v>
      </c>
      <c r="Q149" s="3" t="s">
        <v>359</v>
      </c>
      <c r="R149" s="3" t="s">
        <v>359</v>
      </c>
      <c r="S149" s="3" t="s">
        <v>359</v>
      </c>
      <c r="T149" s="3" t="s">
        <v>359</v>
      </c>
      <c r="U149" s="3" t="s">
        <v>359</v>
      </c>
      <c r="V149" s="340" t="s">
        <v>1346</v>
      </c>
      <c r="W149" s="313"/>
      <c r="X149" s="330"/>
    </row>
    <row r="150" spans="1:24" ht="15.75" customHeight="1">
      <c r="A150" s="346" t="s">
        <v>68</v>
      </c>
      <c r="B150" s="346" t="s">
        <v>1347</v>
      </c>
      <c r="C150" s="347" t="s">
        <v>1348</v>
      </c>
      <c r="D150" s="347" t="s">
        <v>80</v>
      </c>
      <c r="E150" s="347" t="s">
        <v>3</v>
      </c>
      <c r="F150" s="336" t="s">
        <v>1349</v>
      </c>
      <c r="G150" s="347" t="s">
        <v>707</v>
      </c>
      <c r="H150" s="347" t="s">
        <v>169</v>
      </c>
      <c r="I150" s="336" t="s">
        <v>1350</v>
      </c>
      <c r="J150" s="336" t="s">
        <v>1351</v>
      </c>
      <c r="K150" s="336" t="s">
        <v>1352</v>
      </c>
      <c r="L150" s="336" t="s">
        <v>1353</v>
      </c>
      <c r="M150" s="336" t="s">
        <v>1354</v>
      </c>
      <c r="N150" s="347" t="s">
        <v>359</v>
      </c>
      <c r="O150" s="348">
        <v>45962</v>
      </c>
      <c r="P150" s="347">
        <v>2025</v>
      </c>
      <c r="Q150" s="347" t="s">
        <v>223</v>
      </c>
      <c r="R150" s="349" t="s">
        <v>1355</v>
      </c>
      <c r="S150" s="350" t="s">
        <v>1356</v>
      </c>
      <c r="T150" s="351" t="s">
        <v>1357</v>
      </c>
      <c r="U150" s="351" t="s">
        <v>1358</v>
      </c>
      <c r="V150" s="351" t="s">
        <v>1357</v>
      </c>
      <c r="W150" s="347"/>
      <c r="X150" s="347"/>
    </row>
    <row r="151" spans="1:24" ht="15.75" customHeight="1">
      <c r="A151" s="30" t="s">
        <v>68</v>
      </c>
      <c r="B151" s="30" t="s">
        <v>128</v>
      </c>
      <c r="C151" s="30" t="s">
        <v>129</v>
      </c>
      <c r="D151" s="30" t="s">
        <v>70</v>
      </c>
      <c r="E151" s="33" t="s">
        <v>7</v>
      </c>
      <c r="F151" s="4" t="s">
        <v>1359</v>
      </c>
      <c r="G151" s="347" t="s">
        <v>707</v>
      </c>
      <c r="H151" s="347" t="s">
        <v>169</v>
      </c>
      <c r="I151" s="347" t="s">
        <v>448</v>
      </c>
      <c r="J151" s="336" t="s">
        <v>1360</v>
      </c>
      <c r="K151" s="30" t="s">
        <v>716</v>
      </c>
      <c r="L151" s="196" t="s">
        <v>359</v>
      </c>
      <c r="M151" s="196" t="s">
        <v>359</v>
      </c>
      <c r="N151" s="196" t="s">
        <v>359</v>
      </c>
      <c r="O151" s="196" t="s">
        <v>359</v>
      </c>
      <c r="P151" s="196" t="s">
        <v>359</v>
      </c>
      <c r="Q151" s="196" t="s">
        <v>359</v>
      </c>
      <c r="R151" s="196" t="s">
        <v>359</v>
      </c>
      <c r="S151" s="196" t="s">
        <v>359</v>
      </c>
      <c r="T151" s="196" t="s">
        <v>359</v>
      </c>
      <c r="U151" s="196" t="s">
        <v>359</v>
      </c>
      <c r="V151" s="352" t="s">
        <v>1361</v>
      </c>
      <c r="W151" s="347"/>
      <c r="X151" s="353"/>
    </row>
    <row r="152" spans="1:24" ht="15.75" customHeight="1">
      <c r="A152" s="30" t="s">
        <v>68</v>
      </c>
      <c r="B152" s="30" t="s">
        <v>128</v>
      </c>
      <c r="C152" s="30" t="s">
        <v>129</v>
      </c>
      <c r="D152" s="30" t="s">
        <v>70</v>
      </c>
      <c r="E152" s="33" t="s">
        <v>7</v>
      </c>
      <c r="F152" s="4" t="s">
        <v>1362</v>
      </c>
      <c r="G152" s="347" t="s">
        <v>707</v>
      </c>
      <c r="H152" s="347" t="s">
        <v>169</v>
      </c>
      <c r="I152" s="347" t="s">
        <v>448</v>
      </c>
      <c r="J152" s="336" t="s">
        <v>1363</v>
      </c>
      <c r="K152" s="30" t="s">
        <v>716</v>
      </c>
      <c r="L152" s="196" t="s">
        <v>359</v>
      </c>
      <c r="M152" s="196" t="s">
        <v>359</v>
      </c>
      <c r="N152" s="196" t="s">
        <v>359</v>
      </c>
      <c r="O152" s="196" t="s">
        <v>359</v>
      </c>
      <c r="P152" s="196" t="s">
        <v>359</v>
      </c>
      <c r="Q152" s="196" t="s">
        <v>359</v>
      </c>
      <c r="R152" s="196" t="s">
        <v>359</v>
      </c>
      <c r="S152" s="196" t="s">
        <v>359</v>
      </c>
      <c r="T152" s="196" t="s">
        <v>359</v>
      </c>
      <c r="U152" s="196" t="s">
        <v>359</v>
      </c>
      <c r="V152" s="352" t="s">
        <v>1364</v>
      </c>
      <c r="W152" s="347"/>
      <c r="X152" s="353"/>
    </row>
    <row r="153" spans="1:24" ht="15.75" customHeight="1">
      <c r="A153" s="30" t="s">
        <v>68</v>
      </c>
      <c r="B153" s="30" t="s">
        <v>128</v>
      </c>
      <c r="C153" s="30" t="s">
        <v>129</v>
      </c>
      <c r="D153" s="30" t="s">
        <v>70</v>
      </c>
      <c r="E153" s="33" t="s">
        <v>7</v>
      </c>
      <c r="F153" s="4" t="s">
        <v>1362</v>
      </c>
      <c r="G153" s="347" t="s">
        <v>707</v>
      </c>
      <c r="H153" s="347" t="s">
        <v>169</v>
      </c>
      <c r="I153" s="347" t="s">
        <v>448</v>
      </c>
      <c r="J153" s="336" t="s">
        <v>1363</v>
      </c>
      <c r="K153" s="347" t="s">
        <v>730</v>
      </c>
      <c r="L153" s="196" t="s">
        <v>359</v>
      </c>
      <c r="M153" s="196" t="s">
        <v>359</v>
      </c>
      <c r="N153" s="196" t="s">
        <v>359</v>
      </c>
      <c r="O153" s="196" t="s">
        <v>359</v>
      </c>
      <c r="P153" s="196" t="s">
        <v>359</v>
      </c>
      <c r="Q153" s="196" t="s">
        <v>359</v>
      </c>
      <c r="R153" s="196" t="s">
        <v>359</v>
      </c>
      <c r="S153" s="196" t="s">
        <v>359</v>
      </c>
      <c r="T153" s="196" t="s">
        <v>359</v>
      </c>
      <c r="U153" s="196" t="s">
        <v>359</v>
      </c>
      <c r="V153" s="352" t="s">
        <v>1365</v>
      </c>
      <c r="W153" s="347"/>
      <c r="X153" s="353"/>
    </row>
    <row r="154" spans="1:24" ht="15.75" customHeight="1">
      <c r="A154" s="346" t="s">
        <v>68</v>
      </c>
      <c r="B154" s="346" t="s">
        <v>51</v>
      </c>
      <c r="C154" s="30" t="s">
        <v>114</v>
      </c>
      <c r="D154" s="30" t="s">
        <v>70</v>
      </c>
      <c r="E154" s="33" t="s">
        <v>7</v>
      </c>
      <c r="F154" s="4" t="s">
        <v>1362</v>
      </c>
      <c r="G154" s="347" t="s">
        <v>707</v>
      </c>
      <c r="H154" s="347" t="s">
        <v>169</v>
      </c>
      <c r="I154" s="347" t="s">
        <v>448</v>
      </c>
      <c r="J154" s="336" t="s">
        <v>1363</v>
      </c>
      <c r="K154" s="30" t="s">
        <v>716</v>
      </c>
      <c r="L154" s="196" t="s">
        <v>359</v>
      </c>
      <c r="M154" s="196" t="s">
        <v>359</v>
      </c>
      <c r="N154" s="196" t="s">
        <v>359</v>
      </c>
      <c r="O154" s="196" t="s">
        <v>359</v>
      </c>
      <c r="P154" s="196" t="s">
        <v>359</v>
      </c>
      <c r="Q154" s="196" t="s">
        <v>359</v>
      </c>
      <c r="R154" s="196" t="s">
        <v>359</v>
      </c>
      <c r="S154" s="196" t="s">
        <v>359</v>
      </c>
      <c r="T154" s="196" t="s">
        <v>359</v>
      </c>
      <c r="U154" s="196" t="s">
        <v>359</v>
      </c>
      <c r="V154" s="354" t="s">
        <v>1366</v>
      </c>
      <c r="W154" s="347"/>
      <c r="X154" s="353"/>
    </row>
    <row r="155" spans="1:24" ht="41.25" customHeight="1">
      <c r="A155" s="30" t="s">
        <v>68</v>
      </c>
      <c r="B155" s="30" t="s">
        <v>45</v>
      </c>
      <c r="C155" s="30" t="s">
        <v>97</v>
      </c>
      <c r="D155" s="30" t="s">
        <v>67</v>
      </c>
      <c r="E155" s="30" t="s">
        <v>5</v>
      </c>
      <c r="F155" s="4" t="s">
        <v>1367</v>
      </c>
      <c r="G155" s="4" t="s">
        <v>707</v>
      </c>
      <c r="H155" s="4" t="s">
        <v>169</v>
      </c>
      <c r="I155" s="4" t="s">
        <v>190</v>
      </c>
      <c r="J155" s="4" t="s">
        <v>1368</v>
      </c>
      <c r="K155" s="4" t="s">
        <v>730</v>
      </c>
      <c r="L155" s="4" t="s">
        <v>45</v>
      </c>
      <c r="M155" s="355"/>
      <c r="N155" s="355"/>
      <c r="O155" s="355"/>
      <c r="P155" s="355"/>
      <c r="Q155" s="355"/>
      <c r="R155" s="355"/>
      <c r="S155" s="355"/>
      <c r="T155" s="355"/>
      <c r="U155" s="355"/>
      <c r="V155" s="31" t="s">
        <v>98</v>
      </c>
      <c r="W155" s="356"/>
      <c r="X155" s="357"/>
    </row>
    <row r="156" spans="1:24" ht="30" customHeight="1">
      <c r="A156" s="30" t="s">
        <v>68</v>
      </c>
      <c r="B156" s="30" t="s">
        <v>45</v>
      </c>
      <c r="C156" s="30" t="s">
        <v>97</v>
      </c>
      <c r="D156" s="30" t="s">
        <v>67</v>
      </c>
      <c r="E156" s="30" t="s">
        <v>5</v>
      </c>
      <c r="F156" s="4" t="s">
        <v>1369</v>
      </c>
      <c r="G156" s="4" t="s">
        <v>707</v>
      </c>
      <c r="H156" s="4" t="s">
        <v>169</v>
      </c>
      <c r="I156" s="4" t="s">
        <v>190</v>
      </c>
      <c r="J156" s="4" t="s">
        <v>1103</v>
      </c>
      <c r="K156" s="4" t="s">
        <v>716</v>
      </c>
      <c r="L156" s="4" t="s">
        <v>45</v>
      </c>
      <c r="M156" s="355"/>
      <c r="N156" s="355"/>
      <c r="O156" s="355"/>
      <c r="P156" s="355"/>
      <c r="Q156" s="355"/>
      <c r="R156" s="355"/>
      <c r="S156" s="355"/>
      <c r="T156" s="355"/>
      <c r="U156" s="355"/>
      <c r="V156" s="31" t="s">
        <v>98</v>
      </c>
      <c r="W156" s="356"/>
      <c r="X156" s="357"/>
    </row>
    <row r="157" spans="1:24" ht="33.75" customHeight="1">
      <c r="A157" s="30" t="s">
        <v>68</v>
      </c>
      <c r="B157" s="30" t="s">
        <v>45</v>
      </c>
      <c r="C157" s="30" t="s">
        <v>97</v>
      </c>
      <c r="D157" s="30" t="s">
        <v>67</v>
      </c>
      <c r="E157" s="30" t="s">
        <v>5</v>
      </c>
      <c r="F157" s="4" t="s">
        <v>1370</v>
      </c>
      <c r="G157" s="4" t="s">
        <v>707</v>
      </c>
      <c r="H157" s="4" t="s">
        <v>169</v>
      </c>
      <c r="I157" s="4" t="s">
        <v>190</v>
      </c>
      <c r="J157" s="4" t="s">
        <v>1103</v>
      </c>
      <c r="K157" s="4" t="s">
        <v>716</v>
      </c>
      <c r="L157" s="4" t="s">
        <v>45</v>
      </c>
      <c r="M157" s="355"/>
      <c r="N157" s="355"/>
      <c r="O157" s="355"/>
      <c r="P157" s="355"/>
      <c r="Q157" s="355"/>
      <c r="R157" s="355"/>
      <c r="S157" s="355"/>
      <c r="T157" s="355"/>
      <c r="U157" s="355"/>
      <c r="V157" s="40" t="s">
        <v>98</v>
      </c>
      <c r="W157" s="356"/>
      <c r="X157" s="357"/>
    </row>
    <row r="158" spans="1:24" ht="31.5" customHeight="1">
      <c r="A158" s="30" t="s">
        <v>68</v>
      </c>
      <c r="B158" s="30" t="s">
        <v>45</v>
      </c>
      <c r="C158" s="30" t="s">
        <v>97</v>
      </c>
      <c r="D158" s="30" t="s">
        <v>67</v>
      </c>
      <c r="E158" s="30" t="s">
        <v>5</v>
      </c>
      <c r="F158" s="358" t="s">
        <v>1371</v>
      </c>
      <c r="G158" s="4" t="s">
        <v>707</v>
      </c>
      <c r="H158" s="4" t="s">
        <v>169</v>
      </c>
      <c r="I158" s="4" t="s">
        <v>190</v>
      </c>
      <c r="J158" s="4" t="s">
        <v>1103</v>
      </c>
      <c r="K158" s="4" t="s">
        <v>716</v>
      </c>
      <c r="L158" s="4" t="s">
        <v>45</v>
      </c>
      <c r="M158" s="355"/>
      <c r="N158" s="355"/>
      <c r="O158" s="355"/>
      <c r="P158" s="355"/>
      <c r="Q158" s="355"/>
      <c r="R158" s="355"/>
      <c r="S158" s="355"/>
      <c r="T158" s="355"/>
      <c r="U158" s="355"/>
      <c r="V158" s="31" t="s">
        <v>98</v>
      </c>
      <c r="W158" s="356"/>
      <c r="X158" s="357"/>
    </row>
    <row r="159" spans="1:24" ht="33.75" customHeight="1">
      <c r="A159" s="30" t="s">
        <v>68</v>
      </c>
      <c r="B159" s="30" t="s">
        <v>45</v>
      </c>
      <c r="C159" s="30" t="s">
        <v>97</v>
      </c>
      <c r="D159" s="30" t="s">
        <v>67</v>
      </c>
      <c r="E159" s="30" t="s">
        <v>5</v>
      </c>
      <c r="F159" s="4" t="s">
        <v>1372</v>
      </c>
      <c r="G159" s="4" t="s">
        <v>707</v>
      </c>
      <c r="H159" s="4" t="s">
        <v>169</v>
      </c>
      <c r="I159" s="4" t="s">
        <v>448</v>
      </c>
      <c r="J159" s="4" t="s">
        <v>1373</v>
      </c>
      <c r="K159" s="4" t="s">
        <v>716</v>
      </c>
      <c r="L159" s="4" t="s">
        <v>45</v>
      </c>
      <c r="M159" s="355"/>
      <c r="N159" s="355"/>
      <c r="O159" s="355"/>
      <c r="P159" s="355"/>
      <c r="Q159" s="355"/>
      <c r="R159" s="355"/>
      <c r="S159" s="355"/>
      <c r="T159" s="355"/>
      <c r="U159" s="355"/>
      <c r="V159" s="40" t="s">
        <v>98</v>
      </c>
      <c r="W159" s="356"/>
      <c r="X159" s="357"/>
    </row>
    <row r="160" spans="1:24" ht="31.5" customHeight="1">
      <c r="A160" s="30" t="s">
        <v>68</v>
      </c>
      <c r="B160" s="30" t="s">
        <v>45</v>
      </c>
      <c r="C160" s="30" t="s">
        <v>97</v>
      </c>
      <c r="D160" s="30" t="s">
        <v>67</v>
      </c>
      <c r="E160" s="30" t="s">
        <v>5</v>
      </c>
      <c r="F160" s="4" t="s">
        <v>1374</v>
      </c>
      <c r="G160" s="4" t="s">
        <v>707</v>
      </c>
      <c r="H160" s="4" t="s">
        <v>169</v>
      </c>
      <c r="I160" s="4" t="s">
        <v>190</v>
      </c>
      <c r="J160" s="4" t="s">
        <v>1375</v>
      </c>
      <c r="K160" s="4" t="s">
        <v>730</v>
      </c>
      <c r="L160" s="4" t="s">
        <v>45</v>
      </c>
      <c r="M160" s="355"/>
      <c r="N160" s="355"/>
      <c r="O160" s="355"/>
      <c r="P160" s="355"/>
      <c r="Q160" s="355"/>
      <c r="R160" s="355"/>
      <c r="S160" s="355"/>
      <c r="T160" s="355"/>
      <c r="U160" s="355"/>
      <c r="V160" s="31" t="s">
        <v>98</v>
      </c>
      <c r="W160" s="356"/>
      <c r="X160" s="357"/>
    </row>
    <row r="161" spans="1:24" ht="31.5" customHeight="1">
      <c r="A161" s="30" t="s">
        <v>68</v>
      </c>
      <c r="B161" s="30" t="s">
        <v>45</v>
      </c>
      <c r="C161" s="30" t="s">
        <v>97</v>
      </c>
      <c r="D161" s="30" t="s">
        <v>67</v>
      </c>
      <c r="E161" s="30" t="s">
        <v>5</v>
      </c>
      <c r="F161" s="4" t="s">
        <v>1376</v>
      </c>
      <c r="G161" s="4" t="s">
        <v>707</v>
      </c>
      <c r="H161" s="4" t="s">
        <v>169</v>
      </c>
      <c r="I161" s="4" t="s">
        <v>448</v>
      </c>
      <c r="J161" s="4" t="s">
        <v>1377</v>
      </c>
      <c r="K161" s="4" t="s">
        <v>716</v>
      </c>
      <c r="L161" s="4" t="s">
        <v>45</v>
      </c>
      <c r="M161" s="355"/>
      <c r="N161" s="355"/>
      <c r="O161" s="355"/>
      <c r="P161" s="355"/>
      <c r="Q161" s="355"/>
      <c r="R161" s="355"/>
      <c r="S161" s="355"/>
      <c r="T161" s="355"/>
      <c r="U161" s="355"/>
      <c r="V161" s="31" t="s">
        <v>98</v>
      </c>
      <c r="W161" s="356"/>
      <c r="X161" s="357"/>
    </row>
    <row r="162" spans="1:24" ht="15.75" customHeight="1">
      <c r="A162" s="5" t="s">
        <v>71</v>
      </c>
      <c r="B162" s="5" t="s">
        <v>1378</v>
      </c>
      <c r="C162" s="180"/>
      <c r="D162" s="180" t="s">
        <v>67</v>
      </c>
      <c r="E162" s="30" t="s">
        <v>5</v>
      </c>
      <c r="F162" s="359"/>
      <c r="G162" s="150" t="s">
        <v>707</v>
      </c>
      <c r="H162" s="150" t="s">
        <v>157</v>
      </c>
      <c r="I162" s="151"/>
      <c r="J162" s="151"/>
      <c r="K162" s="150" t="s">
        <v>716</v>
      </c>
      <c r="L162" s="151"/>
      <c r="M162" s="355"/>
      <c r="N162" s="355"/>
      <c r="O162" s="355"/>
      <c r="P162" s="355"/>
      <c r="Q162" s="355"/>
      <c r="R162" s="355"/>
      <c r="S162" s="355"/>
      <c r="T162" s="355"/>
      <c r="U162" s="355"/>
      <c r="V162" s="311"/>
      <c r="W162" s="357"/>
      <c r="X162" s="357"/>
    </row>
    <row r="163" spans="1:24" ht="15.75" customHeight="1">
      <c r="A163" s="3" t="s">
        <v>73</v>
      </c>
      <c r="B163" s="3" t="s">
        <v>12</v>
      </c>
      <c r="C163" s="30" t="s">
        <v>106</v>
      </c>
      <c r="D163" s="30" t="s">
        <v>67</v>
      </c>
      <c r="E163" s="30" t="s">
        <v>0</v>
      </c>
      <c r="F163" s="30" t="s">
        <v>841</v>
      </c>
      <c r="G163" s="30" t="s">
        <v>714</v>
      </c>
      <c r="H163" s="30" t="s">
        <v>228</v>
      </c>
      <c r="I163" s="4" t="s">
        <v>448</v>
      </c>
      <c r="J163" s="30" t="s">
        <v>842</v>
      </c>
      <c r="K163" s="30" t="s">
        <v>742</v>
      </c>
      <c r="L163" s="30" t="s">
        <v>843</v>
      </c>
      <c r="M163" s="30" t="s">
        <v>844</v>
      </c>
      <c r="N163" s="4"/>
      <c r="O163" s="30" t="s">
        <v>845</v>
      </c>
      <c r="P163" s="30">
        <v>2025</v>
      </c>
      <c r="Q163" s="30" t="s">
        <v>223</v>
      </c>
      <c r="R163" s="4" t="s">
        <v>823</v>
      </c>
      <c r="S163" s="174"/>
      <c r="T163" s="251"/>
      <c r="U163" s="251"/>
      <c r="V163" s="360" t="s">
        <v>1379</v>
      </c>
      <c r="W163" s="313"/>
      <c r="X163" s="357"/>
    </row>
    <row r="164" spans="1:24" ht="15.75" customHeight="1">
      <c r="A164" s="3" t="s">
        <v>73</v>
      </c>
      <c r="B164" s="3" t="s">
        <v>12</v>
      </c>
      <c r="C164" s="30" t="s">
        <v>106</v>
      </c>
      <c r="D164" s="30" t="s">
        <v>67</v>
      </c>
      <c r="E164" s="30" t="s">
        <v>0</v>
      </c>
      <c r="F164" s="30" t="s">
        <v>841</v>
      </c>
      <c r="G164" s="30" t="s">
        <v>714</v>
      </c>
      <c r="H164" s="30" t="s">
        <v>228</v>
      </c>
      <c r="I164" s="4" t="s">
        <v>448</v>
      </c>
      <c r="J164" s="30" t="s">
        <v>842</v>
      </c>
      <c r="K164" s="30" t="s">
        <v>742</v>
      </c>
      <c r="L164" s="30" t="s">
        <v>847</v>
      </c>
      <c r="M164" s="30" t="s">
        <v>848</v>
      </c>
      <c r="N164" s="4"/>
      <c r="O164" s="30" t="s">
        <v>845</v>
      </c>
      <c r="P164" s="30">
        <v>2025</v>
      </c>
      <c r="Q164" s="30" t="s">
        <v>223</v>
      </c>
      <c r="R164" s="4" t="s">
        <v>823</v>
      </c>
      <c r="S164" s="174"/>
      <c r="T164" s="251"/>
      <c r="U164" s="251"/>
      <c r="V164" s="360" t="s">
        <v>1380</v>
      </c>
      <c r="W164" s="313"/>
      <c r="X164" s="357"/>
    </row>
    <row r="165" spans="1:24" ht="15.75" customHeight="1">
      <c r="A165" s="3" t="s">
        <v>71</v>
      </c>
      <c r="B165" s="3" t="s">
        <v>1381</v>
      </c>
      <c r="C165" s="30" t="s">
        <v>655</v>
      </c>
      <c r="D165" s="30" t="s">
        <v>67</v>
      </c>
      <c r="E165" s="30" t="s">
        <v>3</v>
      </c>
      <c r="F165" s="30" t="s">
        <v>1382</v>
      </c>
      <c r="G165" s="30" t="s">
        <v>714</v>
      </c>
      <c r="H165" s="30" t="s">
        <v>228</v>
      </c>
      <c r="I165" s="4" t="s">
        <v>448</v>
      </c>
      <c r="J165" s="30" t="s">
        <v>1383</v>
      </c>
      <c r="K165" s="30" t="s">
        <v>742</v>
      </c>
      <c r="L165" s="3" t="s">
        <v>1384</v>
      </c>
      <c r="M165" s="180" t="s">
        <v>1385</v>
      </c>
      <c r="N165" s="361">
        <v>46027</v>
      </c>
      <c r="O165" s="180" t="s">
        <v>390</v>
      </c>
      <c r="P165" s="180">
        <v>2025</v>
      </c>
      <c r="Q165" s="180" t="s">
        <v>162</v>
      </c>
      <c r="R165" s="150" t="s">
        <v>1386</v>
      </c>
      <c r="S165" s="186" t="s">
        <v>1387</v>
      </c>
      <c r="T165" s="362" t="s">
        <v>1388</v>
      </c>
      <c r="U165" s="363" t="s">
        <v>1389</v>
      </c>
      <c r="V165" s="364"/>
      <c r="W165" s="365"/>
      <c r="X165" s="357"/>
    </row>
    <row r="166" spans="1:24" ht="15.75" customHeight="1">
      <c r="A166" s="3" t="s">
        <v>95</v>
      </c>
      <c r="B166" s="3" t="s">
        <v>131</v>
      </c>
      <c r="C166" s="38"/>
      <c r="D166" s="30" t="s">
        <v>132</v>
      </c>
      <c r="E166" s="30" t="s">
        <v>1390</v>
      </c>
      <c r="F166" s="366" t="s">
        <v>1391</v>
      </c>
      <c r="G166" s="30" t="s">
        <v>714</v>
      </c>
      <c r="H166" s="30" t="s">
        <v>228</v>
      </c>
      <c r="I166" s="366" t="s">
        <v>1392</v>
      </c>
      <c r="J166" s="367" t="s">
        <v>1393</v>
      </c>
      <c r="K166" s="30" t="s">
        <v>742</v>
      </c>
      <c r="L166" s="366" t="s">
        <v>1394</v>
      </c>
      <c r="M166" s="311"/>
      <c r="N166" s="368"/>
      <c r="O166" s="369" t="s">
        <v>1395</v>
      </c>
      <c r="P166" s="180">
        <v>2025</v>
      </c>
      <c r="Q166" s="311"/>
      <c r="R166" s="150" t="s">
        <v>1386</v>
      </c>
      <c r="S166" s="370" t="s">
        <v>1396</v>
      </c>
      <c r="T166" s="355"/>
      <c r="U166" s="355"/>
      <c r="V166" s="364"/>
      <c r="W166" s="365"/>
      <c r="X166" s="357"/>
    </row>
    <row r="167" spans="1:24" ht="15.75" customHeight="1">
      <c r="A167" s="163" t="s">
        <v>71</v>
      </c>
      <c r="B167" s="33" t="s">
        <v>43</v>
      </c>
      <c r="C167" s="164" t="s">
        <v>334</v>
      </c>
      <c r="D167" s="164" t="s">
        <v>80</v>
      </c>
      <c r="E167" s="164" t="s">
        <v>7</v>
      </c>
      <c r="F167" s="371" t="s">
        <v>1397</v>
      </c>
      <c r="G167" s="30" t="s">
        <v>714</v>
      </c>
      <c r="H167" s="30" t="s">
        <v>228</v>
      </c>
      <c r="I167" s="371" t="s">
        <v>448</v>
      </c>
      <c r="J167" s="372" t="s">
        <v>1398</v>
      </c>
      <c r="K167" s="30" t="s">
        <v>742</v>
      </c>
      <c r="L167" s="373" t="s">
        <v>1399</v>
      </c>
      <c r="M167" s="141" t="s">
        <v>1400</v>
      </c>
      <c r="N167" s="374">
        <v>46029</v>
      </c>
      <c r="O167" s="375" t="s">
        <v>634</v>
      </c>
      <c r="P167" s="30">
        <v>2025</v>
      </c>
      <c r="Q167" s="30" t="s">
        <v>322</v>
      </c>
      <c r="R167" s="5" t="s">
        <v>1401</v>
      </c>
      <c r="S167" s="40" t="s">
        <v>1402</v>
      </c>
      <c r="T167" s="251"/>
      <c r="U167" s="300" t="s">
        <v>1403</v>
      </c>
      <c r="V167" s="339"/>
      <c r="W167" s="313"/>
      <c r="X167" s="347"/>
    </row>
    <row r="168" spans="1:24" ht="15.75" customHeight="1">
      <c r="A168" s="163" t="s">
        <v>71</v>
      </c>
      <c r="B168" s="33" t="s">
        <v>43</v>
      </c>
      <c r="C168" s="164" t="s">
        <v>334</v>
      </c>
      <c r="D168" s="164" t="s">
        <v>80</v>
      </c>
      <c r="E168" s="164" t="s">
        <v>7</v>
      </c>
      <c r="F168" s="371" t="s">
        <v>1404</v>
      </c>
      <c r="G168" s="30" t="s">
        <v>707</v>
      </c>
      <c r="H168" s="30" t="s">
        <v>1405</v>
      </c>
      <c r="I168" s="371" t="s">
        <v>1392</v>
      </c>
      <c r="J168" s="367" t="s">
        <v>1406</v>
      </c>
      <c r="K168" s="30" t="s">
        <v>1342</v>
      </c>
      <c r="L168" s="373" t="s">
        <v>359</v>
      </c>
      <c r="M168" s="373" t="s">
        <v>359</v>
      </c>
      <c r="N168" s="373" t="s">
        <v>359</v>
      </c>
      <c r="O168" s="373" t="s">
        <v>359</v>
      </c>
      <c r="P168" s="30">
        <v>2025</v>
      </c>
      <c r="Q168" s="373" t="s">
        <v>359</v>
      </c>
      <c r="R168" s="373" t="s">
        <v>359</v>
      </c>
      <c r="S168" s="274" t="s">
        <v>359</v>
      </c>
      <c r="T168" s="3" t="s">
        <v>359</v>
      </c>
      <c r="U168" s="251"/>
      <c r="V168" s="300" t="s">
        <v>1407</v>
      </c>
      <c r="W168" s="313"/>
      <c r="X168" s="353"/>
    </row>
    <row r="169" spans="1:24" ht="15.75" customHeight="1">
      <c r="A169" s="163" t="s">
        <v>71</v>
      </c>
      <c r="B169" s="33" t="s">
        <v>133</v>
      </c>
      <c r="C169" s="164" t="s">
        <v>134</v>
      </c>
      <c r="D169" s="164" t="s">
        <v>67</v>
      </c>
      <c r="E169" s="164" t="s">
        <v>3</v>
      </c>
      <c r="F169" s="371" t="s">
        <v>1408</v>
      </c>
      <c r="G169" s="30" t="s">
        <v>707</v>
      </c>
      <c r="H169" s="30" t="s">
        <v>1405</v>
      </c>
      <c r="I169" s="371" t="s">
        <v>1409</v>
      </c>
      <c r="J169" s="376" t="s">
        <v>1410</v>
      </c>
      <c r="K169" s="30" t="s">
        <v>742</v>
      </c>
      <c r="L169" s="373" t="s">
        <v>1411</v>
      </c>
      <c r="M169" s="373" t="s">
        <v>1412</v>
      </c>
      <c r="N169" s="373" t="s">
        <v>359</v>
      </c>
      <c r="O169" s="373" t="s">
        <v>359</v>
      </c>
      <c r="P169" s="30">
        <v>2026</v>
      </c>
      <c r="Q169" s="373" t="s">
        <v>359</v>
      </c>
      <c r="R169" s="373" t="s">
        <v>359</v>
      </c>
      <c r="S169" s="274" t="s">
        <v>359</v>
      </c>
      <c r="T169" s="3" t="s">
        <v>359</v>
      </c>
      <c r="U169" s="251"/>
      <c r="V169" s="196"/>
      <c r="W169" s="313"/>
      <c r="X169" s="353"/>
    </row>
    <row r="170" spans="1:24" ht="15.75" customHeight="1">
      <c r="A170" s="5" t="s">
        <v>68</v>
      </c>
      <c r="B170" s="4" t="s">
        <v>57</v>
      </c>
      <c r="C170" s="30" t="s">
        <v>534</v>
      </c>
      <c r="D170" s="30" t="s">
        <v>80</v>
      </c>
      <c r="E170" s="30" t="s">
        <v>2</v>
      </c>
      <c r="F170" s="377" t="s">
        <v>1413</v>
      </c>
      <c r="G170" s="30" t="s">
        <v>707</v>
      </c>
      <c r="H170" s="30" t="s">
        <v>1405</v>
      </c>
      <c r="I170" s="371" t="s">
        <v>448</v>
      </c>
      <c r="J170" s="378" t="s">
        <v>1414</v>
      </c>
      <c r="K170" s="30" t="s">
        <v>742</v>
      </c>
      <c r="L170" s="379" t="s">
        <v>1415</v>
      </c>
      <c r="M170" s="379" t="s">
        <v>1416</v>
      </c>
      <c r="N170" s="373" t="s">
        <v>359</v>
      </c>
      <c r="O170" s="373" t="s">
        <v>359</v>
      </c>
      <c r="P170" s="30">
        <v>2025</v>
      </c>
      <c r="Q170" s="373" t="s">
        <v>359</v>
      </c>
      <c r="R170" s="373" t="s">
        <v>359</v>
      </c>
      <c r="S170" s="274" t="s">
        <v>359</v>
      </c>
      <c r="T170" s="3" t="s">
        <v>359</v>
      </c>
      <c r="U170" s="380" t="s">
        <v>1417</v>
      </c>
      <c r="V170" s="380" t="s">
        <v>1418</v>
      </c>
      <c r="W170" s="330"/>
      <c r="X170" s="353"/>
    </row>
    <row r="171" spans="1:24" ht="15.75" customHeight="1">
      <c r="A171" s="5" t="s">
        <v>68</v>
      </c>
      <c r="B171" s="4" t="s">
        <v>57</v>
      </c>
      <c r="C171" s="30" t="s">
        <v>1419</v>
      </c>
      <c r="D171" s="30" t="s">
        <v>80</v>
      </c>
      <c r="E171" s="30" t="s">
        <v>2</v>
      </c>
      <c r="F171" s="371" t="s">
        <v>1404</v>
      </c>
      <c r="G171" s="30" t="s">
        <v>707</v>
      </c>
      <c r="H171" s="30" t="s">
        <v>1405</v>
      </c>
      <c r="I171" s="371" t="s">
        <v>1392</v>
      </c>
      <c r="J171" s="367" t="s">
        <v>1420</v>
      </c>
      <c r="K171" s="30" t="s">
        <v>1342</v>
      </c>
      <c r="L171" s="373" t="s">
        <v>359</v>
      </c>
      <c r="M171" s="373" t="s">
        <v>359</v>
      </c>
      <c r="N171" s="373" t="s">
        <v>359</v>
      </c>
      <c r="O171" s="373" t="s">
        <v>359</v>
      </c>
      <c r="P171" s="30">
        <v>2025</v>
      </c>
      <c r="Q171" s="373" t="s">
        <v>359</v>
      </c>
      <c r="R171" s="373" t="s">
        <v>359</v>
      </c>
      <c r="S171" s="274" t="s">
        <v>359</v>
      </c>
      <c r="T171" s="3" t="s">
        <v>359</v>
      </c>
      <c r="U171" s="251"/>
      <c r="V171" s="380" t="s">
        <v>1421</v>
      </c>
      <c r="W171" s="330"/>
      <c r="X171" s="353"/>
    </row>
    <row r="172" spans="1:24" ht="15.75" customHeight="1">
      <c r="A172" s="5" t="s">
        <v>68</v>
      </c>
      <c r="B172" s="4" t="s">
        <v>57</v>
      </c>
      <c r="C172" s="30" t="s">
        <v>1422</v>
      </c>
      <c r="D172" s="30" t="s">
        <v>80</v>
      </c>
      <c r="E172" s="30" t="s">
        <v>2</v>
      </c>
      <c r="F172" s="149" t="s">
        <v>1423</v>
      </c>
      <c r="G172" s="30" t="s">
        <v>707</v>
      </c>
      <c r="H172" s="30" t="s">
        <v>1405</v>
      </c>
      <c r="I172" s="371" t="s">
        <v>448</v>
      </c>
      <c r="J172" s="377" t="s">
        <v>1424</v>
      </c>
      <c r="K172" s="377" t="s">
        <v>730</v>
      </c>
      <c r="L172" s="373" t="s">
        <v>359</v>
      </c>
      <c r="M172" s="373" t="s">
        <v>359</v>
      </c>
      <c r="N172" s="373" t="s">
        <v>359</v>
      </c>
      <c r="O172" s="373" t="s">
        <v>359</v>
      </c>
      <c r="P172" s="30">
        <v>2025</v>
      </c>
      <c r="Q172" s="373" t="s">
        <v>359</v>
      </c>
      <c r="R172" s="373" t="s">
        <v>359</v>
      </c>
      <c r="S172" s="274" t="s">
        <v>359</v>
      </c>
      <c r="T172" s="3" t="s">
        <v>359</v>
      </c>
      <c r="U172" s="251"/>
      <c r="V172" s="146" t="s">
        <v>1425</v>
      </c>
      <c r="W172" s="1"/>
      <c r="X172" s="1"/>
    </row>
    <row r="173" spans="1:24" ht="15.75" customHeight="1">
      <c r="A173" s="5" t="s">
        <v>68</v>
      </c>
      <c r="B173" s="4" t="s">
        <v>57</v>
      </c>
      <c r="C173" s="30" t="s">
        <v>1426</v>
      </c>
      <c r="D173" s="30" t="s">
        <v>80</v>
      </c>
      <c r="E173" s="30" t="s">
        <v>2</v>
      </c>
      <c r="F173" s="149" t="s">
        <v>1427</v>
      </c>
      <c r="G173" s="30" t="s">
        <v>707</v>
      </c>
      <c r="H173" s="30" t="s">
        <v>1405</v>
      </c>
      <c r="I173" s="371" t="s">
        <v>448</v>
      </c>
      <c r="J173" s="377" t="s">
        <v>1428</v>
      </c>
      <c r="K173" s="377" t="s">
        <v>1429</v>
      </c>
      <c r="L173" s="373" t="s">
        <v>359</v>
      </c>
      <c r="M173" s="373" t="s">
        <v>359</v>
      </c>
      <c r="N173" s="373" t="s">
        <v>359</v>
      </c>
      <c r="O173" s="373" t="s">
        <v>359</v>
      </c>
      <c r="P173" s="30">
        <v>2025</v>
      </c>
      <c r="Q173" s="373" t="s">
        <v>359</v>
      </c>
      <c r="R173" s="373" t="s">
        <v>359</v>
      </c>
      <c r="S173" s="274" t="s">
        <v>359</v>
      </c>
      <c r="T173" s="3" t="s">
        <v>359</v>
      </c>
      <c r="U173" s="290"/>
      <c r="V173" s="146" t="s">
        <v>1430</v>
      </c>
      <c r="W173" s="1"/>
      <c r="X173" s="1"/>
    </row>
    <row r="174" spans="1:24" ht="15.75" customHeight="1">
      <c r="A174" s="5" t="s">
        <v>68</v>
      </c>
      <c r="B174" s="4" t="s">
        <v>57</v>
      </c>
      <c r="C174" s="30" t="s">
        <v>1419</v>
      </c>
      <c r="D174" s="30" t="s">
        <v>80</v>
      </c>
      <c r="E174" s="30" t="s">
        <v>2</v>
      </c>
      <c r="F174" s="371" t="s">
        <v>1431</v>
      </c>
      <c r="G174" s="30" t="s">
        <v>707</v>
      </c>
      <c r="H174" s="30" t="s">
        <v>1405</v>
      </c>
      <c r="I174" s="371" t="s">
        <v>1432</v>
      </c>
      <c r="J174" s="371" t="s">
        <v>1432</v>
      </c>
      <c r="K174" s="30" t="s">
        <v>1342</v>
      </c>
      <c r="L174" s="373" t="s">
        <v>359</v>
      </c>
      <c r="M174" s="373" t="s">
        <v>359</v>
      </c>
      <c r="N174" s="373" t="s">
        <v>359</v>
      </c>
      <c r="O174" s="373" t="s">
        <v>359</v>
      </c>
      <c r="P174" s="30">
        <v>2025</v>
      </c>
      <c r="Q174" s="373" t="s">
        <v>359</v>
      </c>
      <c r="R174" s="373" t="s">
        <v>359</v>
      </c>
      <c r="S174" s="274" t="s">
        <v>359</v>
      </c>
      <c r="T174" s="3" t="s">
        <v>359</v>
      </c>
      <c r="U174" s="290"/>
      <c r="V174" s="381" t="s">
        <v>1433</v>
      </c>
      <c r="X174" s="153"/>
    </row>
    <row r="175" spans="1:24" ht="15.75" customHeight="1">
      <c r="A175" s="5" t="s">
        <v>71</v>
      </c>
      <c r="B175" s="5" t="s">
        <v>42</v>
      </c>
      <c r="C175" s="5" t="s">
        <v>93</v>
      </c>
      <c r="D175" s="5" t="s">
        <v>80</v>
      </c>
      <c r="E175" s="5" t="s">
        <v>5</v>
      </c>
      <c r="F175" s="149" t="s">
        <v>1434</v>
      </c>
      <c r="G175" s="30" t="s">
        <v>707</v>
      </c>
      <c r="H175" s="30" t="s">
        <v>1405</v>
      </c>
      <c r="I175" s="371" t="s">
        <v>448</v>
      </c>
      <c r="J175" s="377" t="s">
        <v>1435</v>
      </c>
      <c r="K175" s="180" t="s">
        <v>742</v>
      </c>
      <c r="L175" s="379" t="s">
        <v>665</v>
      </c>
      <c r="M175" s="379" t="s">
        <v>1436</v>
      </c>
      <c r="N175" s="379" t="s">
        <v>1437</v>
      </c>
      <c r="O175" s="379" t="s">
        <v>839</v>
      </c>
      <c r="P175" s="180">
        <v>2026</v>
      </c>
      <c r="Q175" s="379" t="s">
        <v>162</v>
      </c>
      <c r="R175" s="382" t="s">
        <v>1438</v>
      </c>
      <c r="S175" s="177" t="s">
        <v>1439</v>
      </c>
      <c r="T175" s="149" t="s">
        <v>359</v>
      </c>
      <c r="U175" s="289" t="s">
        <v>1440</v>
      </c>
      <c r="V175" s="47"/>
      <c r="W175" s="383"/>
    </row>
    <row r="176" spans="1:24" ht="15.75" customHeight="1">
      <c r="F176" s="47"/>
      <c r="I176" s="47"/>
      <c r="J176" s="47"/>
      <c r="L176" s="384"/>
      <c r="M176" s="47"/>
      <c r="T176" s="47"/>
      <c r="U176" s="47"/>
      <c r="V176" s="47"/>
    </row>
    <row r="177" spans="6:22" ht="15.75" customHeight="1">
      <c r="F177" s="47"/>
      <c r="I177" s="47"/>
      <c r="J177" s="47"/>
      <c r="L177" s="384"/>
      <c r="M177" s="47"/>
      <c r="T177" s="47"/>
      <c r="U177" s="47"/>
      <c r="V177" s="47"/>
    </row>
    <row r="178" spans="6:22" ht="15.75" customHeight="1">
      <c r="F178" s="47"/>
      <c r="I178" s="47"/>
      <c r="J178" s="47"/>
      <c r="L178" s="384"/>
      <c r="M178" s="47"/>
      <c r="T178" s="47"/>
      <c r="U178" s="47"/>
      <c r="V178" s="47"/>
    </row>
    <row r="179" spans="6:22" ht="15.75" customHeight="1">
      <c r="F179" s="47"/>
      <c r="I179" s="47"/>
      <c r="J179" s="47"/>
      <c r="L179" s="384"/>
      <c r="M179" s="47"/>
      <c r="T179" s="47"/>
      <c r="U179" s="47"/>
      <c r="V179" s="47"/>
    </row>
    <row r="180" spans="6:22" ht="15.75" customHeight="1">
      <c r="F180" s="47"/>
      <c r="I180" s="47"/>
      <c r="J180" s="47"/>
      <c r="L180" s="384"/>
      <c r="M180" s="47"/>
      <c r="T180" s="47"/>
      <c r="U180" s="47"/>
      <c r="V180" s="47"/>
    </row>
    <row r="181" spans="6:22" ht="15.75" customHeight="1">
      <c r="F181" s="47"/>
      <c r="I181" s="47"/>
      <c r="J181" s="47"/>
      <c r="L181" s="384"/>
      <c r="M181" s="47"/>
      <c r="T181" s="47"/>
      <c r="U181" s="47"/>
      <c r="V181" s="47"/>
    </row>
    <row r="182" spans="6:22" ht="15.75" customHeight="1">
      <c r="F182" s="47"/>
      <c r="I182" s="47"/>
      <c r="J182" s="47"/>
      <c r="L182" s="384"/>
      <c r="M182" s="47"/>
      <c r="T182" s="47"/>
      <c r="U182" s="47"/>
      <c r="V182" s="47"/>
    </row>
    <row r="183" spans="6:22" ht="15.75" customHeight="1">
      <c r="F183" s="47"/>
      <c r="I183" s="47"/>
      <c r="J183" s="47"/>
      <c r="L183" s="384"/>
      <c r="M183" s="47"/>
      <c r="T183" s="47"/>
      <c r="U183" s="47"/>
      <c r="V183" s="47"/>
    </row>
    <row r="184" spans="6:22" ht="15.75" customHeight="1">
      <c r="F184" s="47"/>
      <c r="I184" s="47"/>
      <c r="J184" s="47"/>
      <c r="L184" s="384"/>
      <c r="M184" s="47"/>
      <c r="T184" s="47"/>
      <c r="U184" s="47"/>
      <c r="V184" s="47"/>
    </row>
    <row r="185" spans="6:22" ht="15.75" customHeight="1">
      <c r="F185" s="47"/>
      <c r="I185" s="47"/>
      <c r="J185" s="47"/>
      <c r="L185" s="384"/>
      <c r="M185" s="47"/>
      <c r="T185" s="47"/>
      <c r="U185" s="47"/>
      <c r="V185" s="47"/>
    </row>
    <row r="186" spans="6:22" ht="15.75" customHeight="1">
      <c r="F186" s="47"/>
      <c r="I186" s="47"/>
      <c r="J186" s="47"/>
      <c r="L186" s="384"/>
      <c r="M186" s="47"/>
      <c r="T186" s="47"/>
      <c r="U186" s="47"/>
      <c r="V186" s="47"/>
    </row>
    <row r="187" spans="6:22" ht="15.75" customHeight="1">
      <c r="F187" s="47"/>
      <c r="I187" s="47"/>
      <c r="J187" s="47"/>
      <c r="L187" s="384"/>
      <c r="M187" s="47"/>
      <c r="T187" s="47"/>
      <c r="U187" s="47"/>
      <c r="V187" s="47"/>
    </row>
    <row r="188" spans="6:22" ht="15.75" customHeight="1">
      <c r="F188" s="47"/>
      <c r="I188" s="47"/>
      <c r="J188" s="47"/>
      <c r="L188" s="384"/>
      <c r="M188" s="47"/>
      <c r="T188" s="47"/>
      <c r="U188" s="47"/>
      <c r="V188" s="47"/>
    </row>
    <row r="189" spans="6:22" ht="15.75" customHeight="1">
      <c r="F189" s="47"/>
      <c r="I189" s="47"/>
      <c r="J189" s="47"/>
      <c r="L189" s="384"/>
      <c r="M189" s="47"/>
      <c r="T189" s="47"/>
      <c r="U189" s="47"/>
      <c r="V189" s="47"/>
    </row>
    <row r="190" spans="6:22" ht="15.75" customHeight="1">
      <c r="F190" s="47"/>
      <c r="I190" s="47"/>
      <c r="J190" s="47"/>
      <c r="L190" s="384"/>
      <c r="M190" s="47"/>
      <c r="T190" s="47"/>
      <c r="U190" s="47"/>
      <c r="V190" s="47"/>
    </row>
    <row r="191" spans="6:22" ht="15.75" customHeight="1">
      <c r="F191" s="47"/>
      <c r="I191" s="47"/>
      <c r="J191" s="47"/>
      <c r="L191" s="384"/>
      <c r="M191" s="47"/>
      <c r="T191" s="47"/>
      <c r="U191" s="47"/>
      <c r="V191" s="47"/>
    </row>
    <row r="192" spans="6:22" ht="15.75" customHeight="1">
      <c r="F192" s="47"/>
      <c r="I192" s="47"/>
      <c r="J192" s="47"/>
      <c r="L192" s="384"/>
      <c r="M192" s="47"/>
      <c r="T192" s="47"/>
      <c r="U192" s="47"/>
      <c r="V192" s="47"/>
    </row>
    <row r="193" spans="6:22" ht="15.75" customHeight="1">
      <c r="F193" s="47"/>
      <c r="I193" s="47"/>
      <c r="J193" s="47"/>
      <c r="L193" s="384"/>
      <c r="M193" s="47"/>
      <c r="T193" s="47"/>
      <c r="U193" s="47"/>
      <c r="V193" s="47"/>
    </row>
    <row r="194" spans="6:22" ht="15.75" customHeight="1">
      <c r="F194" s="47"/>
      <c r="I194" s="47"/>
      <c r="J194" s="47"/>
      <c r="L194" s="384"/>
      <c r="M194" s="47"/>
      <c r="T194" s="47"/>
      <c r="U194" s="47"/>
      <c r="V194" s="47"/>
    </row>
    <row r="195" spans="6:22" ht="15.75" customHeight="1">
      <c r="F195" s="47"/>
      <c r="I195" s="47"/>
      <c r="J195" s="47"/>
      <c r="L195" s="384"/>
      <c r="M195" s="47"/>
      <c r="T195" s="47"/>
      <c r="U195" s="47"/>
      <c r="V195" s="47"/>
    </row>
    <row r="196" spans="6:22" ht="15.75" customHeight="1">
      <c r="F196" s="47"/>
      <c r="I196" s="47"/>
      <c r="J196" s="47"/>
      <c r="L196" s="384"/>
      <c r="M196" s="47"/>
      <c r="T196" s="47"/>
      <c r="U196" s="47"/>
      <c r="V196" s="47"/>
    </row>
    <row r="197" spans="6:22" ht="15.75" customHeight="1">
      <c r="F197" s="47"/>
      <c r="I197" s="47"/>
      <c r="J197" s="47"/>
      <c r="L197" s="384"/>
      <c r="M197" s="47"/>
      <c r="T197" s="47"/>
      <c r="U197" s="47"/>
      <c r="V197" s="47"/>
    </row>
    <row r="198" spans="6:22" ht="15.75" customHeight="1">
      <c r="F198" s="47"/>
      <c r="I198" s="47"/>
      <c r="J198" s="47"/>
      <c r="L198" s="384"/>
      <c r="M198" s="47"/>
      <c r="T198" s="47"/>
      <c r="U198" s="47"/>
      <c r="V198" s="47"/>
    </row>
    <row r="199" spans="6:22" ht="15.75" customHeight="1">
      <c r="F199" s="47"/>
      <c r="I199" s="47"/>
      <c r="J199" s="47"/>
      <c r="L199" s="384"/>
      <c r="M199" s="47"/>
      <c r="T199" s="47"/>
      <c r="U199" s="47"/>
      <c r="V199" s="47"/>
    </row>
    <row r="200" spans="6:22" ht="15.75" customHeight="1">
      <c r="F200" s="47"/>
      <c r="I200" s="47"/>
      <c r="J200" s="47"/>
      <c r="L200" s="384"/>
      <c r="M200" s="47"/>
      <c r="T200" s="47"/>
      <c r="U200" s="47"/>
      <c r="V200" s="47"/>
    </row>
    <row r="201" spans="6:22" ht="15.75" customHeight="1">
      <c r="F201" s="47"/>
      <c r="I201" s="47"/>
      <c r="J201" s="47"/>
      <c r="L201" s="384"/>
      <c r="M201" s="47"/>
      <c r="T201" s="47"/>
      <c r="U201" s="47"/>
      <c r="V201" s="47"/>
    </row>
    <row r="202" spans="6:22" ht="15.75" customHeight="1">
      <c r="F202" s="47"/>
      <c r="I202" s="47"/>
      <c r="J202" s="47"/>
      <c r="L202" s="384"/>
      <c r="M202" s="47"/>
      <c r="T202" s="47"/>
      <c r="U202" s="47"/>
      <c r="V202" s="47"/>
    </row>
    <row r="203" spans="6:22" ht="15.75" customHeight="1">
      <c r="F203" s="47"/>
      <c r="I203" s="47"/>
      <c r="J203" s="47"/>
      <c r="L203" s="384"/>
      <c r="M203" s="47"/>
      <c r="T203" s="47"/>
      <c r="U203" s="47"/>
      <c r="V203" s="47"/>
    </row>
    <row r="204" spans="6:22" ht="15.75" customHeight="1">
      <c r="F204" s="47"/>
      <c r="I204" s="47"/>
      <c r="J204" s="47"/>
      <c r="L204" s="384"/>
      <c r="M204" s="47"/>
      <c r="T204" s="47"/>
      <c r="U204" s="47"/>
      <c r="V204" s="47"/>
    </row>
    <row r="205" spans="6:22" ht="15.75" customHeight="1">
      <c r="F205" s="47"/>
      <c r="I205" s="47"/>
      <c r="J205" s="47"/>
      <c r="L205" s="384"/>
      <c r="M205" s="47"/>
      <c r="T205" s="47"/>
      <c r="U205" s="47"/>
      <c r="V205" s="47"/>
    </row>
    <row r="206" spans="6:22" ht="15.75" customHeight="1">
      <c r="F206" s="47"/>
      <c r="I206" s="47"/>
      <c r="J206" s="47"/>
      <c r="L206" s="384"/>
      <c r="M206" s="47"/>
      <c r="T206" s="47"/>
      <c r="U206" s="47"/>
      <c r="V206" s="47"/>
    </row>
    <row r="207" spans="6:22" ht="15.75" customHeight="1">
      <c r="F207" s="47"/>
      <c r="I207" s="47"/>
      <c r="J207" s="47"/>
      <c r="L207" s="384"/>
      <c r="M207" s="47"/>
      <c r="T207" s="47"/>
      <c r="U207" s="47"/>
      <c r="V207" s="47"/>
    </row>
    <row r="208" spans="6:22" ht="15.75" customHeight="1">
      <c r="F208" s="47"/>
      <c r="I208" s="47"/>
      <c r="J208" s="47"/>
      <c r="L208" s="384"/>
      <c r="M208" s="47"/>
      <c r="T208" s="47"/>
      <c r="U208" s="47"/>
      <c r="V208" s="47"/>
    </row>
    <row r="209" spans="6:22" ht="15.75" customHeight="1">
      <c r="F209" s="47"/>
      <c r="I209" s="47"/>
      <c r="J209" s="47"/>
      <c r="L209" s="384"/>
      <c r="M209" s="47"/>
      <c r="T209" s="47"/>
      <c r="U209" s="47"/>
      <c r="V209" s="47"/>
    </row>
    <row r="210" spans="6:22" ht="15.75" customHeight="1">
      <c r="F210" s="47"/>
      <c r="I210" s="47"/>
      <c r="J210" s="47"/>
      <c r="L210" s="384"/>
      <c r="M210" s="47"/>
      <c r="T210" s="47"/>
      <c r="U210" s="47"/>
      <c r="V210" s="47"/>
    </row>
    <row r="211" spans="6:22" ht="15.75" customHeight="1">
      <c r="F211" s="47"/>
      <c r="I211" s="47"/>
      <c r="J211" s="47"/>
      <c r="L211" s="384"/>
      <c r="M211" s="47"/>
      <c r="T211" s="47"/>
      <c r="U211" s="47"/>
      <c r="V211" s="47"/>
    </row>
    <row r="212" spans="6:22" ht="15.75" customHeight="1">
      <c r="F212" s="47"/>
      <c r="I212" s="47"/>
      <c r="J212" s="47"/>
      <c r="L212" s="384"/>
      <c r="M212" s="47"/>
      <c r="T212" s="47"/>
      <c r="U212" s="47"/>
      <c r="V212" s="47"/>
    </row>
    <row r="213" spans="6:22" ht="15.75" customHeight="1">
      <c r="F213" s="47"/>
      <c r="I213" s="47"/>
      <c r="J213" s="47"/>
      <c r="L213" s="384"/>
      <c r="M213" s="47"/>
      <c r="T213" s="47"/>
      <c r="U213" s="47"/>
      <c r="V213" s="47"/>
    </row>
    <row r="214" spans="6:22" ht="15.75" customHeight="1">
      <c r="F214" s="47"/>
      <c r="I214" s="47"/>
      <c r="J214" s="47"/>
      <c r="L214" s="384"/>
      <c r="M214" s="47"/>
      <c r="T214" s="47"/>
      <c r="U214" s="47"/>
      <c r="V214" s="47"/>
    </row>
    <row r="215" spans="6:22" ht="15.75" customHeight="1">
      <c r="F215" s="47"/>
      <c r="I215" s="47"/>
      <c r="J215" s="47"/>
      <c r="L215" s="384"/>
      <c r="M215" s="47"/>
      <c r="T215" s="47"/>
      <c r="U215" s="47"/>
      <c r="V215" s="47"/>
    </row>
    <row r="216" spans="6:22" ht="15.75" customHeight="1">
      <c r="F216" s="47"/>
      <c r="I216" s="47"/>
      <c r="J216" s="47"/>
      <c r="L216" s="384"/>
      <c r="M216" s="47"/>
      <c r="T216" s="47"/>
      <c r="U216" s="47"/>
      <c r="V216" s="47"/>
    </row>
    <row r="217" spans="6:22" ht="15.75" customHeight="1">
      <c r="F217" s="47"/>
      <c r="I217" s="47"/>
      <c r="J217" s="47"/>
      <c r="L217" s="384"/>
      <c r="M217" s="47"/>
      <c r="T217" s="47"/>
      <c r="U217" s="47"/>
      <c r="V217" s="47"/>
    </row>
    <row r="218" spans="6:22" ht="15.75" customHeight="1">
      <c r="F218" s="47"/>
      <c r="I218" s="47"/>
      <c r="J218" s="47"/>
      <c r="L218" s="384"/>
      <c r="M218" s="47"/>
      <c r="T218" s="47"/>
      <c r="U218" s="47"/>
      <c r="V218" s="47"/>
    </row>
    <row r="219" spans="6:22" ht="15.75" customHeight="1">
      <c r="F219" s="47"/>
      <c r="I219" s="47"/>
      <c r="J219" s="47"/>
      <c r="L219" s="384"/>
      <c r="M219" s="47"/>
      <c r="T219" s="47"/>
      <c r="U219" s="47"/>
      <c r="V219" s="47"/>
    </row>
    <row r="220" spans="6:22" ht="15.75" customHeight="1">
      <c r="F220" s="47"/>
      <c r="I220" s="47"/>
      <c r="J220" s="47"/>
      <c r="L220" s="384"/>
      <c r="M220" s="47"/>
      <c r="T220" s="47"/>
      <c r="U220" s="47"/>
      <c r="V220" s="47"/>
    </row>
    <row r="221" spans="6:22" ht="15.75" customHeight="1">
      <c r="F221" s="47"/>
      <c r="I221" s="47"/>
      <c r="J221" s="47"/>
      <c r="L221" s="384"/>
      <c r="M221" s="47"/>
      <c r="T221" s="47"/>
      <c r="U221" s="47"/>
      <c r="V221" s="47"/>
    </row>
    <row r="222" spans="6:22" ht="15.75" customHeight="1">
      <c r="F222" s="47"/>
      <c r="I222" s="47"/>
      <c r="J222" s="47"/>
      <c r="L222" s="384"/>
      <c r="M222" s="47"/>
      <c r="T222" s="47"/>
      <c r="U222" s="47"/>
      <c r="V222" s="47"/>
    </row>
    <row r="223" spans="6:22" ht="15.75" customHeight="1">
      <c r="F223" s="47"/>
      <c r="I223" s="47"/>
      <c r="J223" s="47"/>
      <c r="L223" s="384"/>
      <c r="M223" s="47"/>
      <c r="T223" s="47"/>
      <c r="U223" s="47"/>
      <c r="V223" s="47"/>
    </row>
    <row r="224" spans="6:22" ht="15.75" customHeight="1">
      <c r="F224" s="47"/>
      <c r="I224" s="47"/>
      <c r="J224" s="47"/>
      <c r="L224" s="384"/>
      <c r="M224" s="47"/>
      <c r="T224" s="47"/>
      <c r="U224" s="47"/>
      <c r="V224" s="47"/>
    </row>
    <row r="225" spans="6:22" ht="15.75" customHeight="1">
      <c r="F225" s="47"/>
      <c r="I225" s="47"/>
      <c r="J225" s="47"/>
      <c r="L225" s="384"/>
      <c r="M225" s="47"/>
      <c r="T225" s="47"/>
      <c r="U225" s="47"/>
      <c r="V225" s="47"/>
    </row>
    <row r="226" spans="6:22" ht="15.75" customHeight="1">
      <c r="F226" s="47"/>
      <c r="I226" s="47"/>
      <c r="J226" s="47"/>
      <c r="L226" s="384"/>
      <c r="M226" s="47"/>
      <c r="T226" s="47"/>
      <c r="U226" s="47"/>
      <c r="V226" s="47"/>
    </row>
    <row r="227" spans="6:22" ht="15.75" customHeight="1">
      <c r="F227" s="47"/>
      <c r="I227" s="47"/>
      <c r="J227" s="47"/>
      <c r="L227" s="384"/>
      <c r="M227" s="47"/>
      <c r="T227" s="47"/>
      <c r="U227" s="47"/>
      <c r="V227" s="47"/>
    </row>
    <row r="228" spans="6:22" ht="15.75" customHeight="1">
      <c r="F228" s="47"/>
      <c r="I228" s="47"/>
      <c r="J228" s="47"/>
      <c r="L228" s="384"/>
      <c r="M228" s="47"/>
      <c r="T228" s="47"/>
      <c r="U228" s="47"/>
      <c r="V228" s="47"/>
    </row>
    <row r="229" spans="6:22" ht="15.75" customHeight="1">
      <c r="F229" s="47"/>
      <c r="I229" s="47"/>
      <c r="J229" s="47"/>
      <c r="L229" s="384"/>
      <c r="M229" s="47"/>
      <c r="T229" s="47"/>
      <c r="U229" s="47"/>
      <c r="V229" s="47"/>
    </row>
    <row r="230" spans="6:22" ht="15.75" customHeight="1">
      <c r="F230" s="47"/>
      <c r="I230" s="47"/>
      <c r="J230" s="47"/>
      <c r="L230" s="384"/>
      <c r="M230" s="47"/>
      <c r="T230" s="47"/>
      <c r="U230" s="47"/>
      <c r="V230" s="47"/>
    </row>
    <row r="231" spans="6:22" ht="15.75" customHeight="1">
      <c r="F231" s="47"/>
      <c r="I231" s="47"/>
      <c r="J231" s="47"/>
      <c r="L231" s="384"/>
      <c r="M231" s="47"/>
      <c r="T231" s="47"/>
      <c r="U231" s="47"/>
      <c r="V231" s="47"/>
    </row>
    <row r="232" spans="6:22" ht="15.75" customHeight="1">
      <c r="F232" s="47"/>
      <c r="I232" s="47"/>
      <c r="J232" s="47"/>
      <c r="L232" s="384"/>
      <c r="M232" s="47"/>
      <c r="T232" s="47"/>
      <c r="U232" s="47"/>
      <c r="V232" s="47"/>
    </row>
    <row r="233" spans="6:22" ht="15.75" customHeight="1">
      <c r="F233" s="47"/>
      <c r="I233" s="47"/>
      <c r="J233" s="47"/>
      <c r="L233" s="384"/>
      <c r="M233" s="47"/>
      <c r="T233" s="47"/>
      <c r="U233" s="47"/>
      <c r="V233" s="47"/>
    </row>
    <row r="234" spans="6:22" ht="15.75" customHeight="1">
      <c r="F234" s="47"/>
      <c r="I234" s="47"/>
      <c r="J234" s="47"/>
      <c r="L234" s="384"/>
      <c r="M234" s="47"/>
      <c r="T234" s="47"/>
      <c r="U234" s="47"/>
      <c r="V234" s="47"/>
    </row>
    <row r="235" spans="6:22" ht="15.75" customHeight="1">
      <c r="F235" s="47"/>
      <c r="I235" s="47"/>
      <c r="J235" s="47"/>
      <c r="L235" s="384"/>
      <c r="M235" s="47"/>
      <c r="T235" s="47"/>
      <c r="U235" s="47"/>
      <c r="V235" s="47"/>
    </row>
    <row r="236" spans="6:22" ht="15.75" customHeight="1">
      <c r="F236" s="47"/>
      <c r="I236" s="47"/>
      <c r="J236" s="47"/>
      <c r="L236" s="384"/>
      <c r="M236" s="47"/>
      <c r="T236" s="47"/>
      <c r="U236" s="47"/>
      <c r="V236" s="47"/>
    </row>
    <row r="237" spans="6:22" ht="15.75" customHeight="1">
      <c r="F237" s="47"/>
      <c r="I237" s="47"/>
      <c r="J237" s="47"/>
      <c r="L237" s="384"/>
      <c r="M237" s="47"/>
      <c r="T237" s="47"/>
      <c r="U237" s="47"/>
      <c r="V237" s="47"/>
    </row>
    <row r="238" spans="6:22" ht="15.75" customHeight="1">
      <c r="F238" s="47"/>
      <c r="I238" s="47"/>
      <c r="J238" s="47"/>
      <c r="L238" s="384"/>
      <c r="M238" s="47"/>
      <c r="T238" s="47"/>
      <c r="U238" s="47"/>
      <c r="V238" s="47"/>
    </row>
    <row r="239" spans="6:22" ht="15.75" customHeight="1">
      <c r="F239" s="47"/>
      <c r="I239" s="47"/>
      <c r="J239" s="47"/>
      <c r="L239" s="384"/>
      <c r="M239" s="47"/>
      <c r="T239" s="47"/>
      <c r="U239" s="47"/>
      <c r="V239" s="47"/>
    </row>
    <row r="240" spans="6:22" ht="15.75" customHeight="1">
      <c r="F240" s="47"/>
      <c r="I240" s="47"/>
      <c r="J240" s="47"/>
      <c r="L240" s="384"/>
      <c r="M240" s="47"/>
      <c r="T240" s="47"/>
      <c r="U240" s="47"/>
      <c r="V240" s="47"/>
    </row>
    <row r="241" spans="6:22" ht="15.75" customHeight="1">
      <c r="F241" s="47"/>
      <c r="I241" s="47"/>
      <c r="J241" s="47"/>
      <c r="L241" s="384"/>
      <c r="M241" s="47"/>
      <c r="T241" s="47"/>
      <c r="U241" s="47"/>
      <c r="V241" s="47"/>
    </row>
    <row r="242" spans="6:22" ht="15.75" customHeight="1">
      <c r="F242" s="47"/>
      <c r="I242" s="47"/>
      <c r="J242" s="47"/>
      <c r="L242" s="384"/>
      <c r="M242" s="47"/>
      <c r="T242" s="47"/>
      <c r="U242" s="47"/>
      <c r="V242" s="47"/>
    </row>
    <row r="243" spans="6:22" ht="15.75" customHeight="1">
      <c r="F243" s="47"/>
      <c r="I243" s="47"/>
      <c r="J243" s="47"/>
      <c r="L243" s="384"/>
      <c r="M243" s="47"/>
      <c r="T243" s="47"/>
      <c r="U243" s="47"/>
      <c r="V243" s="47"/>
    </row>
    <row r="244" spans="6:22" ht="15.75" customHeight="1">
      <c r="F244" s="47"/>
      <c r="I244" s="47"/>
      <c r="J244" s="47"/>
      <c r="L244" s="384"/>
      <c r="M244" s="47"/>
      <c r="T244" s="47"/>
      <c r="U244" s="47"/>
      <c r="V244" s="47"/>
    </row>
    <row r="245" spans="6:22" ht="15.75" customHeight="1">
      <c r="F245" s="47"/>
      <c r="I245" s="47"/>
      <c r="J245" s="47"/>
      <c r="L245" s="384"/>
      <c r="M245" s="47"/>
      <c r="T245" s="47"/>
      <c r="U245" s="47"/>
      <c r="V245" s="47"/>
    </row>
    <row r="246" spans="6:22" ht="15.75" customHeight="1">
      <c r="F246" s="47"/>
      <c r="I246" s="47"/>
      <c r="J246" s="47"/>
      <c r="L246" s="384"/>
      <c r="M246" s="47"/>
      <c r="T246" s="47"/>
      <c r="U246" s="47"/>
      <c r="V246" s="47"/>
    </row>
    <row r="247" spans="6:22" ht="15.75" customHeight="1">
      <c r="F247" s="47"/>
      <c r="I247" s="47"/>
      <c r="J247" s="47"/>
      <c r="L247" s="384"/>
      <c r="M247" s="47"/>
      <c r="T247" s="47"/>
      <c r="U247" s="47"/>
      <c r="V247" s="47"/>
    </row>
    <row r="248" spans="6:22" ht="15.75" customHeight="1">
      <c r="F248" s="47"/>
      <c r="I248" s="47"/>
      <c r="J248" s="47"/>
      <c r="L248" s="384"/>
      <c r="M248" s="47"/>
      <c r="T248" s="47"/>
      <c r="U248" s="47"/>
      <c r="V248" s="47"/>
    </row>
    <row r="249" spans="6:22" ht="15.75" customHeight="1">
      <c r="F249" s="47"/>
      <c r="I249" s="47"/>
      <c r="J249" s="47"/>
      <c r="L249" s="384"/>
      <c r="M249" s="47"/>
      <c r="T249" s="47"/>
      <c r="U249" s="47"/>
      <c r="V249" s="47"/>
    </row>
    <row r="250" spans="6:22" ht="15.75" customHeight="1">
      <c r="F250" s="47"/>
      <c r="I250" s="47"/>
      <c r="J250" s="47"/>
      <c r="L250" s="384"/>
      <c r="M250" s="47"/>
      <c r="T250" s="47"/>
      <c r="U250" s="47"/>
      <c r="V250" s="47"/>
    </row>
    <row r="251" spans="6:22" ht="15.75" customHeight="1">
      <c r="F251" s="47"/>
      <c r="I251" s="47"/>
      <c r="J251" s="47"/>
      <c r="L251" s="384"/>
      <c r="M251" s="47"/>
      <c r="T251" s="47"/>
      <c r="U251" s="47"/>
      <c r="V251" s="47"/>
    </row>
    <row r="252" spans="6:22" ht="15.75" customHeight="1">
      <c r="F252" s="47"/>
      <c r="I252" s="47"/>
      <c r="J252" s="47"/>
      <c r="L252" s="384"/>
      <c r="M252" s="47"/>
      <c r="T252" s="47"/>
      <c r="U252" s="47"/>
      <c r="V252" s="47"/>
    </row>
    <row r="253" spans="6:22" ht="15.75" customHeight="1">
      <c r="F253" s="47"/>
      <c r="I253" s="47"/>
      <c r="J253" s="47"/>
      <c r="L253" s="384"/>
      <c r="M253" s="47"/>
      <c r="T253" s="47"/>
      <c r="U253" s="47"/>
      <c r="V253" s="47"/>
    </row>
    <row r="254" spans="6:22" ht="15.75" customHeight="1">
      <c r="F254" s="47"/>
      <c r="I254" s="47"/>
      <c r="J254" s="47"/>
      <c r="L254" s="384"/>
      <c r="M254" s="47"/>
      <c r="T254" s="47"/>
      <c r="U254" s="47"/>
      <c r="V254" s="47"/>
    </row>
    <row r="255" spans="6:22" ht="15.75" customHeight="1">
      <c r="F255" s="47"/>
      <c r="I255" s="47"/>
      <c r="J255" s="47"/>
      <c r="L255" s="384"/>
      <c r="M255" s="47"/>
      <c r="T255" s="47"/>
      <c r="U255" s="47"/>
      <c r="V255" s="47"/>
    </row>
    <row r="256" spans="6:22" ht="15.75" customHeight="1">
      <c r="F256" s="47"/>
      <c r="I256" s="47"/>
      <c r="J256" s="47"/>
      <c r="L256" s="384"/>
      <c r="M256" s="47"/>
      <c r="T256" s="47"/>
      <c r="U256" s="47"/>
      <c r="V256" s="47"/>
    </row>
    <row r="257" spans="6:22" ht="15.75" customHeight="1">
      <c r="F257" s="47"/>
      <c r="I257" s="47"/>
      <c r="J257" s="47"/>
      <c r="L257" s="384"/>
      <c r="M257" s="47"/>
      <c r="T257" s="47"/>
      <c r="U257" s="47"/>
      <c r="V257" s="47"/>
    </row>
    <row r="258" spans="6:22" ht="15.75" customHeight="1">
      <c r="F258" s="47"/>
      <c r="I258" s="47"/>
      <c r="J258" s="47"/>
      <c r="L258" s="384"/>
      <c r="M258" s="47"/>
      <c r="T258" s="47"/>
      <c r="U258" s="47"/>
      <c r="V258" s="47"/>
    </row>
    <row r="259" spans="6:22" ht="15.75" customHeight="1">
      <c r="F259" s="47"/>
      <c r="I259" s="47"/>
      <c r="J259" s="47"/>
      <c r="L259" s="384"/>
      <c r="M259" s="47"/>
      <c r="T259" s="47"/>
      <c r="U259" s="47"/>
      <c r="V259" s="47"/>
    </row>
    <row r="260" spans="6:22" ht="15.75" customHeight="1">
      <c r="F260" s="47"/>
      <c r="I260" s="47"/>
      <c r="J260" s="47"/>
      <c r="L260" s="384"/>
      <c r="M260" s="47"/>
      <c r="T260" s="47"/>
      <c r="U260" s="47"/>
      <c r="V260" s="47"/>
    </row>
    <row r="261" spans="6:22" ht="15.75" customHeight="1">
      <c r="F261" s="47"/>
      <c r="I261" s="47"/>
      <c r="J261" s="47"/>
      <c r="L261" s="384"/>
      <c r="M261" s="47"/>
      <c r="T261" s="47"/>
      <c r="U261" s="47"/>
      <c r="V261" s="47"/>
    </row>
    <row r="262" spans="6:22" ht="15.75" customHeight="1">
      <c r="F262" s="47"/>
      <c r="I262" s="47"/>
      <c r="J262" s="47"/>
      <c r="L262" s="384"/>
      <c r="M262" s="47"/>
      <c r="T262" s="47"/>
      <c r="U262" s="47"/>
      <c r="V262" s="47"/>
    </row>
    <row r="263" spans="6:22" ht="15.75" customHeight="1">
      <c r="F263" s="47"/>
      <c r="I263" s="47"/>
      <c r="J263" s="47"/>
      <c r="L263" s="384"/>
      <c r="M263" s="47"/>
      <c r="T263" s="47"/>
      <c r="U263" s="47"/>
      <c r="V263" s="47"/>
    </row>
    <row r="264" spans="6:22" ht="15.75" customHeight="1">
      <c r="F264" s="47"/>
      <c r="I264" s="47"/>
      <c r="J264" s="47"/>
      <c r="L264" s="384"/>
      <c r="M264" s="47"/>
      <c r="T264" s="47"/>
      <c r="U264" s="47"/>
      <c r="V264" s="47"/>
    </row>
    <row r="265" spans="6:22" ht="15.75" customHeight="1">
      <c r="F265" s="47"/>
      <c r="I265" s="47"/>
      <c r="J265" s="47"/>
      <c r="L265" s="384"/>
      <c r="M265" s="47"/>
      <c r="T265" s="47"/>
      <c r="U265" s="47"/>
      <c r="V265" s="47"/>
    </row>
    <row r="266" spans="6:22" ht="15.75" customHeight="1">
      <c r="F266" s="47"/>
      <c r="I266" s="47"/>
      <c r="J266" s="47"/>
      <c r="L266" s="384"/>
      <c r="M266" s="47"/>
      <c r="T266" s="47"/>
      <c r="U266" s="47"/>
      <c r="V266" s="47"/>
    </row>
    <row r="267" spans="6:22" ht="15.75" customHeight="1">
      <c r="F267" s="47"/>
      <c r="I267" s="47"/>
      <c r="J267" s="47"/>
      <c r="L267" s="384"/>
      <c r="M267" s="47"/>
      <c r="T267" s="47"/>
      <c r="U267" s="47"/>
      <c r="V267" s="47"/>
    </row>
    <row r="268" spans="6:22" ht="15.75" customHeight="1">
      <c r="F268" s="47"/>
      <c r="I268" s="47"/>
      <c r="J268" s="47"/>
      <c r="L268" s="384"/>
      <c r="M268" s="47"/>
      <c r="T268" s="47"/>
      <c r="U268" s="47"/>
      <c r="V268" s="47"/>
    </row>
    <row r="269" spans="6:22" ht="15.75" customHeight="1">
      <c r="F269" s="47"/>
      <c r="I269" s="47"/>
      <c r="J269" s="47"/>
      <c r="L269" s="384"/>
      <c r="M269" s="47"/>
      <c r="T269" s="47"/>
      <c r="U269" s="47"/>
      <c r="V269" s="47"/>
    </row>
    <row r="270" spans="6:22" ht="15.75" customHeight="1">
      <c r="F270" s="47"/>
      <c r="I270" s="47"/>
      <c r="J270" s="47"/>
      <c r="L270" s="384"/>
      <c r="M270" s="47"/>
      <c r="T270" s="47"/>
      <c r="U270" s="47"/>
      <c r="V270" s="47"/>
    </row>
    <row r="271" spans="6:22" ht="15.75" customHeight="1">
      <c r="F271" s="47"/>
      <c r="I271" s="47"/>
      <c r="J271" s="47"/>
      <c r="L271" s="384"/>
      <c r="M271" s="47"/>
      <c r="T271" s="47"/>
      <c r="U271" s="47"/>
      <c r="V271" s="47"/>
    </row>
    <row r="272" spans="6:22" ht="15.75" customHeight="1">
      <c r="F272" s="47"/>
      <c r="I272" s="47"/>
      <c r="J272" s="47"/>
      <c r="L272" s="384"/>
      <c r="M272" s="47"/>
      <c r="T272" s="47"/>
      <c r="U272" s="47"/>
      <c r="V272" s="47"/>
    </row>
    <row r="273" spans="6:22" ht="15.75" customHeight="1">
      <c r="F273" s="47"/>
      <c r="I273" s="47"/>
      <c r="J273" s="47"/>
      <c r="L273" s="384"/>
      <c r="M273" s="47"/>
      <c r="T273" s="47"/>
      <c r="U273" s="47"/>
      <c r="V273" s="47"/>
    </row>
    <row r="274" spans="6:22" ht="15.75" customHeight="1">
      <c r="F274" s="47"/>
      <c r="I274" s="47"/>
      <c r="J274" s="47"/>
      <c r="L274" s="384"/>
      <c r="M274" s="47"/>
      <c r="T274" s="47"/>
      <c r="U274" s="47"/>
      <c r="V274" s="47"/>
    </row>
    <row r="275" spans="6:22" ht="15.75" customHeight="1">
      <c r="F275" s="47"/>
      <c r="I275" s="47"/>
      <c r="J275" s="47"/>
      <c r="L275" s="384"/>
      <c r="M275" s="47"/>
      <c r="T275" s="47"/>
      <c r="U275" s="47"/>
      <c r="V275" s="47"/>
    </row>
    <row r="276" spans="6:22" ht="15.75" customHeight="1">
      <c r="F276" s="47"/>
      <c r="I276" s="47"/>
      <c r="J276" s="47"/>
      <c r="L276" s="384"/>
      <c r="M276" s="47"/>
      <c r="T276" s="47"/>
      <c r="U276" s="47"/>
      <c r="V276" s="47"/>
    </row>
    <row r="277" spans="6:22" ht="15.75" customHeight="1">
      <c r="F277" s="47"/>
      <c r="I277" s="47"/>
      <c r="J277" s="47"/>
      <c r="L277" s="384"/>
      <c r="M277" s="47"/>
      <c r="T277" s="47"/>
      <c r="U277" s="47"/>
      <c r="V277" s="47"/>
    </row>
    <row r="278" spans="6:22" ht="15.75" customHeight="1">
      <c r="F278" s="47"/>
      <c r="I278" s="47"/>
      <c r="J278" s="47"/>
      <c r="L278" s="384"/>
      <c r="M278" s="47"/>
      <c r="T278" s="47"/>
      <c r="U278" s="47"/>
      <c r="V278" s="47"/>
    </row>
    <row r="279" spans="6:22" ht="15.75" customHeight="1">
      <c r="F279" s="47"/>
      <c r="I279" s="47"/>
      <c r="J279" s="47"/>
      <c r="L279" s="384"/>
      <c r="M279" s="47"/>
      <c r="T279" s="47"/>
      <c r="U279" s="47"/>
      <c r="V279" s="47"/>
    </row>
    <row r="280" spans="6:22" ht="15.75" customHeight="1">
      <c r="F280" s="47"/>
      <c r="I280" s="47"/>
      <c r="J280" s="47"/>
      <c r="L280" s="384"/>
      <c r="M280" s="47"/>
      <c r="T280" s="47"/>
      <c r="U280" s="47"/>
      <c r="V280" s="47"/>
    </row>
    <row r="281" spans="6:22" ht="15.75" customHeight="1">
      <c r="F281" s="47"/>
      <c r="I281" s="47"/>
      <c r="J281" s="47"/>
      <c r="L281" s="384"/>
      <c r="M281" s="47"/>
      <c r="T281" s="47"/>
      <c r="U281" s="47"/>
      <c r="V281" s="47"/>
    </row>
    <row r="282" spans="6:22" ht="15.75" customHeight="1">
      <c r="F282" s="47"/>
      <c r="I282" s="47"/>
      <c r="J282" s="47"/>
      <c r="L282" s="384"/>
      <c r="M282" s="47"/>
      <c r="T282" s="47"/>
      <c r="U282" s="47"/>
      <c r="V282" s="47"/>
    </row>
    <row r="283" spans="6:22" ht="15.75" customHeight="1">
      <c r="F283" s="47"/>
      <c r="I283" s="47"/>
      <c r="J283" s="47"/>
      <c r="L283" s="384"/>
      <c r="M283" s="47"/>
      <c r="T283" s="47"/>
      <c r="U283" s="47"/>
      <c r="V283" s="47"/>
    </row>
    <row r="284" spans="6:22" ht="15.75" customHeight="1">
      <c r="F284" s="47"/>
      <c r="I284" s="47"/>
      <c r="J284" s="47"/>
      <c r="L284" s="384"/>
      <c r="M284" s="47"/>
      <c r="T284" s="47"/>
      <c r="U284" s="47"/>
      <c r="V284" s="47"/>
    </row>
    <row r="285" spans="6:22" ht="15.75" customHeight="1">
      <c r="F285" s="47"/>
      <c r="I285" s="47"/>
      <c r="J285" s="47"/>
      <c r="L285" s="384"/>
      <c r="M285" s="47"/>
      <c r="T285" s="47"/>
      <c r="U285" s="47"/>
      <c r="V285" s="47"/>
    </row>
    <row r="286" spans="6:22" ht="15.75" customHeight="1">
      <c r="F286" s="47"/>
      <c r="I286" s="47"/>
      <c r="J286" s="47"/>
      <c r="L286" s="384"/>
      <c r="M286" s="47"/>
      <c r="T286" s="47"/>
      <c r="U286" s="47"/>
      <c r="V286" s="47"/>
    </row>
    <row r="287" spans="6:22" ht="15.75" customHeight="1">
      <c r="F287" s="47"/>
      <c r="I287" s="47"/>
      <c r="J287" s="47"/>
      <c r="L287" s="384"/>
      <c r="M287" s="47"/>
      <c r="T287" s="47"/>
      <c r="U287" s="47"/>
      <c r="V287" s="47"/>
    </row>
    <row r="288" spans="6:22" ht="15.75" customHeight="1">
      <c r="F288" s="47"/>
      <c r="I288" s="47"/>
      <c r="J288" s="47"/>
      <c r="L288" s="384"/>
      <c r="M288" s="47"/>
      <c r="T288" s="47"/>
      <c r="U288" s="47"/>
      <c r="V288" s="47"/>
    </row>
    <row r="289" spans="6:22" ht="15.75" customHeight="1">
      <c r="F289" s="47"/>
      <c r="I289" s="47"/>
      <c r="J289" s="47"/>
      <c r="L289" s="384"/>
      <c r="M289" s="47"/>
      <c r="T289" s="47"/>
      <c r="U289" s="47"/>
      <c r="V289" s="47"/>
    </row>
    <row r="290" spans="6:22" ht="15.75" customHeight="1">
      <c r="F290" s="47"/>
      <c r="I290" s="47"/>
      <c r="J290" s="47"/>
      <c r="L290" s="384"/>
      <c r="M290" s="47"/>
      <c r="T290" s="47"/>
      <c r="U290" s="47"/>
      <c r="V290" s="47"/>
    </row>
    <row r="291" spans="6:22" ht="15.75" customHeight="1">
      <c r="F291" s="47"/>
      <c r="I291" s="47"/>
      <c r="J291" s="47"/>
      <c r="L291" s="384"/>
      <c r="M291" s="47"/>
      <c r="T291" s="47"/>
      <c r="U291" s="47"/>
      <c r="V291" s="47"/>
    </row>
    <row r="292" spans="6:22" ht="15.75" customHeight="1">
      <c r="F292" s="47"/>
      <c r="I292" s="47"/>
      <c r="J292" s="47"/>
      <c r="L292" s="384"/>
      <c r="M292" s="47"/>
      <c r="T292" s="47"/>
      <c r="U292" s="47"/>
      <c r="V292" s="47"/>
    </row>
    <row r="293" spans="6:22" ht="15.75" customHeight="1">
      <c r="F293" s="47"/>
      <c r="I293" s="47"/>
      <c r="J293" s="47"/>
      <c r="L293" s="384"/>
      <c r="M293" s="47"/>
      <c r="T293" s="47"/>
      <c r="U293" s="47"/>
      <c r="V293" s="47"/>
    </row>
    <row r="294" spans="6:22" ht="15.75" customHeight="1">
      <c r="F294" s="47"/>
      <c r="I294" s="47"/>
      <c r="J294" s="47"/>
      <c r="L294" s="384"/>
      <c r="M294" s="47"/>
      <c r="T294" s="47"/>
      <c r="U294" s="47"/>
      <c r="V294" s="47"/>
    </row>
    <row r="295" spans="6:22" ht="15.75" customHeight="1">
      <c r="F295" s="47"/>
      <c r="I295" s="47"/>
      <c r="J295" s="47"/>
      <c r="L295" s="384"/>
      <c r="M295" s="47"/>
      <c r="T295" s="47"/>
      <c r="U295" s="47"/>
      <c r="V295" s="47"/>
    </row>
    <row r="296" spans="6:22" ht="15.75" customHeight="1">
      <c r="F296" s="47"/>
      <c r="I296" s="47"/>
      <c r="J296" s="47"/>
      <c r="L296" s="384"/>
      <c r="M296" s="47"/>
      <c r="T296" s="47"/>
      <c r="U296" s="47"/>
      <c r="V296" s="47"/>
    </row>
    <row r="297" spans="6:22" ht="15.75" customHeight="1">
      <c r="F297" s="47"/>
      <c r="I297" s="47"/>
      <c r="J297" s="47"/>
      <c r="L297" s="384"/>
      <c r="M297" s="47"/>
      <c r="T297" s="47"/>
      <c r="U297" s="47"/>
      <c r="V297" s="47"/>
    </row>
    <row r="298" spans="6:22" ht="15.75" customHeight="1">
      <c r="F298" s="47"/>
      <c r="I298" s="47"/>
      <c r="J298" s="47"/>
      <c r="L298" s="384"/>
      <c r="M298" s="47"/>
      <c r="T298" s="47"/>
      <c r="U298" s="47"/>
      <c r="V298" s="47"/>
    </row>
    <row r="299" spans="6:22" ht="15.75" customHeight="1">
      <c r="F299" s="47"/>
      <c r="I299" s="47"/>
      <c r="J299" s="47"/>
      <c r="L299" s="384"/>
      <c r="M299" s="47"/>
      <c r="T299" s="47"/>
      <c r="U299" s="47"/>
      <c r="V299" s="47"/>
    </row>
    <row r="300" spans="6:22" ht="15.75" customHeight="1">
      <c r="F300" s="47"/>
      <c r="I300" s="47"/>
      <c r="J300" s="47"/>
      <c r="L300" s="384"/>
      <c r="M300" s="47"/>
      <c r="T300" s="47"/>
      <c r="U300" s="47"/>
      <c r="V300" s="47"/>
    </row>
    <row r="301" spans="6:22" ht="15.75" customHeight="1">
      <c r="F301" s="47"/>
      <c r="I301" s="47"/>
      <c r="J301" s="47"/>
      <c r="L301" s="384"/>
      <c r="M301" s="47"/>
      <c r="T301" s="47"/>
      <c r="U301" s="47"/>
      <c r="V301" s="47"/>
    </row>
    <row r="302" spans="6:22" ht="15.75" customHeight="1">
      <c r="F302" s="47"/>
      <c r="I302" s="47"/>
      <c r="J302" s="47"/>
      <c r="L302" s="384"/>
      <c r="M302" s="47"/>
      <c r="T302" s="47"/>
      <c r="U302" s="47"/>
      <c r="V302" s="47"/>
    </row>
    <row r="303" spans="6:22" ht="15.75" customHeight="1">
      <c r="F303" s="47"/>
      <c r="I303" s="47"/>
      <c r="J303" s="47"/>
      <c r="L303" s="384"/>
      <c r="M303" s="47"/>
      <c r="T303" s="47"/>
      <c r="U303" s="47"/>
      <c r="V303" s="47"/>
    </row>
    <row r="304" spans="6:22" ht="15.75" customHeight="1">
      <c r="F304" s="47"/>
      <c r="I304" s="47"/>
      <c r="J304" s="47"/>
      <c r="L304" s="384"/>
      <c r="M304" s="47"/>
      <c r="T304" s="47"/>
      <c r="U304" s="47"/>
      <c r="V304" s="47"/>
    </row>
    <row r="305" spans="6:22" ht="15.75" customHeight="1">
      <c r="F305" s="47"/>
      <c r="I305" s="47"/>
      <c r="J305" s="47"/>
      <c r="L305" s="384"/>
      <c r="M305" s="47"/>
      <c r="T305" s="47"/>
      <c r="U305" s="47"/>
      <c r="V305" s="47"/>
    </row>
    <row r="306" spans="6:22" ht="15.75" customHeight="1">
      <c r="F306" s="47"/>
      <c r="I306" s="47"/>
      <c r="J306" s="47"/>
      <c r="L306" s="384"/>
      <c r="M306" s="47"/>
      <c r="T306" s="47"/>
      <c r="U306" s="47"/>
      <c r="V306" s="47"/>
    </row>
    <row r="307" spans="6:22" ht="15.75" customHeight="1">
      <c r="F307" s="47"/>
      <c r="I307" s="47"/>
      <c r="J307" s="47"/>
      <c r="L307" s="384"/>
      <c r="M307" s="47"/>
      <c r="T307" s="47"/>
      <c r="U307" s="47"/>
      <c r="V307" s="47"/>
    </row>
    <row r="308" spans="6:22" ht="15.75" customHeight="1">
      <c r="F308" s="47"/>
      <c r="I308" s="47"/>
      <c r="J308" s="47"/>
      <c r="L308" s="384"/>
      <c r="M308" s="47"/>
      <c r="T308" s="47"/>
      <c r="U308" s="47"/>
      <c r="V308" s="47"/>
    </row>
    <row r="309" spans="6:22" ht="15.75" customHeight="1">
      <c r="F309" s="47"/>
      <c r="I309" s="47"/>
      <c r="J309" s="47"/>
      <c r="L309" s="384"/>
      <c r="M309" s="47"/>
      <c r="T309" s="47"/>
      <c r="U309" s="47"/>
      <c r="V309" s="47"/>
    </row>
    <row r="310" spans="6:22" ht="15.75" customHeight="1">
      <c r="F310" s="47"/>
      <c r="I310" s="47"/>
      <c r="J310" s="47"/>
      <c r="L310" s="384"/>
      <c r="M310" s="47"/>
      <c r="T310" s="47"/>
      <c r="U310" s="47"/>
      <c r="V310" s="47"/>
    </row>
    <row r="311" spans="6:22" ht="15.75" customHeight="1">
      <c r="F311" s="47"/>
      <c r="I311" s="47"/>
      <c r="J311" s="47"/>
      <c r="L311" s="384"/>
      <c r="M311" s="47"/>
      <c r="T311" s="47"/>
      <c r="U311" s="47"/>
      <c r="V311" s="47"/>
    </row>
    <row r="312" spans="6:22" ht="15.75" customHeight="1">
      <c r="F312" s="47"/>
      <c r="I312" s="47"/>
      <c r="J312" s="47"/>
      <c r="L312" s="384"/>
      <c r="M312" s="47"/>
      <c r="T312" s="47"/>
      <c r="U312" s="47"/>
      <c r="V312" s="47"/>
    </row>
    <row r="313" spans="6:22" ht="15.75" customHeight="1">
      <c r="F313" s="47"/>
      <c r="I313" s="47"/>
      <c r="J313" s="47"/>
      <c r="L313" s="384"/>
      <c r="M313" s="47"/>
      <c r="T313" s="47"/>
      <c r="U313" s="47"/>
      <c r="V313" s="47"/>
    </row>
    <row r="314" spans="6:22" ht="15.75" customHeight="1">
      <c r="F314" s="47"/>
      <c r="I314" s="47"/>
      <c r="J314" s="47"/>
      <c r="L314" s="384"/>
      <c r="M314" s="47"/>
      <c r="T314" s="47"/>
      <c r="U314" s="47"/>
      <c r="V314" s="47"/>
    </row>
    <row r="315" spans="6:22" ht="15.75" customHeight="1">
      <c r="F315" s="47"/>
      <c r="I315" s="47"/>
      <c r="J315" s="47"/>
      <c r="L315" s="384"/>
      <c r="M315" s="47"/>
      <c r="T315" s="47"/>
      <c r="U315" s="47"/>
      <c r="V315" s="47"/>
    </row>
    <row r="316" spans="6:22" ht="15.75" customHeight="1">
      <c r="F316" s="47"/>
      <c r="I316" s="47"/>
      <c r="J316" s="47"/>
      <c r="L316" s="384"/>
      <c r="M316" s="47"/>
      <c r="T316" s="47"/>
      <c r="U316" s="47"/>
      <c r="V316" s="47"/>
    </row>
    <row r="317" spans="6:22" ht="15.75" customHeight="1">
      <c r="F317" s="47"/>
      <c r="I317" s="47"/>
      <c r="J317" s="47"/>
      <c r="L317" s="384"/>
      <c r="M317" s="47"/>
      <c r="T317" s="47"/>
      <c r="U317" s="47"/>
      <c r="V317" s="47"/>
    </row>
    <row r="318" spans="6:22" ht="15.75" customHeight="1">
      <c r="F318" s="47"/>
      <c r="I318" s="47"/>
      <c r="J318" s="47"/>
      <c r="L318" s="384"/>
      <c r="M318" s="47"/>
      <c r="T318" s="47"/>
      <c r="U318" s="47"/>
      <c r="V318" s="47"/>
    </row>
    <row r="319" spans="6:22" ht="15.75" customHeight="1">
      <c r="F319" s="47"/>
      <c r="I319" s="47"/>
      <c r="J319" s="47"/>
      <c r="L319" s="384"/>
      <c r="M319" s="47"/>
      <c r="T319" s="47"/>
      <c r="U319" s="47"/>
      <c r="V319" s="47"/>
    </row>
    <row r="320" spans="6:22" ht="15.75" customHeight="1">
      <c r="F320" s="47"/>
      <c r="I320" s="47"/>
      <c r="J320" s="47"/>
      <c r="L320" s="384"/>
      <c r="M320" s="47"/>
      <c r="T320" s="47"/>
      <c r="U320" s="47"/>
      <c r="V320" s="47"/>
    </row>
    <row r="321" spans="6:22" ht="15.75" customHeight="1">
      <c r="F321" s="47"/>
      <c r="I321" s="47"/>
      <c r="J321" s="47"/>
      <c r="L321" s="384"/>
      <c r="M321" s="47"/>
      <c r="T321" s="47"/>
      <c r="U321" s="47"/>
      <c r="V321" s="47"/>
    </row>
    <row r="322" spans="6:22" ht="15.75" customHeight="1">
      <c r="F322" s="47"/>
      <c r="I322" s="47"/>
      <c r="J322" s="47"/>
      <c r="L322" s="384"/>
      <c r="M322" s="47"/>
      <c r="T322" s="47"/>
      <c r="U322" s="47"/>
      <c r="V322" s="47"/>
    </row>
    <row r="323" spans="6:22" ht="15.75" customHeight="1">
      <c r="F323" s="47"/>
      <c r="I323" s="47"/>
      <c r="J323" s="47"/>
      <c r="L323" s="384"/>
      <c r="M323" s="47"/>
      <c r="T323" s="47"/>
      <c r="U323" s="47"/>
      <c r="V323" s="47"/>
    </row>
    <row r="324" spans="6:22" ht="15.75" customHeight="1">
      <c r="F324" s="47"/>
      <c r="I324" s="47"/>
      <c r="J324" s="47"/>
      <c r="L324" s="384"/>
      <c r="M324" s="47"/>
      <c r="T324" s="47"/>
      <c r="U324" s="47"/>
      <c r="V324" s="47"/>
    </row>
    <row r="325" spans="6:22" ht="15.75" customHeight="1">
      <c r="F325" s="47"/>
      <c r="I325" s="47"/>
      <c r="J325" s="47"/>
      <c r="L325" s="384"/>
      <c r="M325" s="47"/>
      <c r="T325" s="47"/>
      <c r="U325" s="47"/>
      <c r="V325" s="47"/>
    </row>
    <row r="326" spans="6:22" ht="15.75" customHeight="1">
      <c r="F326" s="47"/>
      <c r="I326" s="47"/>
      <c r="J326" s="47"/>
      <c r="L326" s="384"/>
      <c r="M326" s="47"/>
      <c r="T326" s="47"/>
      <c r="U326" s="47"/>
      <c r="V326" s="47"/>
    </row>
    <row r="327" spans="6:22" ht="15.75" customHeight="1">
      <c r="F327" s="47"/>
      <c r="I327" s="47"/>
      <c r="J327" s="47"/>
      <c r="L327" s="384"/>
      <c r="M327" s="47"/>
      <c r="T327" s="47"/>
      <c r="U327" s="47"/>
      <c r="V327" s="47"/>
    </row>
    <row r="328" spans="6:22" ht="15.75" customHeight="1">
      <c r="F328" s="47"/>
      <c r="I328" s="47"/>
      <c r="J328" s="47"/>
      <c r="L328" s="384"/>
      <c r="M328" s="47"/>
      <c r="T328" s="47"/>
      <c r="U328" s="47"/>
      <c r="V328" s="47"/>
    </row>
    <row r="329" spans="6:22" ht="15.75" customHeight="1">
      <c r="F329" s="47"/>
      <c r="I329" s="47"/>
      <c r="J329" s="47"/>
      <c r="L329" s="384"/>
      <c r="M329" s="47"/>
      <c r="T329" s="47"/>
      <c r="U329" s="47"/>
      <c r="V329" s="47"/>
    </row>
    <row r="330" spans="6:22" ht="15.75" customHeight="1">
      <c r="F330" s="47"/>
      <c r="I330" s="47"/>
      <c r="J330" s="47"/>
      <c r="L330" s="384"/>
      <c r="M330" s="47"/>
      <c r="T330" s="47"/>
      <c r="U330" s="47"/>
      <c r="V330" s="47"/>
    </row>
    <row r="331" spans="6:22" ht="15.75" customHeight="1">
      <c r="F331" s="47"/>
      <c r="I331" s="47"/>
      <c r="J331" s="47"/>
      <c r="L331" s="384"/>
      <c r="M331" s="47"/>
      <c r="T331" s="47"/>
      <c r="U331" s="47"/>
      <c r="V331" s="47"/>
    </row>
    <row r="332" spans="6:22" ht="15.75" customHeight="1">
      <c r="F332" s="47"/>
      <c r="I332" s="47"/>
      <c r="J332" s="47"/>
      <c r="L332" s="384"/>
      <c r="M332" s="47"/>
      <c r="T332" s="47"/>
      <c r="U332" s="47"/>
      <c r="V332" s="47"/>
    </row>
    <row r="333" spans="6:22" ht="15.75" customHeight="1">
      <c r="F333" s="47"/>
      <c r="I333" s="47"/>
      <c r="J333" s="47"/>
      <c r="L333" s="384"/>
      <c r="M333" s="47"/>
      <c r="T333" s="47"/>
      <c r="U333" s="47"/>
      <c r="V333" s="47"/>
    </row>
    <row r="334" spans="6:22" ht="15.75" customHeight="1">
      <c r="F334" s="47"/>
      <c r="I334" s="47"/>
      <c r="J334" s="47"/>
      <c r="L334" s="384"/>
      <c r="M334" s="47"/>
      <c r="T334" s="47"/>
      <c r="U334" s="47"/>
      <c r="V334" s="47"/>
    </row>
    <row r="335" spans="6:22" ht="15.75" customHeight="1">
      <c r="F335" s="47"/>
      <c r="I335" s="47"/>
      <c r="J335" s="47"/>
      <c r="L335" s="384"/>
      <c r="M335" s="47"/>
      <c r="T335" s="47"/>
      <c r="U335" s="47"/>
      <c r="V335" s="47"/>
    </row>
    <row r="336" spans="6:22" ht="15.75" customHeight="1">
      <c r="F336" s="47"/>
      <c r="I336" s="47"/>
      <c r="J336" s="47"/>
      <c r="L336" s="384"/>
      <c r="M336" s="47"/>
      <c r="T336" s="47"/>
      <c r="U336" s="47"/>
      <c r="V336" s="47"/>
    </row>
    <row r="337" spans="6:22" ht="15.75" customHeight="1">
      <c r="F337" s="47"/>
      <c r="I337" s="47"/>
      <c r="J337" s="47"/>
      <c r="L337" s="384"/>
      <c r="M337" s="47"/>
      <c r="T337" s="47"/>
      <c r="U337" s="47"/>
      <c r="V337" s="47"/>
    </row>
    <row r="338" spans="6:22" ht="15.75" customHeight="1">
      <c r="F338" s="47"/>
      <c r="I338" s="47"/>
      <c r="J338" s="47"/>
      <c r="L338" s="384"/>
      <c r="M338" s="47"/>
      <c r="T338" s="47"/>
      <c r="U338" s="47"/>
      <c r="V338" s="47"/>
    </row>
    <row r="339" spans="6:22" ht="15.75" customHeight="1">
      <c r="F339" s="47"/>
      <c r="I339" s="47"/>
      <c r="J339" s="47"/>
      <c r="L339" s="384"/>
      <c r="M339" s="47"/>
      <c r="T339" s="47"/>
      <c r="U339" s="47"/>
      <c r="V339" s="47"/>
    </row>
    <row r="340" spans="6:22" ht="15.75" customHeight="1">
      <c r="F340" s="47"/>
      <c r="I340" s="47"/>
      <c r="J340" s="47"/>
      <c r="L340" s="384"/>
      <c r="M340" s="47"/>
      <c r="T340" s="47"/>
      <c r="U340" s="47"/>
      <c r="V340" s="47"/>
    </row>
    <row r="341" spans="6:22" ht="15.75" customHeight="1">
      <c r="F341" s="47"/>
      <c r="I341" s="47"/>
      <c r="J341" s="47"/>
      <c r="L341" s="384"/>
      <c r="M341" s="47"/>
      <c r="T341" s="47"/>
      <c r="U341" s="47"/>
      <c r="V341" s="47"/>
    </row>
    <row r="342" spans="6:22" ht="15.75" customHeight="1">
      <c r="F342" s="47"/>
      <c r="I342" s="47"/>
      <c r="J342" s="47"/>
      <c r="L342" s="384"/>
      <c r="M342" s="47"/>
      <c r="T342" s="47"/>
      <c r="U342" s="47"/>
      <c r="V342" s="47"/>
    </row>
    <row r="343" spans="6:22" ht="15.75" customHeight="1">
      <c r="F343" s="47"/>
      <c r="I343" s="47"/>
      <c r="J343" s="47"/>
      <c r="L343" s="384"/>
      <c r="M343" s="47"/>
      <c r="T343" s="47"/>
      <c r="U343" s="47"/>
      <c r="V343" s="47"/>
    </row>
    <row r="344" spans="6:22" ht="15.75" customHeight="1">
      <c r="F344" s="47"/>
      <c r="I344" s="47"/>
      <c r="J344" s="47"/>
      <c r="L344" s="384"/>
      <c r="M344" s="47"/>
      <c r="T344" s="47"/>
      <c r="U344" s="47"/>
      <c r="V344" s="47"/>
    </row>
    <row r="345" spans="6:22" ht="15.75" customHeight="1">
      <c r="F345" s="47"/>
      <c r="I345" s="47"/>
      <c r="J345" s="47"/>
      <c r="L345" s="384"/>
      <c r="M345" s="47"/>
      <c r="T345" s="47"/>
      <c r="U345" s="47"/>
      <c r="V345" s="47"/>
    </row>
    <row r="346" spans="6:22" ht="15.75" customHeight="1">
      <c r="F346" s="47"/>
      <c r="I346" s="47"/>
      <c r="J346" s="47"/>
      <c r="L346" s="384"/>
      <c r="M346" s="47"/>
      <c r="T346" s="47"/>
      <c r="U346" s="47"/>
      <c r="V346" s="47"/>
    </row>
    <row r="347" spans="6:22" ht="15.75" customHeight="1">
      <c r="F347" s="47"/>
      <c r="I347" s="47"/>
      <c r="J347" s="47"/>
      <c r="L347" s="384"/>
      <c r="M347" s="47"/>
      <c r="T347" s="47"/>
      <c r="U347" s="47"/>
      <c r="V347" s="47"/>
    </row>
    <row r="348" spans="6:22" ht="15.75" customHeight="1">
      <c r="F348" s="47"/>
      <c r="I348" s="47"/>
      <c r="J348" s="47"/>
      <c r="L348" s="384"/>
      <c r="M348" s="47"/>
      <c r="T348" s="47"/>
      <c r="U348" s="47"/>
      <c r="V348" s="47"/>
    </row>
    <row r="349" spans="6:22" ht="15.75" customHeight="1">
      <c r="F349" s="47"/>
      <c r="I349" s="47"/>
      <c r="J349" s="47"/>
      <c r="L349" s="384"/>
      <c r="M349" s="47"/>
      <c r="T349" s="47"/>
      <c r="U349" s="47"/>
      <c r="V349" s="47"/>
    </row>
    <row r="350" spans="6:22" ht="15.75" customHeight="1">
      <c r="F350" s="47"/>
      <c r="I350" s="47"/>
      <c r="J350" s="47"/>
      <c r="L350" s="384"/>
      <c r="M350" s="47"/>
      <c r="T350" s="47"/>
      <c r="U350" s="47"/>
      <c r="V350" s="47"/>
    </row>
    <row r="351" spans="6:22" ht="15.75" customHeight="1">
      <c r="F351" s="47"/>
      <c r="I351" s="47"/>
      <c r="J351" s="47"/>
      <c r="L351" s="384"/>
      <c r="M351" s="47"/>
      <c r="T351" s="47"/>
      <c r="U351" s="47"/>
      <c r="V351" s="47"/>
    </row>
    <row r="352" spans="6:22" ht="15.75" customHeight="1">
      <c r="F352" s="47"/>
      <c r="I352" s="47"/>
      <c r="J352" s="47"/>
      <c r="L352" s="384"/>
      <c r="M352" s="47"/>
      <c r="T352" s="47"/>
      <c r="U352" s="47"/>
      <c r="V352" s="47"/>
    </row>
    <row r="353" spans="6:22" ht="15.75" customHeight="1">
      <c r="F353" s="47"/>
      <c r="I353" s="47"/>
      <c r="J353" s="47"/>
      <c r="L353" s="384"/>
      <c r="M353" s="47"/>
      <c r="T353" s="47"/>
      <c r="U353" s="47"/>
      <c r="V353" s="47"/>
    </row>
    <row r="354" spans="6:22" ht="15.75" customHeight="1">
      <c r="F354" s="47"/>
      <c r="I354" s="47"/>
      <c r="J354" s="47"/>
      <c r="L354" s="384"/>
      <c r="M354" s="47"/>
      <c r="T354" s="47"/>
      <c r="U354" s="47"/>
      <c r="V354" s="47"/>
    </row>
    <row r="355" spans="6:22" ht="15.75" customHeight="1">
      <c r="F355" s="47"/>
      <c r="I355" s="47"/>
      <c r="J355" s="47"/>
      <c r="L355" s="384"/>
      <c r="M355" s="47"/>
      <c r="T355" s="47"/>
      <c r="U355" s="47"/>
      <c r="V355" s="47"/>
    </row>
    <row r="356" spans="6:22" ht="15.75" customHeight="1">
      <c r="F356" s="47"/>
      <c r="I356" s="47"/>
      <c r="J356" s="47"/>
      <c r="L356" s="384"/>
      <c r="M356" s="47"/>
      <c r="T356" s="47"/>
      <c r="U356" s="47"/>
      <c r="V356" s="47"/>
    </row>
    <row r="357" spans="6:22" ht="15.75" customHeight="1">
      <c r="F357" s="47"/>
      <c r="I357" s="47"/>
      <c r="J357" s="47"/>
      <c r="L357" s="384"/>
      <c r="M357" s="47"/>
      <c r="T357" s="47"/>
      <c r="U357" s="47"/>
      <c r="V357" s="47"/>
    </row>
    <row r="358" spans="6:22" ht="15.75" customHeight="1">
      <c r="F358" s="47"/>
      <c r="I358" s="47"/>
      <c r="J358" s="47"/>
      <c r="L358" s="384"/>
      <c r="M358" s="47"/>
      <c r="T358" s="47"/>
      <c r="U358" s="47"/>
      <c r="V358" s="47"/>
    </row>
    <row r="359" spans="6:22" ht="15.75" customHeight="1">
      <c r="F359" s="47"/>
      <c r="I359" s="47"/>
      <c r="J359" s="47"/>
      <c r="L359" s="384"/>
      <c r="M359" s="47"/>
      <c r="T359" s="47"/>
      <c r="U359" s="47"/>
      <c r="V359" s="47"/>
    </row>
    <row r="360" spans="6:22" ht="15.75" customHeight="1">
      <c r="F360" s="47"/>
      <c r="I360" s="47"/>
      <c r="J360" s="47"/>
      <c r="L360" s="384"/>
      <c r="M360" s="47"/>
      <c r="T360" s="47"/>
      <c r="U360" s="47"/>
      <c r="V360" s="47"/>
    </row>
    <row r="361" spans="6:22" ht="15.75" customHeight="1">
      <c r="F361" s="47"/>
      <c r="I361" s="47"/>
      <c r="J361" s="47"/>
      <c r="L361" s="384"/>
      <c r="M361" s="47"/>
      <c r="T361" s="47"/>
      <c r="U361" s="47"/>
      <c r="V361" s="47"/>
    </row>
    <row r="362" spans="6:22" ht="15.75" customHeight="1">
      <c r="F362" s="47"/>
      <c r="I362" s="47"/>
      <c r="J362" s="47"/>
      <c r="L362" s="384"/>
      <c r="M362" s="47"/>
      <c r="T362" s="47"/>
      <c r="U362" s="47"/>
      <c r="V362" s="47"/>
    </row>
    <row r="363" spans="6:22" ht="15.75" customHeight="1">
      <c r="F363" s="47"/>
      <c r="I363" s="47"/>
      <c r="J363" s="47"/>
      <c r="L363" s="384"/>
      <c r="M363" s="47"/>
      <c r="T363" s="47"/>
      <c r="U363" s="47"/>
      <c r="V363" s="47"/>
    </row>
    <row r="364" spans="6:22" ht="15.75" customHeight="1">
      <c r="F364" s="47"/>
      <c r="I364" s="47"/>
      <c r="J364" s="47"/>
      <c r="L364" s="384"/>
      <c r="M364" s="47"/>
      <c r="T364" s="47"/>
      <c r="U364" s="47"/>
      <c r="V364" s="47"/>
    </row>
    <row r="365" spans="6:22" ht="15.75" customHeight="1">
      <c r="F365" s="47"/>
      <c r="I365" s="47"/>
      <c r="J365" s="47"/>
      <c r="L365" s="384"/>
      <c r="M365" s="47"/>
      <c r="T365" s="47"/>
      <c r="U365" s="47"/>
      <c r="V365" s="47"/>
    </row>
    <row r="366" spans="6:22" ht="15.75" customHeight="1">
      <c r="F366" s="47"/>
      <c r="I366" s="47"/>
      <c r="J366" s="47"/>
      <c r="L366" s="384"/>
      <c r="M366" s="47"/>
      <c r="T366" s="47"/>
      <c r="U366" s="47"/>
      <c r="V366" s="47"/>
    </row>
    <row r="367" spans="6:22" ht="15.75" customHeight="1">
      <c r="F367" s="47"/>
      <c r="I367" s="47"/>
      <c r="J367" s="47"/>
      <c r="L367" s="384"/>
      <c r="M367" s="47"/>
      <c r="T367" s="47"/>
      <c r="U367" s="47"/>
      <c r="V367" s="47"/>
    </row>
    <row r="368" spans="6:22" ht="15.75" customHeight="1">
      <c r="F368" s="47"/>
      <c r="I368" s="47"/>
      <c r="J368" s="47"/>
      <c r="L368" s="384"/>
      <c r="M368" s="47"/>
      <c r="T368" s="47"/>
      <c r="U368" s="47"/>
      <c r="V368" s="47"/>
    </row>
    <row r="369" spans="6:22" ht="15.75" customHeight="1">
      <c r="F369" s="47"/>
      <c r="I369" s="47"/>
      <c r="J369" s="47"/>
      <c r="L369" s="384"/>
      <c r="M369" s="47"/>
      <c r="T369" s="47"/>
      <c r="U369" s="47"/>
      <c r="V369" s="47"/>
    </row>
    <row r="370" spans="6:22" ht="15.75" customHeight="1">
      <c r="F370" s="47"/>
      <c r="I370" s="47"/>
      <c r="J370" s="47"/>
      <c r="L370" s="384"/>
      <c r="M370" s="47"/>
      <c r="T370" s="47"/>
      <c r="U370" s="47"/>
      <c r="V370" s="47"/>
    </row>
    <row r="371" spans="6:22" ht="15.75" customHeight="1">
      <c r="F371" s="47"/>
      <c r="I371" s="47"/>
      <c r="J371" s="47"/>
      <c r="L371" s="384"/>
      <c r="M371" s="47"/>
      <c r="T371" s="47"/>
      <c r="U371" s="47"/>
      <c r="V371" s="47"/>
    </row>
    <row r="372" spans="6:22" ht="15.75" customHeight="1">
      <c r="F372" s="47"/>
      <c r="I372" s="47"/>
      <c r="J372" s="47"/>
      <c r="L372" s="384"/>
      <c r="M372" s="47"/>
      <c r="T372" s="47"/>
      <c r="U372" s="47"/>
      <c r="V372" s="47"/>
    </row>
    <row r="373" spans="6:22" ht="15.75" customHeight="1">
      <c r="F373" s="47"/>
      <c r="I373" s="47"/>
      <c r="J373" s="47"/>
      <c r="L373" s="384"/>
      <c r="M373" s="47"/>
      <c r="T373" s="47"/>
      <c r="U373" s="47"/>
      <c r="V373" s="47"/>
    </row>
    <row r="374" spans="6:22" ht="15.75" customHeight="1">
      <c r="F374" s="47"/>
      <c r="I374" s="47"/>
      <c r="J374" s="47"/>
      <c r="L374" s="384"/>
      <c r="M374" s="47"/>
      <c r="T374" s="47"/>
      <c r="U374" s="47"/>
      <c r="V374" s="47"/>
    </row>
    <row r="375" spans="6:22" ht="15.75" customHeight="1">
      <c r="F375" s="47"/>
      <c r="I375" s="47"/>
      <c r="J375" s="47"/>
      <c r="L375" s="384"/>
      <c r="M375" s="47"/>
      <c r="T375" s="47"/>
      <c r="U375" s="47"/>
      <c r="V375" s="47"/>
    </row>
    <row r="376" spans="6:22" ht="15.75" customHeight="1">
      <c r="F376" s="47"/>
      <c r="I376" s="47"/>
      <c r="J376" s="47"/>
      <c r="L376" s="384"/>
      <c r="M376" s="47"/>
      <c r="T376" s="47"/>
      <c r="U376" s="47"/>
      <c r="V376" s="47"/>
    </row>
    <row r="377" spans="6:22" ht="15.75" customHeight="1">
      <c r="F377" s="47"/>
      <c r="I377" s="47"/>
      <c r="J377" s="47"/>
      <c r="L377" s="384"/>
      <c r="M377" s="47"/>
      <c r="T377" s="47"/>
      <c r="U377" s="47"/>
      <c r="V377" s="47"/>
    </row>
    <row r="378" spans="6:22" ht="15.75" customHeight="1">
      <c r="F378" s="47"/>
      <c r="I378" s="47"/>
      <c r="J378" s="47"/>
      <c r="L378" s="384"/>
      <c r="M378" s="47"/>
      <c r="T378" s="47"/>
      <c r="U378" s="47"/>
      <c r="V378" s="47"/>
    </row>
    <row r="379" spans="6:22" ht="15.75" customHeight="1">
      <c r="F379" s="47"/>
      <c r="I379" s="47"/>
      <c r="J379" s="47"/>
      <c r="L379" s="384"/>
      <c r="M379" s="47"/>
      <c r="T379" s="47"/>
      <c r="U379" s="47"/>
      <c r="V379" s="47"/>
    </row>
    <row r="380" spans="6:22" ht="15.75" customHeight="1">
      <c r="F380" s="47"/>
      <c r="I380" s="47"/>
      <c r="J380" s="47"/>
      <c r="L380" s="384"/>
      <c r="M380" s="47"/>
      <c r="T380" s="47"/>
      <c r="U380" s="47"/>
      <c r="V380" s="47"/>
    </row>
    <row r="381" spans="6:22" ht="15.75" customHeight="1">
      <c r="F381" s="47"/>
      <c r="I381" s="47"/>
      <c r="J381" s="47"/>
      <c r="L381" s="384"/>
      <c r="M381" s="47"/>
      <c r="T381" s="47"/>
      <c r="U381" s="47"/>
      <c r="V381" s="47"/>
    </row>
    <row r="382" spans="6:22" ht="15.75" customHeight="1">
      <c r="F382" s="47"/>
      <c r="I382" s="47"/>
      <c r="J382" s="47"/>
      <c r="L382" s="384"/>
      <c r="M382" s="47"/>
      <c r="T382" s="47"/>
      <c r="U382" s="47"/>
      <c r="V382" s="47"/>
    </row>
    <row r="383" spans="6:22" ht="15.75" customHeight="1">
      <c r="F383" s="47"/>
      <c r="I383" s="47"/>
      <c r="J383" s="47"/>
      <c r="L383" s="384"/>
      <c r="M383" s="47"/>
      <c r="T383" s="47"/>
      <c r="U383" s="47"/>
      <c r="V383" s="47"/>
    </row>
    <row r="384" spans="6:22" ht="15.75" customHeight="1">
      <c r="F384" s="47"/>
      <c r="I384" s="47"/>
      <c r="J384" s="47"/>
      <c r="L384" s="384"/>
      <c r="M384" s="47"/>
      <c r="T384" s="47"/>
      <c r="U384" s="47"/>
      <c r="V384" s="47"/>
    </row>
    <row r="385" spans="6:22" ht="15.75" customHeight="1">
      <c r="F385" s="47"/>
      <c r="I385" s="47"/>
      <c r="J385" s="47"/>
      <c r="L385" s="384"/>
      <c r="M385" s="47"/>
      <c r="T385" s="47"/>
      <c r="U385" s="47"/>
      <c r="V385" s="47"/>
    </row>
    <row r="386" spans="6:22" ht="15.75" customHeight="1">
      <c r="F386" s="47"/>
      <c r="I386" s="47"/>
      <c r="J386" s="47"/>
      <c r="L386" s="384"/>
      <c r="M386" s="47"/>
      <c r="T386" s="47"/>
      <c r="U386" s="47"/>
      <c r="V386" s="47"/>
    </row>
    <row r="387" spans="6:22" ht="15.75" customHeight="1">
      <c r="F387" s="47"/>
      <c r="I387" s="47"/>
      <c r="J387" s="47"/>
      <c r="L387" s="384"/>
      <c r="M387" s="47"/>
      <c r="T387" s="47"/>
      <c r="U387" s="47"/>
      <c r="V387" s="47"/>
    </row>
    <row r="388" spans="6:22" ht="15.75" customHeight="1">
      <c r="F388" s="47"/>
      <c r="I388" s="47"/>
      <c r="J388" s="47"/>
      <c r="L388" s="384"/>
      <c r="M388" s="47"/>
      <c r="T388" s="47"/>
      <c r="U388" s="47"/>
      <c r="V388" s="47"/>
    </row>
    <row r="389" spans="6:22" ht="15.75" customHeight="1">
      <c r="F389" s="47"/>
      <c r="I389" s="47"/>
      <c r="J389" s="47"/>
      <c r="L389" s="384"/>
      <c r="M389" s="47"/>
      <c r="T389" s="47"/>
      <c r="U389" s="47"/>
      <c r="V389" s="47"/>
    </row>
    <row r="390" spans="6:22" ht="15.75" customHeight="1">
      <c r="F390" s="47"/>
      <c r="I390" s="47"/>
      <c r="J390" s="47"/>
      <c r="L390" s="384"/>
      <c r="M390" s="47"/>
      <c r="T390" s="47"/>
      <c r="U390" s="47"/>
      <c r="V390" s="47"/>
    </row>
    <row r="391" spans="6:22" ht="15.75" customHeight="1">
      <c r="F391" s="47"/>
      <c r="I391" s="47"/>
      <c r="J391" s="47"/>
      <c r="L391" s="384"/>
      <c r="M391" s="47"/>
      <c r="T391" s="47"/>
      <c r="U391" s="47"/>
      <c r="V391" s="47"/>
    </row>
    <row r="392" spans="6:22" ht="15.75" customHeight="1">
      <c r="F392" s="47"/>
      <c r="I392" s="47"/>
      <c r="J392" s="47"/>
      <c r="L392" s="384"/>
      <c r="M392" s="47"/>
      <c r="T392" s="47"/>
      <c r="U392" s="47"/>
      <c r="V392" s="47"/>
    </row>
    <row r="393" spans="6:22" ht="15.75" customHeight="1">
      <c r="F393" s="47"/>
      <c r="I393" s="47"/>
      <c r="J393" s="47"/>
      <c r="L393" s="384"/>
      <c r="M393" s="47"/>
      <c r="T393" s="47"/>
      <c r="U393" s="47"/>
      <c r="V393" s="47"/>
    </row>
    <row r="394" spans="6:22" ht="15.75" customHeight="1">
      <c r="F394" s="47"/>
      <c r="I394" s="47"/>
      <c r="J394" s="47"/>
      <c r="L394" s="384"/>
      <c r="M394" s="47"/>
      <c r="T394" s="47"/>
      <c r="U394" s="47"/>
      <c r="V394" s="47"/>
    </row>
    <row r="395" spans="6:22" ht="15.75" customHeight="1">
      <c r="F395" s="47"/>
      <c r="I395" s="47"/>
      <c r="J395" s="47"/>
      <c r="L395" s="384"/>
      <c r="M395" s="47"/>
      <c r="T395" s="47"/>
      <c r="U395" s="47"/>
      <c r="V395" s="47"/>
    </row>
    <row r="396" spans="6:22" ht="15.75" customHeight="1">
      <c r="F396" s="47"/>
      <c r="I396" s="47"/>
      <c r="J396" s="47"/>
      <c r="L396" s="384"/>
      <c r="M396" s="47"/>
      <c r="T396" s="47"/>
      <c r="U396" s="47"/>
      <c r="V396" s="47"/>
    </row>
    <row r="397" spans="6:22" ht="15.75" customHeight="1">
      <c r="F397" s="47"/>
      <c r="I397" s="47"/>
      <c r="J397" s="47"/>
      <c r="L397" s="384"/>
      <c r="M397" s="47"/>
      <c r="T397" s="47"/>
      <c r="U397" s="47"/>
      <c r="V397" s="47"/>
    </row>
    <row r="398" spans="6:22" ht="15.75" customHeight="1">
      <c r="F398" s="47"/>
      <c r="I398" s="47"/>
      <c r="J398" s="47"/>
      <c r="L398" s="384"/>
      <c r="M398" s="47"/>
      <c r="T398" s="47"/>
      <c r="U398" s="47"/>
      <c r="V398" s="47"/>
    </row>
    <row r="399" spans="6:22" ht="15.75" customHeight="1">
      <c r="F399" s="47"/>
      <c r="I399" s="47"/>
      <c r="J399" s="47"/>
      <c r="L399" s="384"/>
      <c r="M399" s="47"/>
      <c r="T399" s="47"/>
      <c r="U399" s="47"/>
      <c r="V399" s="47"/>
    </row>
    <row r="400" spans="6:22" ht="15.75" customHeight="1">
      <c r="F400" s="47"/>
      <c r="I400" s="47"/>
      <c r="J400" s="47"/>
      <c r="L400" s="384"/>
      <c r="M400" s="47"/>
      <c r="T400" s="47"/>
      <c r="U400" s="47"/>
      <c r="V400" s="47"/>
    </row>
    <row r="401" spans="6:22" ht="15.75" customHeight="1">
      <c r="F401" s="47"/>
      <c r="I401" s="47"/>
      <c r="J401" s="47"/>
      <c r="L401" s="384"/>
      <c r="M401" s="47"/>
      <c r="T401" s="47"/>
      <c r="U401" s="47"/>
      <c r="V401" s="47"/>
    </row>
    <row r="402" spans="6:22" ht="15.75" customHeight="1">
      <c r="F402" s="47"/>
      <c r="I402" s="47"/>
      <c r="J402" s="47"/>
      <c r="L402" s="384"/>
      <c r="M402" s="47"/>
      <c r="T402" s="47"/>
      <c r="U402" s="47"/>
      <c r="V402" s="47"/>
    </row>
    <row r="403" spans="6:22" ht="15.75" customHeight="1">
      <c r="F403" s="47"/>
      <c r="I403" s="47"/>
      <c r="J403" s="47"/>
      <c r="L403" s="384"/>
      <c r="M403" s="47"/>
      <c r="T403" s="47"/>
      <c r="U403" s="47"/>
      <c r="V403" s="47"/>
    </row>
    <row r="404" spans="6:22" ht="15.75" customHeight="1">
      <c r="F404" s="47"/>
      <c r="I404" s="47"/>
      <c r="J404" s="47"/>
      <c r="L404" s="384"/>
      <c r="M404" s="47"/>
      <c r="T404" s="47"/>
      <c r="U404" s="47"/>
      <c r="V404" s="47"/>
    </row>
    <row r="405" spans="6:22" ht="15.75" customHeight="1">
      <c r="F405" s="47"/>
      <c r="I405" s="47"/>
      <c r="J405" s="47"/>
      <c r="L405" s="384"/>
      <c r="M405" s="47"/>
      <c r="T405" s="47"/>
      <c r="U405" s="47"/>
      <c r="V405" s="47"/>
    </row>
    <row r="406" spans="6:22" ht="15.75" customHeight="1">
      <c r="F406" s="47"/>
      <c r="I406" s="47"/>
      <c r="J406" s="47"/>
      <c r="L406" s="384"/>
      <c r="M406" s="47"/>
      <c r="T406" s="47"/>
      <c r="U406" s="47"/>
      <c r="V406" s="47"/>
    </row>
    <row r="407" spans="6:22" ht="15.75" customHeight="1">
      <c r="F407" s="47"/>
      <c r="I407" s="47"/>
      <c r="J407" s="47"/>
      <c r="L407" s="384"/>
      <c r="M407" s="47"/>
      <c r="T407" s="47"/>
      <c r="U407" s="47"/>
      <c r="V407" s="47"/>
    </row>
    <row r="408" spans="6:22" ht="15.75" customHeight="1">
      <c r="F408" s="47"/>
      <c r="I408" s="47"/>
      <c r="J408" s="47"/>
      <c r="L408" s="384"/>
      <c r="M408" s="47"/>
      <c r="T408" s="47"/>
      <c r="U408" s="47"/>
      <c r="V408" s="47"/>
    </row>
    <row r="409" spans="6:22" ht="15.75" customHeight="1">
      <c r="F409" s="47"/>
      <c r="I409" s="47"/>
      <c r="J409" s="47"/>
      <c r="L409" s="384"/>
      <c r="M409" s="47"/>
      <c r="T409" s="47"/>
      <c r="U409" s="47"/>
      <c r="V409" s="47"/>
    </row>
    <row r="410" spans="6:22" ht="15.75" customHeight="1">
      <c r="F410" s="47"/>
      <c r="I410" s="47"/>
      <c r="J410" s="47"/>
      <c r="L410" s="384"/>
      <c r="M410" s="47"/>
      <c r="T410" s="47"/>
      <c r="U410" s="47"/>
      <c r="V410" s="47"/>
    </row>
    <row r="411" spans="6:22" ht="15.75" customHeight="1">
      <c r="F411" s="47"/>
      <c r="I411" s="47"/>
      <c r="J411" s="47"/>
      <c r="L411" s="384"/>
      <c r="M411" s="47"/>
      <c r="T411" s="47"/>
      <c r="U411" s="47"/>
      <c r="V411" s="47"/>
    </row>
    <row r="412" spans="6:22" ht="15.75" customHeight="1">
      <c r="F412" s="47"/>
      <c r="I412" s="47"/>
      <c r="J412" s="47"/>
      <c r="L412" s="384"/>
      <c r="M412" s="47"/>
      <c r="T412" s="47"/>
      <c r="U412" s="47"/>
      <c r="V412" s="47"/>
    </row>
    <row r="413" spans="6:22" ht="15.75" customHeight="1">
      <c r="F413" s="47"/>
      <c r="I413" s="47"/>
      <c r="J413" s="47"/>
      <c r="L413" s="384"/>
      <c r="M413" s="47"/>
      <c r="T413" s="47"/>
      <c r="U413" s="47"/>
      <c r="V413" s="47"/>
    </row>
    <row r="414" spans="6:22" ht="15.75" customHeight="1">
      <c r="F414" s="47"/>
      <c r="I414" s="47"/>
      <c r="J414" s="47"/>
      <c r="L414" s="384"/>
      <c r="M414" s="47"/>
      <c r="T414" s="47"/>
      <c r="U414" s="47"/>
      <c r="V414" s="47"/>
    </row>
    <row r="415" spans="6:22" ht="15.75" customHeight="1">
      <c r="F415" s="47"/>
      <c r="I415" s="47"/>
      <c r="J415" s="47"/>
      <c r="L415" s="384"/>
      <c r="M415" s="47"/>
      <c r="T415" s="47"/>
      <c r="U415" s="47"/>
      <c r="V415" s="47"/>
    </row>
    <row r="416" spans="6:22" ht="15.75" customHeight="1">
      <c r="F416" s="47"/>
      <c r="I416" s="47"/>
      <c r="J416" s="47"/>
      <c r="L416" s="384"/>
      <c r="M416" s="47"/>
      <c r="T416" s="47"/>
      <c r="U416" s="47"/>
      <c r="V416" s="47"/>
    </row>
    <row r="417" spans="6:22" ht="15.75" customHeight="1">
      <c r="F417" s="47"/>
      <c r="I417" s="47"/>
      <c r="J417" s="47"/>
      <c r="L417" s="384"/>
      <c r="M417" s="47"/>
      <c r="T417" s="47"/>
      <c r="U417" s="47"/>
      <c r="V417" s="47"/>
    </row>
    <row r="418" spans="6:22" ht="15.75" customHeight="1">
      <c r="F418" s="47"/>
      <c r="I418" s="47"/>
      <c r="J418" s="47"/>
      <c r="L418" s="384"/>
      <c r="M418" s="47"/>
      <c r="T418" s="47"/>
      <c r="U418" s="47"/>
      <c r="V418" s="47"/>
    </row>
    <row r="419" spans="6:22" ht="15.75" customHeight="1">
      <c r="F419" s="47"/>
      <c r="I419" s="47"/>
      <c r="J419" s="47"/>
      <c r="L419" s="384"/>
      <c r="M419" s="47"/>
      <c r="T419" s="47"/>
      <c r="U419" s="47"/>
      <c r="V419" s="47"/>
    </row>
    <row r="420" spans="6:22" ht="15.75" customHeight="1">
      <c r="F420" s="47"/>
      <c r="I420" s="47"/>
      <c r="J420" s="47"/>
      <c r="L420" s="384"/>
      <c r="M420" s="47"/>
      <c r="T420" s="47"/>
      <c r="U420" s="47"/>
      <c r="V420" s="47"/>
    </row>
    <row r="421" spans="6:22" ht="15.75" customHeight="1">
      <c r="F421" s="47"/>
      <c r="I421" s="47"/>
      <c r="J421" s="47"/>
      <c r="L421" s="384"/>
      <c r="M421" s="47"/>
      <c r="T421" s="47"/>
      <c r="U421" s="47"/>
      <c r="V421" s="47"/>
    </row>
    <row r="422" spans="6:22" ht="15.75" customHeight="1">
      <c r="F422" s="47"/>
      <c r="I422" s="47"/>
      <c r="J422" s="47"/>
      <c r="L422" s="384"/>
      <c r="M422" s="47"/>
      <c r="T422" s="47"/>
      <c r="U422" s="47"/>
      <c r="V422" s="47"/>
    </row>
    <row r="423" spans="6:22" ht="15.75" customHeight="1">
      <c r="F423" s="47"/>
      <c r="I423" s="47"/>
      <c r="J423" s="47"/>
      <c r="L423" s="384"/>
      <c r="M423" s="47"/>
      <c r="T423" s="47"/>
      <c r="U423" s="47"/>
      <c r="V423" s="47"/>
    </row>
    <row r="424" spans="6:22" ht="15.75" customHeight="1">
      <c r="F424" s="47"/>
      <c r="I424" s="47"/>
      <c r="J424" s="47"/>
      <c r="L424" s="384"/>
      <c r="M424" s="47"/>
      <c r="T424" s="47"/>
      <c r="U424" s="47"/>
      <c r="V424" s="47"/>
    </row>
    <row r="425" spans="6:22" ht="15.75" customHeight="1">
      <c r="F425" s="47"/>
      <c r="I425" s="47"/>
      <c r="J425" s="47"/>
      <c r="L425" s="384"/>
      <c r="M425" s="47"/>
      <c r="T425" s="47"/>
      <c r="U425" s="47"/>
      <c r="V425" s="47"/>
    </row>
    <row r="426" spans="6:22" ht="15.75" customHeight="1">
      <c r="F426" s="47"/>
      <c r="I426" s="47"/>
      <c r="J426" s="47"/>
      <c r="L426" s="384"/>
      <c r="M426" s="47"/>
      <c r="T426" s="47"/>
      <c r="U426" s="47"/>
      <c r="V426" s="47"/>
    </row>
    <row r="427" spans="6:22" ht="15.75" customHeight="1">
      <c r="F427" s="47"/>
      <c r="I427" s="47"/>
      <c r="J427" s="47"/>
      <c r="L427" s="384"/>
      <c r="M427" s="47"/>
      <c r="T427" s="47"/>
      <c r="U427" s="47"/>
      <c r="V427" s="47"/>
    </row>
    <row r="428" spans="6:22" ht="15.75" customHeight="1">
      <c r="F428" s="47"/>
      <c r="I428" s="47"/>
      <c r="J428" s="47"/>
      <c r="L428" s="384"/>
      <c r="M428" s="47"/>
      <c r="T428" s="47"/>
      <c r="U428" s="47"/>
      <c r="V428" s="47"/>
    </row>
    <row r="429" spans="6:22" ht="15.75" customHeight="1">
      <c r="F429" s="47"/>
      <c r="I429" s="47"/>
      <c r="J429" s="47"/>
      <c r="L429" s="384"/>
      <c r="M429" s="47"/>
      <c r="T429" s="47"/>
      <c r="U429" s="47"/>
      <c r="V429" s="47"/>
    </row>
    <row r="430" spans="6:22" ht="15.75" customHeight="1">
      <c r="F430" s="47"/>
      <c r="I430" s="47"/>
      <c r="J430" s="47"/>
      <c r="L430" s="384"/>
      <c r="M430" s="47"/>
      <c r="T430" s="47"/>
      <c r="U430" s="47"/>
      <c r="V430" s="47"/>
    </row>
    <row r="431" spans="6:22" ht="15.75" customHeight="1">
      <c r="F431" s="47"/>
      <c r="I431" s="47"/>
      <c r="J431" s="47"/>
      <c r="L431" s="384"/>
      <c r="M431" s="47"/>
      <c r="T431" s="47"/>
      <c r="U431" s="47"/>
      <c r="V431" s="47"/>
    </row>
    <row r="432" spans="6:22" ht="15.75" customHeight="1">
      <c r="F432" s="47"/>
      <c r="I432" s="47"/>
      <c r="J432" s="47"/>
      <c r="L432" s="384"/>
      <c r="M432" s="47"/>
      <c r="T432" s="47"/>
      <c r="U432" s="47"/>
      <c r="V432" s="47"/>
    </row>
    <row r="433" spans="6:22" ht="15.75" customHeight="1">
      <c r="F433" s="47"/>
      <c r="I433" s="47"/>
      <c r="J433" s="47"/>
      <c r="L433" s="384"/>
      <c r="M433" s="47"/>
      <c r="T433" s="47"/>
      <c r="U433" s="47"/>
      <c r="V433" s="47"/>
    </row>
    <row r="434" spans="6:22" ht="15.75" customHeight="1">
      <c r="F434" s="47"/>
      <c r="I434" s="47"/>
      <c r="J434" s="47"/>
      <c r="L434" s="384"/>
      <c r="M434" s="47"/>
      <c r="T434" s="47"/>
      <c r="U434" s="47"/>
      <c r="V434" s="47"/>
    </row>
    <row r="435" spans="6:22" ht="15.75" customHeight="1">
      <c r="F435" s="47"/>
      <c r="I435" s="47"/>
      <c r="J435" s="47"/>
      <c r="L435" s="384"/>
      <c r="M435" s="47"/>
      <c r="T435" s="47"/>
      <c r="U435" s="47"/>
      <c r="V435" s="47"/>
    </row>
    <row r="436" spans="6:22" ht="15.75" customHeight="1">
      <c r="F436" s="47"/>
      <c r="I436" s="47"/>
      <c r="J436" s="47"/>
      <c r="L436" s="384"/>
      <c r="M436" s="47"/>
      <c r="T436" s="47"/>
      <c r="U436" s="47"/>
      <c r="V436" s="47"/>
    </row>
    <row r="437" spans="6:22" ht="15.75" customHeight="1">
      <c r="F437" s="47"/>
      <c r="I437" s="47"/>
      <c r="J437" s="47"/>
      <c r="L437" s="384"/>
      <c r="M437" s="47"/>
      <c r="T437" s="47"/>
      <c r="U437" s="47"/>
      <c r="V437" s="47"/>
    </row>
    <row r="438" spans="6:22" ht="15.75" customHeight="1">
      <c r="F438" s="47"/>
      <c r="I438" s="47"/>
      <c r="J438" s="47"/>
      <c r="L438" s="384"/>
      <c r="M438" s="47"/>
      <c r="T438" s="47"/>
      <c r="U438" s="47"/>
      <c r="V438" s="47"/>
    </row>
    <row r="439" spans="6:22" ht="15.75" customHeight="1">
      <c r="F439" s="47"/>
      <c r="I439" s="47"/>
      <c r="J439" s="47"/>
      <c r="L439" s="384"/>
      <c r="M439" s="47"/>
      <c r="T439" s="47"/>
      <c r="U439" s="47"/>
      <c r="V439" s="47"/>
    </row>
    <row r="440" spans="6:22" ht="15.75" customHeight="1">
      <c r="F440" s="47"/>
      <c r="I440" s="47"/>
      <c r="J440" s="47"/>
      <c r="L440" s="384"/>
      <c r="M440" s="47"/>
      <c r="T440" s="47"/>
      <c r="U440" s="47"/>
      <c r="V440" s="47"/>
    </row>
    <row r="441" spans="6:22" ht="15.75" customHeight="1">
      <c r="F441" s="47"/>
      <c r="I441" s="47"/>
      <c r="J441" s="47"/>
      <c r="L441" s="384"/>
      <c r="M441" s="47"/>
      <c r="T441" s="47"/>
      <c r="U441" s="47"/>
      <c r="V441" s="47"/>
    </row>
    <row r="442" spans="6:22" ht="15.75" customHeight="1">
      <c r="F442" s="47"/>
      <c r="I442" s="47"/>
      <c r="J442" s="47"/>
      <c r="L442" s="384"/>
      <c r="M442" s="47"/>
      <c r="T442" s="47"/>
      <c r="U442" s="47"/>
      <c r="V442" s="47"/>
    </row>
    <row r="443" spans="6:22" ht="15.75" customHeight="1">
      <c r="F443" s="47"/>
      <c r="I443" s="47"/>
      <c r="J443" s="47"/>
      <c r="L443" s="384"/>
      <c r="M443" s="47"/>
      <c r="T443" s="47"/>
      <c r="U443" s="47"/>
      <c r="V443" s="47"/>
    </row>
    <row r="444" spans="6:22" ht="15.75" customHeight="1">
      <c r="F444" s="47"/>
      <c r="I444" s="47"/>
      <c r="J444" s="47"/>
      <c r="L444" s="384"/>
      <c r="M444" s="47"/>
      <c r="T444" s="47"/>
      <c r="U444" s="47"/>
      <c r="V444" s="47"/>
    </row>
    <row r="445" spans="6:22" ht="15.75" customHeight="1">
      <c r="F445" s="47"/>
      <c r="I445" s="47"/>
      <c r="J445" s="47"/>
      <c r="L445" s="384"/>
      <c r="M445" s="47"/>
      <c r="T445" s="47"/>
      <c r="U445" s="47"/>
      <c r="V445" s="47"/>
    </row>
    <row r="446" spans="6:22" ht="15.75" customHeight="1">
      <c r="F446" s="47"/>
      <c r="I446" s="47"/>
      <c r="J446" s="47"/>
      <c r="L446" s="384"/>
      <c r="M446" s="47"/>
      <c r="T446" s="47"/>
      <c r="U446" s="47"/>
      <c r="V446" s="47"/>
    </row>
    <row r="447" spans="6:22" ht="15.75" customHeight="1">
      <c r="F447" s="47"/>
      <c r="I447" s="47"/>
      <c r="J447" s="47"/>
      <c r="L447" s="384"/>
      <c r="M447" s="47"/>
      <c r="T447" s="47"/>
      <c r="U447" s="47"/>
      <c r="V447" s="47"/>
    </row>
    <row r="448" spans="6:22" ht="15.75" customHeight="1">
      <c r="F448" s="47"/>
      <c r="I448" s="47"/>
      <c r="J448" s="47"/>
      <c r="L448" s="384"/>
      <c r="M448" s="47"/>
      <c r="T448" s="47"/>
      <c r="U448" s="47"/>
      <c r="V448" s="47"/>
    </row>
    <row r="449" spans="6:22" ht="15.75" customHeight="1">
      <c r="F449" s="47"/>
      <c r="I449" s="47"/>
      <c r="J449" s="47"/>
      <c r="L449" s="384"/>
      <c r="M449" s="47"/>
      <c r="T449" s="47"/>
      <c r="U449" s="47"/>
      <c r="V449" s="47"/>
    </row>
    <row r="450" spans="6:22" ht="15.75" customHeight="1">
      <c r="F450" s="47"/>
      <c r="I450" s="47"/>
      <c r="J450" s="47"/>
      <c r="L450" s="384"/>
      <c r="M450" s="47"/>
      <c r="T450" s="47"/>
      <c r="U450" s="47"/>
      <c r="V450" s="47"/>
    </row>
    <row r="451" spans="6:22" ht="15.75" customHeight="1">
      <c r="F451" s="47"/>
      <c r="I451" s="47"/>
      <c r="J451" s="47"/>
      <c r="L451" s="384"/>
      <c r="M451" s="47"/>
      <c r="T451" s="47"/>
      <c r="U451" s="47"/>
      <c r="V451" s="47"/>
    </row>
    <row r="452" spans="6:22" ht="15.75" customHeight="1">
      <c r="F452" s="47"/>
      <c r="I452" s="47"/>
      <c r="J452" s="47"/>
      <c r="L452" s="384"/>
      <c r="M452" s="47"/>
      <c r="T452" s="47"/>
      <c r="U452" s="47"/>
      <c r="V452" s="47"/>
    </row>
    <row r="453" spans="6:22" ht="15.75" customHeight="1">
      <c r="F453" s="47"/>
      <c r="I453" s="47"/>
      <c r="J453" s="47"/>
      <c r="L453" s="384"/>
      <c r="M453" s="47"/>
      <c r="T453" s="47"/>
      <c r="U453" s="47"/>
      <c r="V453" s="47"/>
    </row>
    <row r="454" spans="6:22" ht="15.75" customHeight="1">
      <c r="F454" s="47"/>
      <c r="I454" s="47"/>
      <c r="J454" s="47"/>
      <c r="L454" s="384"/>
      <c r="M454" s="47"/>
      <c r="T454" s="47"/>
      <c r="U454" s="47"/>
      <c r="V454" s="47"/>
    </row>
    <row r="455" spans="6:22" ht="15.75" customHeight="1">
      <c r="F455" s="47"/>
      <c r="I455" s="47"/>
      <c r="J455" s="47"/>
      <c r="L455" s="384"/>
      <c r="M455" s="47"/>
      <c r="T455" s="47"/>
      <c r="U455" s="47"/>
      <c r="V455" s="47"/>
    </row>
    <row r="456" spans="6:22" ht="15.75" customHeight="1">
      <c r="F456" s="47"/>
      <c r="I456" s="47"/>
      <c r="J456" s="47"/>
      <c r="L456" s="384"/>
      <c r="M456" s="47"/>
      <c r="T456" s="47"/>
      <c r="U456" s="47"/>
      <c r="V456" s="47"/>
    </row>
    <row r="457" spans="6:22" ht="15.75" customHeight="1">
      <c r="F457" s="47"/>
      <c r="I457" s="47"/>
      <c r="J457" s="47"/>
      <c r="L457" s="384"/>
      <c r="M457" s="47"/>
      <c r="T457" s="47"/>
      <c r="U457" s="47"/>
      <c r="V457" s="47"/>
    </row>
    <row r="458" spans="6:22" ht="15.75" customHeight="1">
      <c r="F458" s="47"/>
      <c r="I458" s="47"/>
      <c r="J458" s="47"/>
      <c r="L458" s="384"/>
      <c r="M458" s="47"/>
      <c r="T458" s="47"/>
      <c r="U458" s="47"/>
      <c r="V458" s="47"/>
    </row>
    <row r="459" spans="6:22" ht="15.75" customHeight="1">
      <c r="F459" s="47"/>
      <c r="I459" s="47"/>
      <c r="J459" s="47"/>
      <c r="L459" s="384"/>
      <c r="M459" s="47"/>
      <c r="T459" s="47"/>
      <c r="U459" s="47"/>
      <c r="V459" s="47"/>
    </row>
    <row r="460" spans="6:22" ht="15.75" customHeight="1">
      <c r="F460" s="47"/>
      <c r="I460" s="47"/>
      <c r="J460" s="47"/>
      <c r="L460" s="384"/>
      <c r="M460" s="47"/>
      <c r="T460" s="47"/>
      <c r="U460" s="47"/>
      <c r="V460" s="47"/>
    </row>
    <row r="461" spans="6:22" ht="15.75" customHeight="1">
      <c r="F461" s="47"/>
      <c r="I461" s="47"/>
      <c r="J461" s="47"/>
      <c r="L461" s="384"/>
      <c r="M461" s="47"/>
      <c r="T461" s="47"/>
      <c r="U461" s="47"/>
      <c r="V461" s="47"/>
    </row>
    <row r="462" spans="6:22" ht="15.75" customHeight="1">
      <c r="F462" s="47"/>
      <c r="I462" s="47"/>
      <c r="J462" s="47"/>
      <c r="L462" s="384"/>
      <c r="M462" s="47"/>
      <c r="T462" s="47"/>
      <c r="U462" s="47"/>
      <c r="V462" s="47"/>
    </row>
    <row r="463" spans="6:22" ht="15.75" customHeight="1">
      <c r="F463" s="47"/>
      <c r="I463" s="47"/>
      <c r="J463" s="47"/>
      <c r="L463" s="384"/>
      <c r="M463" s="47"/>
      <c r="T463" s="47"/>
      <c r="U463" s="47"/>
      <c r="V463" s="47"/>
    </row>
    <row r="464" spans="6:22" ht="15.75" customHeight="1">
      <c r="F464" s="47"/>
      <c r="I464" s="47"/>
      <c r="J464" s="47"/>
      <c r="L464" s="384"/>
      <c r="M464" s="47"/>
      <c r="T464" s="47"/>
      <c r="U464" s="47"/>
      <c r="V464" s="47"/>
    </row>
    <row r="465" spans="6:22" ht="15.75" customHeight="1">
      <c r="F465" s="47"/>
      <c r="I465" s="47"/>
      <c r="J465" s="47"/>
      <c r="L465" s="384"/>
      <c r="M465" s="47"/>
      <c r="T465" s="47"/>
      <c r="U465" s="47"/>
      <c r="V465" s="47"/>
    </row>
    <row r="466" spans="6:22" ht="15.75" customHeight="1">
      <c r="F466" s="47"/>
      <c r="I466" s="47"/>
      <c r="J466" s="47"/>
      <c r="L466" s="384"/>
      <c r="M466" s="47"/>
      <c r="T466" s="47"/>
      <c r="U466" s="47"/>
      <c r="V466" s="47"/>
    </row>
    <row r="467" spans="6:22" ht="15.75" customHeight="1">
      <c r="F467" s="47"/>
      <c r="I467" s="47"/>
      <c r="J467" s="47"/>
      <c r="L467" s="384"/>
      <c r="M467" s="47"/>
      <c r="T467" s="47"/>
      <c r="U467" s="47"/>
      <c r="V467" s="47"/>
    </row>
    <row r="468" spans="6:22" ht="15.75" customHeight="1">
      <c r="F468" s="47"/>
      <c r="I468" s="47"/>
      <c r="J468" s="47"/>
      <c r="L468" s="384"/>
      <c r="M468" s="47"/>
      <c r="T468" s="47"/>
      <c r="U468" s="47"/>
      <c r="V468" s="47"/>
    </row>
    <row r="469" spans="6:22" ht="15.75" customHeight="1">
      <c r="F469" s="47"/>
      <c r="I469" s="47"/>
      <c r="J469" s="47"/>
      <c r="L469" s="384"/>
      <c r="M469" s="47"/>
      <c r="T469" s="47"/>
      <c r="U469" s="47"/>
      <c r="V469" s="47"/>
    </row>
    <row r="470" spans="6:22" ht="15.75" customHeight="1">
      <c r="F470" s="47"/>
      <c r="I470" s="47"/>
      <c r="J470" s="47"/>
      <c r="L470" s="384"/>
      <c r="M470" s="47"/>
      <c r="T470" s="47"/>
      <c r="U470" s="47"/>
      <c r="V470" s="47"/>
    </row>
    <row r="471" spans="6:22" ht="15.75" customHeight="1">
      <c r="F471" s="47"/>
      <c r="I471" s="47"/>
      <c r="J471" s="47"/>
      <c r="L471" s="384"/>
      <c r="M471" s="47"/>
      <c r="T471" s="47"/>
      <c r="U471" s="47"/>
      <c r="V471" s="47"/>
    </row>
    <row r="472" spans="6:22" ht="15.75" customHeight="1">
      <c r="F472" s="47"/>
      <c r="I472" s="47"/>
      <c r="J472" s="47"/>
      <c r="L472" s="384"/>
      <c r="M472" s="47"/>
      <c r="T472" s="47"/>
      <c r="U472" s="47"/>
      <c r="V472" s="47"/>
    </row>
    <row r="473" spans="6:22" ht="15.75" customHeight="1">
      <c r="F473" s="47"/>
      <c r="I473" s="47"/>
      <c r="J473" s="47"/>
      <c r="L473" s="384"/>
      <c r="M473" s="47"/>
      <c r="T473" s="47"/>
      <c r="U473" s="47"/>
      <c r="V473" s="47"/>
    </row>
    <row r="474" spans="6:22" ht="15.75" customHeight="1">
      <c r="F474" s="47"/>
      <c r="I474" s="47"/>
      <c r="J474" s="47"/>
      <c r="L474" s="384"/>
      <c r="M474" s="47"/>
      <c r="T474" s="47"/>
      <c r="U474" s="47"/>
      <c r="V474" s="47"/>
    </row>
    <row r="475" spans="6:22" ht="15.75" customHeight="1">
      <c r="F475" s="47"/>
      <c r="I475" s="47"/>
      <c r="J475" s="47"/>
      <c r="L475" s="384"/>
      <c r="M475" s="47"/>
      <c r="T475" s="47"/>
      <c r="U475" s="47"/>
      <c r="V475" s="47"/>
    </row>
    <row r="476" spans="6:22" ht="15.75" customHeight="1">
      <c r="F476" s="47"/>
      <c r="I476" s="47"/>
      <c r="J476" s="47"/>
      <c r="L476" s="384"/>
      <c r="M476" s="47"/>
      <c r="T476" s="47"/>
      <c r="U476" s="47"/>
      <c r="V476" s="47"/>
    </row>
    <row r="477" spans="6:22" ht="15.75" customHeight="1">
      <c r="F477" s="47"/>
      <c r="I477" s="47"/>
      <c r="J477" s="47"/>
      <c r="L477" s="384"/>
      <c r="M477" s="47"/>
      <c r="T477" s="47"/>
      <c r="U477" s="47"/>
      <c r="V477" s="47"/>
    </row>
    <row r="478" spans="6:22" ht="15.75" customHeight="1">
      <c r="F478" s="47"/>
      <c r="I478" s="47"/>
      <c r="J478" s="47"/>
      <c r="L478" s="384"/>
      <c r="M478" s="47"/>
      <c r="T478" s="47"/>
      <c r="U478" s="47"/>
      <c r="V478" s="47"/>
    </row>
    <row r="479" spans="6:22" ht="15.75" customHeight="1">
      <c r="F479" s="47"/>
      <c r="I479" s="47"/>
      <c r="J479" s="47"/>
      <c r="L479" s="384"/>
      <c r="M479" s="47"/>
      <c r="T479" s="47"/>
      <c r="U479" s="47"/>
      <c r="V479" s="47"/>
    </row>
    <row r="480" spans="6:22" ht="15.75" customHeight="1">
      <c r="F480" s="47"/>
      <c r="I480" s="47"/>
      <c r="J480" s="47"/>
      <c r="L480" s="384"/>
      <c r="M480" s="47"/>
      <c r="T480" s="47"/>
      <c r="U480" s="47"/>
      <c r="V480" s="47"/>
    </row>
    <row r="481" spans="6:22" ht="15.75" customHeight="1">
      <c r="F481" s="47"/>
      <c r="I481" s="47"/>
      <c r="J481" s="47"/>
      <c r="L481" s="384"/>
      <c r="M481" s="47"/>
      <c r="T481" s="47"/>
      <c r="U481" s="47"/>
      <c r="V481" s="47"/>
    </row>
    <row r="482" spans="6:22" ht="15.75" customHeight="1">
      <c r="F482" s="47"/>
      <c r="I482" s="47"/>
      <c r="J482" s="47"/>
      <c r="L482" s="384"/>
      <c r="M482" s="47"/>
      <c r="T482" s="47"/>
      <c r="U482" s="47"/>
      <c r="V482" s="47"/>
    </row>
    <row r="483" spans="6:22" ht="15.75" customHeight="1">
      <c r="F483" s="47"/>
      <c r="I483" s="47"/>
      <c r="J483" s="47"/>
      <c r="L483" s="384"/>
      <c r="M483" s="47"/>
      <c r="T483" s="47"/>
      <c r="U483" s="47"/>
      <c r="V483" s="47"/>
    </row>
    <row r="484" spans="6:22" ht="15.75" customHeight="1">
      <c r="F484" s="47"/>
      <c r="I484" s="47"/>
      <c r="J484" s="47"/>
      <c r="L484" s="384"/>
      <c r="M484" s="47"/>
      <c r="T484" s="47"/>
      <c r="U484" s="47"/>
      <c r="V484" s="47"/>
    </row>
    <row r="485" spans="6:22" ht="15.75" customHeight="1">
      <c r="F485" s="47"/>
      <c r="I485" s="47"/>
      <c r="J485" s="47"/>
      <c r="L485" s="384"/>
      <c r="M485" s="47"/>
      <c r="T485" s="47"/>
      <c r="U485" s="47"/>
      <c r="V485" s="47"/>
    </row>
    <row r="486" spans="6:22" ht="15.75" customHeight="1">
      <c r="F486" s="47"/>
      <c r="I486" s="47"/>
      <c r="J486" s="47"/>
      <c r="L486" s="384"/>
      <c r="M486" s="47"/>
      <c r="T486" s="47"/>
      <c r="U486" s="47"/>
      <c r="V486" s="47"/>
    </row>
    <row r="487" spans="6:22" ht="15.75" customHeight="1">
      <c r="F487" s="47"/>
      <c r="I487" s="47"/>
      <c r="J487" s="47"/>
      <c r="L487" s="384"/>
      <c r="M487" s="47"/>
      <c r="T487" s="47"/>
      <c r="U487" s="47"/>
      <c r="V487" s="47"/>
    </row>
    <row r="488" spans="6:22" ht="15.75" customHeight="1">
      <c r="F488" s="47"/>
      <c r="I488" s="47"/>
      <c r="J488" s="47"/>
      <c r="L488" s="384"/>
      <c r="M488" s="47"/>
      <c r="T488" s="47"/>
      <c r="U488" s="47"/>
      <c r="V488" s="47"/>
    </row>
    <row r="489" spans="6:22" ht="15.75" customHeight="1">
      <c r="F489" s="47"/>
      <c r="I489" s="47"/>
      <c r="J489" s="47"/>
      <c r="L489" s="384"/>
      <c r="M489" s="47"/>
      <c r="T489" s="47"/>
      <c r="U489" s="47"/>
      <c r="V489" s="47"/>
    </row>
    <row r="490" spans="6:22" ht="15.75" customHeight="1">
      <c r="F490" s="47"/>
      <c r="I490" s="47"/>
      <c r="J490" s="47"/>
      <c r="L490" s="384"/>
      <c r="M490" s="47"/>
      <c r="T490" s="47"/>
      <c r="U490" s="47"/>
      <c r="V490" s="47"/>
    </row>
    <row r="491" spans="6:22" ht="15.75" customHeight="1">
      <c r="F491" s="47"/>
      <c r="I491" s="47"/>
      <c r="J491" s="47"/>
      <c r="L491" s="384"/>
      <c r="M491" s="47"/>
      <c r="T491" s="47"/>
      <c r="U491" s="47"/>
      <c r="V491" s="47"/>
    </row>
    <row r="492" spans="6:22" ht="15.75" customHeight="1">
      <c r="F492" s="47"/>
      <c r="I492" s="47"/>
      <c r="J492" s="47"/>
      <c r="L492" s="384"/>
      <c r="M492" s="47"/>
      <c r="T492" s="47"/>
      <c r="U492" s="47"/>
      <c r="V492" s="47"/>
    </row>
    <row r="493" spans="6:22" ht="15.75" customHeight="1">
      <c r="F493" s="47"/>
      <c r="I493" s="47"/>
      <c r="J493" s="47"/>
      <c r="L493" s="384"/>
      <c r="M493" s="47"/>
      <c r="T493" s="47"/>
      <c r="U493" s="47"/>
      <c r="V493" s="47"/>
    </row>
    <row r="494" spans="6:22" ht="15.75" customHeight="1">
      <c r="F494" s="47"/>
      <c r="I494" s="47"/>
      <c r="J494" s="47"/>
      <c r="L494" s="384"/>
      <c r="M494" s="47"/>
      <c r="T494" s="47"/>
      <c r="U494" s="47"/>
      <c r="V494" s="47"/>
    </row>
    <row r="495" spans="6:22" ht="15.75" customHeight="1">
      <c r="F495" s="47"/>
      <c r="I495" s="47"/>
      <c r="J495" s="47"/>
      <c r="L495" s="384"/>
      <c r="M495" s="47"/>
      <c r="T495" s="47"/>
      <c r="U495" s="47"/>
      <c r="V495" s="47"/>
    </row>
    <row r="496" spans="6:22" ht="15.75" customHeight="1">
      <c r="F496" s="47"/>
      <c r="I496" s="47"/>
      <c r="J496" s="47"/>
      <c r="L496" s="384"/>
      <c r="M496" s="47"/>
      <c r="T496" s="47"/>
      <c r="U496" s="47"/>
      <c r="V496" s="47"/>
    </row>
    <row r="497" spans="6:22" ht="15.75" customHeight="1">
      <c r="F497" s="47"/>
      <c r="I497" s="47"/>
      <c r="J497" s="47"/>
      <c r="L497" s="384"/>
      <c r="M497" s="47"/>
      <c r="T497" s="47"/>
      <c r="U497" s="47"/>
      <c r="V497" s="47"/>
    </row>
    <row r="498" spans="6:22" ht="15.75" customHeight="1">
      <c r="F498" s="47"/>
      <c r="I498" s="47"/>
      <c r="J498" s="47"/>
      <c r="L498" s="384"/>
      <c r="M498" s="47"/>
      <c r="T498" s="47"/>
      <c r="U498" s="47"/>
      <c r="V498" s="47"/>
    </row>
    <row r="499" spans="6:22" ht="15.75" customHeight="1">
      <c r="F499" s="47"/>
      <c r="I499" s="47"/>
      <c r="J499" s="47"/>
      <c r="L499" s="384"/>
      <c r="M499" s="47"/>
      <c r="T499" s="47"/>
      <c r="U499" s="47"/>
      <c r="V499" s="47"/>
    </row>
    <row r="500" spans="6:22" ht="15.75" customHeight="1">
      <c r="F500" s="47"/>
      <c r="I500" s="47"/>
      <c r="J500" s="47"/>
      <c r="L500" s="384"/>
      <c r="M500" s="47"/>
      <c r="T500" s="47"/>
      <c r="U500" s="47"/>
      <c r="V500" s="47"/>
    </row>
    <row r="501" spans="6:22" ht="15.75" customHeight="1">
      <c r="F501" s="47"/>
      <c r="I501" s="47"/>
      <c r="J501" s="47"/>
      <c r="L501" s="384"/>
      <c r="M501" s="47"/>
      <c r="T501" s="47"/>
      <c r="U501" s="47"/>
      <c r="V501" s="47"/>
    </row>
    <row r="502" spans="6:22" ht="15.75" customHeight="1">
      <c r="F502" s="47"/>
      <c r="I502" s="47"/>
      <c r="J502" s="47"/>
      <c r="L502" s="384"/>
      <c r="M502" s="47"/>
      <c r="T502" s="47"/>
      <c r="U502" s="47"/>
      <c r="V502" s="47"/>
    </row>
    <row r="503" spans="6:22" ht="15.75" customHeight="1">
      <c r="F503" s="47"/>
      <c r="I503" s="47"/>
      <c r="J503" s="47"/>
      <c r="L503" s="384"/>
      <c r="M503" s="47"/>
      <c r="T503" s="47"/>
      <c r="U503" s="47"/>
      <c r="V503" s="47"/>
    </row>
    <row r="504" spans="6:22" ht="15.75" customHeight="1">
      <c r="F504" s="47"/>
      <c r="I504" s="47"/>
      <c r="J504" s="47"/>
      <c r="L504" s="384"/>
      <c r="M504" s="47"/>
      <c r="T504" s="47"/>
      <c r="U504" s="47"/>
      <c r="V504" s="47"/>
    </row>
    <row r="505" spans="6:22" ht="15.75" customHeight="1">
      <c r="F505" s="47"/>
      <c r="I505" s="47"/>
      <c r="J505" s="47"/>
      <c r="L505" s="384"/>
      <c r="M505" s="47"/>
      <c r="T505" s="47"/>
      <c r="U505" s="47"/>
      <c r="V505" s="47"/>
    </row>
    <row r="506" spans="6:22" ht="15.75" customHeight="1">
      <c r="F506" s="47"/>
      <c r="I506" s="47"/>
      <c r="J506" s="47"/>
      <c r="L506" s="384"/>
      <c r="M506" s="47"/>
      <c r="T506" s="47"/>
      <c r="U506" s="47"/>
      <c r="V506" s="47"/>
    </row>
    <row r="507" spans="6:22" ht="15.75" customHeight="1">
      <c r="F507" s="47"/>
      <c r="I507" s="47"/>
      <c r="J507" s="47"/>
      <c r="L507" s="384"/>
      <c r="M507" s="47"/>
      <c r="T507" s="47"/>
      <c r="U507" s="47"/>
      <c r="V507" s="47"/>
    </row>
    <row r="508" spans="6:22" ht="15.75" customHeight="1">
      <c r="F508" s="47"/>
      <c r="I508" s="47"/>
      <c r="J508" s="47"/>
      <c r="L508" s="384"/>
      <c r="M508" s="47"/>
      <c r="T508" s="47"/>
      <c r="U508" s="47"/>
      <c r="V508" s="47"/>
    </row>
    <row r="509" spans="6:22" ht="15.75" customHeight="1">
      <c r="F509" s="47"/>
      <c r="I509" s="47"/>
      <c r="J509" s="47"/>
      <c r="L509" s="384"/>
      <c r="M509" s="47"/>
      <c r="T509" s="47"/>
      <c r="U509" s="47"/>
      <c r="V509" s="47"/>
    </row>
    <row r="510" spans="6:22" ht="15.75" customHeight="1">
      <c r="F510" s="47"/>
      <c r="I510" s="47"/>
      <c r="J510" s="47"/>
      <c r="L510" s="384"/>
      <c r="M510" s="47"/>
      <c r="T510" s="47"/>
      <c r="U510" s="47"/>
      <c r="V510" s="47"/>
    </row>
    <row r="511" spans="6:22" ht="15.75" customHeight="1">
      <c r="F511" s="47"/>
      <c r="I511" s="47"/>
      <c r="J511" s="47"/>
      <c r="L511" s="384"/>
      <c r="M511" s="47"/>
      <c r="T511" s="47"/>
      <c r="U511" s="47"/>
      <c r="V511" s="47"/>
    </row>
    <row r="512" spans="6:22" ht="15.75" customHeight="1">
      <c r="F512" s="47"/>
      <c r="I512" s="47"/>
      <c r="J512" s="47"/>
      <c r="L512" s="384"/>
      <c r="M512" s="47"/>
      <c r="T512" s="47"/>
      <c r="U512" s="47"/>
      <c r="V512" s="47"/>
    </row>
    <row r="513" spans="6:22" ht="15.75" customHeight="1">
      <c r="F513" s="47"/>
      <c r="I513" s="47"/>
      <c r="J513" s="47"/>
      <c r="L513" s="384"/>
      <c r="M513" s="47"/>
      <c r="T513" s="47"/>
      <c r="U513" s="47"/>
      <c r="V513" s="47"/>
    </row>
    <row r="514" spans="6:22" ht="15.75" customHeight="1">
      <c r="F514" s="47"/>
      <c r="I514" s="47"/>
      <c r="J514" s="47"/>
      <c r="L514" s="384"/>
      <c r="M514" s="47"/>
      <c r="T514" s="47"/>
      <c r="U514" s="47"/>
      <c r="V514" s="47"/>
    </row>
    <row r="515" spans="6:22" ht="15.75" customHeight="1">
      <c r="F515" s="47"/>
      <c r="I515" s="47"/>
      <c r="J515" s="47"/>
      <c r="L515" s="384"/>
      <c r="M515" s="47"/>
      <c r="T515" s="47"/>
      <c r="U515" s="47"/>
      <c r="V515" s="47"/>
    </row>
    <row r="516" spans="6:22" ht="15.75" customHeight="1">
      <c r="F516" s="47"/>
      <c r="I516" s="47"/>
      <c r="J516" s="47"/>
      <c r="L516" s="384"/>
      <c r="M516" s="47"/>
      <c r="T516" s="47"/>
      <c r="U516" s="47"/>
      <c r="V516" s="47"/>
    </row>
    <row r="517" spans="6:22" ht="15.75" customHeight="1">
      <c r="F517" s="47"/>
      <c r="I517" s="47"/>
      <c r="J517" s="47"/>
      <c r="L517" s="384"/>
      <c r="M517" s="47"/>
      <c r="T517" s="47"/>
      <c r="U517" s="47"/>
      <c r="V517" s="47"/>
    </row>
    <row r="518" spans="6:22" ht="15.75" customHeight="1">
      <c r="F518" s="47"/>
      <c r="I518" s="47"/>
      <c r="J518" s="47"/>
      <c r="L518" s="384"/>
      <c r="M518" s="47"/>
      <c r="T518" s="47"/>
      <c r="U518" s="47"/>
      <c r="V518" s="47"/>
    </row>
    <row r="519" spans="6:22" ht="15.75" customHeight="1">
      <c r="F519" s="47"/>
      <c r="I519" s="47"/>
      <c r="J519" s="47"/>
      <c r="L519" s="384"/>
      <c r="M519" s="47"/>
      <c r="T519" s="47"/>
      <c r="U519" s="47"/>
      <c r="V519" s="47"/>
    </row>
    <row r="520" spans="6:22" ht="15.75" customHeight="1">
      <c r="F520" s="47"/>
      <c r="I520" s="47"/>
      <c r="J520" s="47"/>
      <c r="L520" s="384"/>
      <c r="M520" s="47"/>
      <c r="T520" s="47"/>
      <c r="U520" s="47"/>
      <c r="V520" s="47"/>
    </row>
    <row r="521" spans="6:22" ht="15.75" customHeight="1">
      <c r="F521" s="47"/>
      <c r="I521" s="47"/>
      <c r="J521" s="47"/>
      <c r="L521" s="384"/>
      <c r="M521" s="47"/>
      <c r="T521" s="47"/>
      <c r="U521" s="47"/>
      <c r="V521" s="47"/>
    </row>
    <row r="522" spans="6:22" ht="15.75" customHeight="1">
      <c r="F522" s="47"/>
      <c r="I522" s="47"/>
      <c r="J522" s="47"/>
      <c r="L522" s="384"/>
      <c r="M522" s="47"/>
      <c r="T522" s="47"/>
      <c r="U522" s="47"/>
      <c r="V522" s="47"/>
    </row>
    <row r="523" spans="6:22" ht="15.75" customHeight="1">
      <c r="F523" s="47"/>
      <c r="I523" s="47"/>
      <c r="J523" s="47"/>
      <c r="L523" s="384"/>
      <c r="M523" s="47"/>
      <c r="T523" s="47"/>
      <c r="U523" s="47"/>
      <c r="V523" s="47"/>
    </row>
    <row r="524" spans="6:22" ht="15.75" customHeight="1">
      <c r="F524" s="47"/>
      <c r="I524" s="47"/>
      <c r="J524" s="47"/>
      <c r="L524" s="384"/>
      <c r="M524" s="47"/>
      <c r="T524" s="47"/>
      <c r="U524" s="47"/>
      <c r="V524" s="47"/>
    </row>
    <row r="525" spans="6:22" ht="15.75" customHeight="1">
      <c r="F525" s="47"/>
      <c r="I525" s="47"/>
      <c r="J525" s="47"/>
      <c r="L525" s="384"/>
      <c r="M525" s="47"/>
      <c r="T525" s="47"/>
      <c r="U525" s="47"/>
      <c r="V525" s="47"/>
    </row>
    <row r="526" spans="6:22" ht="15.75" customHeight="1">
      <c r="F526" s="47"/>
      <c r="I526" s="47"/>
      <c r="J526" s="47"/>
      <c r="L526" s="384"/>
      <c r="M526" s="47"/>
      <c r="T526" s="47"/>
      <c r="U526" s="47"/>
      <c r="V526" s="47"/>
    </row>
    <row r="527" spans="6:22" ht="15.75" customHeight="1">
      <c r="F527" s="47"/>
      <c r="I527" s="47"/>
      <c r="J527" s="47"/>
      <c r="L527" s="384"/>
      <c r="M527" s="47"/>
      <c r="T527" s="47"/>
      <c r="U527" s="47"/>
      <c r="V527" s="47"/>
    </row>
    <row r="528" spans="6:22" ht="15.75" customHeight="1">
      <c r="F528" s="47"/>
      <c r="I528" s="47"/>
      <c r="J528" s="47"/>
      <c r="L528" s="384"/>
      <c r="M528" s="47"/>
      <c r="T528" s="47"/>
      <c r="U528" s="47"/>
      <c r="V528" s="47"/>
    </row>
    <row r="529" spans="6:22" ht="15.75" customHeight="1">
      <c r="F529" s="47"/>
      <c r="I529" s="47"/>
      <c r="J529" s="47"/>
      <c r="L529" s="384"/>
      <c r="M529" s="47"/>
      <c r="T529" s="47"/>
      <c r="U529" s="47"/>
      <c r="V529" s="47"/>
    </row>
    <row r="530" spans="6:22" ht="15.75" customHeight="1">
      <c r="F530" s="47"/>
      <c r="I530" s="47"/>
      <c r="J530" s="47"/>
      <c r="L530" s="384"/>
      <c r="M530" s="47"/>
      <c r="T530" s="47"/>
      <c r="U530" s="47"/>
      <c r="V530" s="47"/>
    </row>
    <row r="531" spans="6:22" ht="15.75" customHeight="1">
      <c r="F531" s="47"/>
      <c r="I531" s="47"/>
      <c r="J531" s="47"/>
      <c r="L531" s="384"/>
      <c r="M531" s="47"/>
      <c r="T531" s="47"/>
      <c r="U531" s="47"/>
      <c r="V531" s="47"/>
    </row>
    <row r="532" spans="6:22" ht="15.75" customHeight="1">
      <c r="F532" s="47"/>
      <c r="I532" s="47"/>
      <c r="J532" s="47"/>
      <c r="L532" s="384"/>
      <c r="M532" s="47"/>
      <c r="T532" s="47"/>
      <c r="U532" s="47"/>
      <c r="V532" s="47"/>
    </row>
    <row r="533" spans="6:22" ht="15.75" customHeight="1">
      <c r="F533" s="47"/>
      <c r="I533" s="47"/>
      <c r="J533" s="47"/>
      <c r="L533" s="384"/>
      <c r="M533" s="47"/>
      <c r="T533" s="47"/>
      <c r="U533" s="47"/>
      <c r="V533" s="47"/>
    </row>
    <row r="534" spans="6:22" ht="15.75" customHeight="1">
      <c r="F534" s="47"/>
      <c r="I534" s="47"/>
      <c r="J534" s="47"/>
      <c r="L534" s="384"/>
      <c r="M534" s="47"/>
      <c r="T534" s="47"/>
      <c r="U534" s="47"/>
      <c r="V534" s="47"/>
    </row>
    <row r="535" spans="6:22" ht="15.75" customHeight="1">
      <c r="F535" s="47"/>
      <c r="I535" s="47"/>
      <c r="J535" s="47"/>
      <c r="L535" s="384"/>
      <c r="M535" s="47"/>
      <c r="T535" s="47"/>
      <c r="U535" s="47"/>
      <c r="V535" s="47"/>
    </row>
    <row r="536" spans="6:22" ht="15.75" customHeight="1">
      <c r="F536" s="47"/>
      <c r="I536" s="47"/>
      <c r="J536" s="47"/>
      <c r="L536" s="384"/>
      <c r="M536" s="47"/>
      <c r="T536" s="47"/>
      <c r="U536" s="47"/>
      <c r="V536" s="47"/>
    </row>
    <row r="537" spans="6:22" ht="15.75" customHeight="1">
      <c r="F537" s="47"/>
      <c r="I537" s="47"/>
      <c r="J537" s="47"/>
      <c r="L537" s="384"/>
      <c r="M537" s="47"/>
      <c r="T537" s="47"/>
      <c r="U537" s="47"/>
      <c r="V537" s="47"/>
    </row>
    <row r="538" spans="6:22" ht="15.75" customHeight="1">
      <c r="F538" s="47"/>
      <c r="I538" s="47"/>
      <c r="J538" s="47"/>
      <c r="L538" s="384"/>
      <c r="M538" s="47"/>
      <c r="T538" s="47"/>
      <c r="U538" s="47"/>
      <c r="V538" s="47"/>
    </row>
    <row r="539" spans="6:22" ht="15.75" customHeight="1">
      <c r="F539" s="47"/>
      <c r="I539" s="47"/>
      <c r="J539" s="47"/>
      <c r="L539" s="384"/>
      <c r="M539" s="47"/>
      <c r="T539" s="47"/>
      <c r="U539" s="47"/>
      <c r="V539" s="47"/>
    </row>
    <row r="540" spans="6:22" ht="15.75" customHeight="1">
      <c r="F540" s="47"/>
      <c r="I540" s="47"/>
      <c r="J540" s="47"/>
      <c r="L540" s="384"/>
      <c r="M540" s="47"/>
      <c r="T540" s="47"/>
      <c r="U540" s="47"/>
      <c r="V540" s="47"/>
    </row>
    <row r="541" spans="6:22" ht="15.75" customHeight="1">
      <c r="F541" s="47"/>
      <c r="I541" s="47"/>
      <c r="J541" s="47"/>
      <c r="L541" s="384"/>
      <c r="M541" s="47"/>
      <c r="T541" s="47"/>
      <c r="U541" s="47"/>
      <c r="V541" s="47"/>
    </row>
    <row r="542" spans="6:22" ht="15.75" customHeight="1">
      <c r="F542" s="47"/>
      <c r="I542" s="47"/>
      <c r="J542" s="47"/>
      <c r="L542" s="384"/>
      <c r="M542" s="47"/>
      <c r="T542" s="47"/>
      <c r="U542" s="47"/>
      <c r="V542" s="47"/>
    </row>
    <row r="543" spans="6:22" ht="15.75" customHeight="1">
      <c r="F543" s="47"/>
      <c r="I543" s="47"/>
      <c r="J543" s="47"/>
      <c r="L543" s="384"/>
      <c r="M543" s="47"/>
      <c r="T543" s="47"/>
      <c r="U543" s="47"/>
      <c r="V543" s="47"/>
    </row>
    <row r="544" spans="6:22" ht="15.75" customHeight="1">
      <c r="F544" s="47"/>
      <c r="I544" s="47"/>
      <c r="J544" s="47"/>
      <c r="L544" s="384"/>
      <c r="M544" s="47"/>
      <c r="T544" s="47"/>
      <c r="U544" s="47"/>
      <c r="V544" s="47"/>
    </row>
    <row r="545" spans="6:22" ht="15.75" customHeight="1">
      <c r="F545" s="47"/>
      <c r="I545" s="47"/>
      <c r="J545" s="47"/>
      <c r="L545" s="384"/>
      <c r="M545" s="47"/>
      <c r="T545" s="47"/>
      <c r="U545" s="47"/>
      <c r="V545" s="47"/>
    </row>
    <row r="546" spans="6:22" ht="15.75" customHeight="1">
      <c r="F546" s="47"/>
      <c r="I546" s="47"/>
      <c r="J546" s="47"/>
      <c r="L546" s="384"/>
      <c r="M546" s="47"/>
      <c r="T546" s="47"/>
      <c r="U546" s="47"/>
      <c r="V546" s="47"/>
    </row>
    <row r="547" spans="6:22" ht="15.75" customHeight="1">
      <c r="F547" s="47"/>
      <c r="I547" s="47"/>
      <c r="J547" s="47"/>
      <c r="L547" s="384"/>
      <c r="M547" s="47"/>
      <c r="T547" s="47"/>
      <c r="U547" s="47"/>
      <c r="V547" s="47"/>
    </row>
    <row r="548" spans="6:22" ht="15.75" customHeight="1">
      <c r="F548" s="47"/>
      <c r="I548" s="47"/>
      <c r="J548" s="47"/>
      <c r="L548" s="384"/>
      <c r="M548" s="47"/>
      <c r="T548" s="47"/>
      <c r="U548" s="47"/>
      <c r="V548" s="47"/>
    </row>
    <row r="549" spans="6:22" ht="15.75" customHeight="1">
      <c r="F549" s="47"/>
      <c r="I549" s="47"/>
      <c r="J549" s="47"/>
      <c r="L549" s="384"/>
      <c r="M549" s="47"/>
      <c r="T549" s="47"/>
      <c r="U549" s="47"/>
      <c r="V549" s="47"/>
    </row>
    <row r="550" spans="6:22" ht="15.75" customHeight="1">
      <c r="F550" s="47"/>
      <c r="I550" s="47"/>
      <c r="J550" s="47"/>
      <c r="L550" s="384"/>
      <c r="M550" s="47"/>
      <c r="T550" s="47"/>
      <c r="U550" s="47"/>
      <c r="V550" s="47"/>
    </row>
    <row r="551" spans="6:22" ht="15.75" customHeight="1">
      <c r="F551" s="47"/>
      <c r="I551" s="47"/>
      <c r="J551" s="47"/>
      <c r="L551" s="384"/>
      <c r="M551" s="47"/>
      <c r="T551" s="47"/>
      <c r="U551" s="47"/>
      <c r="V551" s="47"/>
    </row>
    <row r="552" spans="6:22" ht="15.75" customHeight="1">
      <c r="F552" s="47"/>
      <c r="I552" s="47"/>
      <c r="J552" s="47"/>
      <c r="L552" s="384"/>
      <c r="M552" s="47"/>
      <c r="T552" s="47"/>
      <c r="U552" s="47"/>
      <c r="V552" s="47"/>
    </row>
    <row r="553" spans="6:22" ht="15.75" customHeight="1">
      <c r="F553" s="47"/>
      <c r="I553" s="47"/>
      <c r="J553" s="47"/>
      <c r="L553" s="384"/>
      <c r="M553" s="47"/>
      <c r="T553" s="47"/>
      <c r="U553" s="47"/>
      <c r="V553" s="47"/>
    </row>
    <row r="554" spans="6:22" ht="15.75" customHeight="1">
      <c r="F554" s="47"/>
      <c r="I554" s="47"/>
      <c r="J554" s="47"/>
      <c r="L554" s="384"/>
      <c r="M554" s="47"/>
      <c r="T554" s="47"/>
      <c r="U554" s="47"/>
      <c r="V554" s="47"/>
    </row>
    <row r="555" spans="6:22" ht="15.75" customHeight="1">
      <c r="F555" s="47"/>
      <c r="I555" s="47"/>
      <c r="J555" s="47"/>
      <c r="L555" s="384"/>
      <c r="M555" s="47"/>
      <c r="T555" s="47"/>
      <c r="U555" s="47"/>
      <c r="V555" s="47"/>
    </row>
    <row r="556" spans="6:22" ht="15.75" customHeight="1">
      <c r="F556" s="47"/>
      <c r="I556" s="47"/>
      <c r="J556" s="47"/>
      <c r="L556" s="384"/>
      <c r="M556" s="47"/>
      <c r="T556" s="47"/>
      <c r="U556" s="47"/>
      <c r="V556" s="47"/>
    </row>
    <row r="557" spans="6:22" ht="15.75" customHeight="1">
      <c r="F557" s="47"/>
      <c r="I557" s="47"/>
      <c r="J557" s="47"/>
      <c r="L557" s="384"/>
      <c r="M557" s="47"/>
      <c r="T557" s="47"/>
      <c r="U557" s="47"/>
      <c r="V557" s="47"/>
    </row>
    <row r="558" spans="6:22" ht="15.75" customHeight="1">
      <c r="F558" s="47"/>
      <c r="I558" s="47"/>
      <c r="J558" s="47"/>
      <c r="L558" s="384"/>
      <c r="M558" s="47"/>
      <c r="T558" s="47"/>
      <c r="U558" s="47"/>
      <c r="V558" s="47"/>
    </row>
    <row r="559" spans="6:22" ht="15.75" customHeight="1">
      <c r="F559" s="47"/>
      <c r="I559" s="47"/>
      <c r="J559" s="47"/>
      <c r="L559" s="384"/>
      <c r="M559" s="47"/>
      <c r="T559" s="47"/>
      <c r="U559" s="47"/>
      <c r="V559" s="47"/>
    </row>
    <row r="560" spans="6:22" ht="15.75" customHeight="1">
      <c r="F560" s="47"/>
      <c r="I560" s="47"/>
      <c r="J560" s="47"/>
      <c r="L560" s="384"/>
      <c r="M560" s="47"/>
      <c r="T560" s="47"/>
      <c r="U560" s="47"/>
      <c r="V560" s="47"/>
    </row>
    <row r="561" spans="6:22" ht="15.75" customHeight="1">
      <c r="F561" s="47"/>
      <c r="I561" s="47"/>
      <c r="J561" s="47"/>
      <c r="L561" s="384"/>
      <c r="M561" s="47"/>
      <c r="T561" s="47"/>
      <c r="U561" s="47"/>
      <c r="V561" s="47"/>
    </row>
    <row r="562" spans="6:22" ht="15.75" customHeight="1">
      <c r="F562" s="47"/>
      <c r="I562" s="47"/>
      <c r="J562" s="47"/>
      <c r="L562" s="384"/>
      <c r="M562" s="47"/>
      <c r="T562" s="47"/>
      <c r="U562" s="47"/>
      <c r="V562" s="47"/>
    </row>
    <row r="563" spans="6:22" ht="15.75" customHeight="1">
      <c r="F563" s="47"/>
      <c r="I563" s="47"/>
      <c r="J563" s="47"/>
      <c r="L563" s="384"/>
      <c r="M563" s="47"/>
      <c r="T563" s="47"/>
      <c r="U563" s="47"/>
      <c r="V563" s="47"/>
    </row>
    <row r="564" spans="6:22" ht="15.75" customHeight="1">
      <c r="F564" s="47"/>
      <c r="I564" s="47"/>
      <c r="J564" s="47"/>
      <c r="L564" s="384"/>
      <c r="M564" s="47"/>
      <c r="T564" s="47"/>
      <c r="U564" s="47"/>
      <c r="V564" s="47"/>
    </row>
    <row r="565" spans="6:22" ht="15.75" customHeight="1">
      <c r="F565" s="47"/>
      <c r="I565" s="47"/>
      <c r="J565" s="47"/>
      <c r="L565" s="384"/>
      <c r="M565" s="47"/>
      <c r="T565" s="47"/>
      <c r="U565" s="47"/>
      <c r="V565" s="47"/>
    </row>
    <row r="566" spans="6:22" ht="15.75" customHeight="1">
      <c r="F566" s="47"/>
      <c r="I566" s="47"/>
      <c r="J566" s="47"/>
      <c r="L566" s="384"/>
      <c r="M566" s="47"/>
      <c r="T566" s="47"/>
      <c r="U566" s="47"/>
      <c r="V566" s="47"/>
    </row>
    <row r="567" spans="6:22" ht="15.75" customHeight="1">
      <c r="F567" s="47"/>
      <c r="I567" s="47"/>
      <c r="J567" s="47"/>
      <c r="L567" s="384"/>
      <c r="M567" s="47"/>
      <c r="T567" s="47"/>
      <c r="U567" s="47"/>
      <c r="V567" s="47"/>
    </row>
    <row r="568" spans="6:22" ht="15.75" customHeight="1">
      <c r="F568" s="47"/>
      <c r="I568" s="47"/>
      <c r="J568" s="47"/>
      <c r="L568" s="384"/>
      <c r="M568" s="47"/>
      <c r="T568" s="47"/>
      <c r="U568" s="47"/>
      <c r="V568" s="47"/>
    </row>
    <row r="569" spans="6:22" ht="15.75" customHeight="1">
      <c r="F569" s="47"/>
      <c r="I569" s="47"/>
      <c r="J569" s="47"/>
      <c r="L569" s="384"/>
      <c r="M569" s="47"/>
      <c r="T569" s="47"/>
      <c r="U569" s="47"/>
      <c r="V569" s="47"/>
    </row>
    <row r="570" spans="6:22" ht="15.75" customHeight="1">
      <c r="F570" s="47"/>
      <c r="I570" s="47"/>
      <c r="J570" s="47"/>
      <c r="L570" s="384"/>
      <c r="M570" s="47"/>
      <c r="T570" s="47"/>
      <c r="U570" s="47"/>
      <c r="V570" s="47"/>
    </row>
    <row r="571" spans="6:22" ht="15.75" customHeight="1">
      <c r="F571" s="47"/>
      <c r="I571" s="47"/>
      <c r="J571" s="47"/>
      <c r="L571" s="384"/>
      <c r="M571" s="47"/>
      <c r="T571" s="47"/>
      <c r="U571" s="47"/>
      <c r="V571" s="47"/>
    </row>
    <row r="572" spans="6:22" ht="15.75" customHeight="1">
      <c r="F572" s="47"/>
      <c r="I572" s="47"/>
      <c r="J572" s="47"/>
      <c r="L572" s="384"/>
      <c r="M572" s="47"/>
      <c r="T572" s="47"/>
      <c r="U572" s="47"/>
      <c r="V572" s="47"/>
    </row>
    <row r="573" spans="6:22" ht="15.75" customHeight="1">
      <c r="F573" s="47"/>
      <c r="I573" s="47"/>
      <c r="J573" s="47"/>
      <c r="L573" s="384"/>
      <c r="M573" s="47"/>
      <c r="T573" s="47"/>
      <c r="U573" s="47"/>
      <c r="V573" s="47"/>
    </row>
    <row r="574" spans="6:22" ht="15.75" customHeight="1">
      <c r="F574" s="47"/>
      <c r="I574" s="47"/>
      <c r="J574" s="47"/>
      <c r="L574" s="384"/>
      <c r="M574" s="47"/>
      <c r="T574" s="47"/>
      <c r="U574" s="47"/>
      <c r="V574" s="47"/>
    </row>
    <row r="575" spans="6:22" ht="15.75" customHeight="1">
      <c r="F575" s="47"/>
      <c r="I575" s="47"/>
      <c r="J575" s="47"/>
      <c r="L575" s="384"/>
      <c r="M575" s="47"/>
      <c r="T575" s="47"/>
      <c r="U575" s="47"/>
      <c r="V575" s="47"/>
    </row>
    <row r="576" spans="6:22" ht="15.75" customHeight="1">
      <c r="F576" s="47"/>
      <c r="I576" s="47"/>
      <c r="J576" s="47"/>
      <c r="L576" s="384"/>
      <c r="M576" s="47"/>
      <c r="T576" s="47"/>
      <c r="U576" s="47"/>
      <c r="V576" s="47"/>
    </row>
    <row r="577" spans="6:22" ht="15.75" customHeight="1">
      <c r="F577" s="47"/>
      <c r="I577" s="47"/>
      <c r="J577" s="47"/>
      <c r="L577" s="384"/>
      <c r="M577" s="47"/>
      <c r="T577" s="47"/>
      <c r="U577" s="47"/>
      <c r="V577" s="47"/>
    </row>
    <row r="578" spans="6:22" ht="15.75" customHeight="1">
      <c r="F578" s="47"/>
      <c r="I578" s="47"/>
      <c r="J578" s="47"/>
      <c r="L578" s="384"/>
      <c r="M578" s="47"/>
      <c r="T578" s="47"/>
      <c r="U578" s="47"/>
      <c r="V578" s="47"/>
    </row>
    <row r="579" spans="6:22" ht="15.75" customHeight="1">
      <c r="F579" s="47"/>
      <c r="I579" s="47"/>
      <c r="J579" s="47"/>
      <c r="L579" s="384"/>
      <c r="M579" s="47"/>
      <c r="T579" s="47"/>
      <c r="U579" s="47"/>
      <c r="V579" s="47"/>
    </row>
    <row r="580" spans="6:22" ht="15.75" customHeight="1">
      <c r="F580" s="47"/>
      <c r="I580" s="47"/>
      <c r="J580" s="47"/>
      <c r="L580" s="384"/>
      <c r="M580" s="47"/>
      <c r="T580" s="47"/>
      <c r="U580" s="47"/>
      <c r="V580" s="47"/>
    </row>
    <row r="581" spans="6:22" ht="15.75" customHeight="1">
      <c r="F581" s="47"/>
      <c r="I581" s="47"/>
      <c r="J581" s="47"/>
      <c r="L581" s="384"/>
      <c r="M581" s="47"/>
      <c r="T581" s="47"/>
      <c r="U581" s="47"/>
      <c r="V581" s="47"/>
    </row>
    <row r="582" spans="6:22" ht="15.75" customHeight="1">
      <c r="F582" s="47"/>
      <c r="I582" s="47"/>
      <c r="J582" s="47"/>
      <c r="L582" s="384"/>
      <c r="M582" s="47"/>
      <c r="T582" s="47"/>
      <c r="U582" s="47"/>
      <c r="V582" s="47"/>
    </row>
    <row r="583" spans="6:22" ht="15.75" customHeight="1">
      <c r="F583" s="47"/>
      <c r="I583" s="47"/>
      <c r="J583" s="47"/>
      <c r="L583" s="384"/>
      <c r="M583" s="47"/>
      <c r="T583" s="47"/>
      <c r="U583" s="47"/>
      <c r="V583" s="47"/>
    </row>
    <row r="584" spans="6:22" ht="15.75" customHeight="1">
      <c r="F584" s="47"/>
      <c r="I584" s="47"/>
      <c r="J584" s="47"/>
      <c r="L584" s="384"/>
      <c r="M584" s="47"/>
      <c r="T584" s="47"/>
      <c r="U584" s="47"/>
      <c r="V584" s="47"/>
    </row>
    <row r="585" spans="6:22" ht="15.75" customHeight="1">
      <c r="F585" s="47"/>
      <c r="I585" s="47"/>
      <c r="J585" s="47"/>
      <c r="L585" s="384"/>
      <c r="M585" s="47"/>
      <c r="T585" s="47"/>
      <c r="U585" s="47"/>
      <c r="V585" s="47"/>
    </row>
    <row r="586" spans="6:22" ht="15.75" customHeight="1">
      <c r="F586" s="47"/>
      <c r="I586" s="47"/>
      <c r="J586" s="47"/>
      <c r="L586" s="384"/>
      <c r="M586" s="47"/>
      <c r="T586" s="47"/>
      <c r="U586" s="47"/>
      <c r="V586" s="47"/>
    </row>
    <row r="587" spans="6:22" ht="15.75" customHeight="1">
      <c r="F587" s="47"/>
      <c r="I587" s="47"/>
      <c r="J587" s="47"/>
      <c r="L587" s="384"/>
      <c r="M587" s="47"/>
      <c r="T587" s="47"/>
      <c r="U587" s="47"/>
      <c r="V587" s="47"/>
    </row>
    <row r="588" spans="6:22" ht="15.75" customHeight="1">
      <c r="F588" s="47"/>
      <c r="I588" s="47"/>
      <c r="J588" s="47"/>
      <c r="L588" s="384"/>
      <c r="M588" s="47"/>
      <c r="T588" s="47"/>
      <c r="U588" s="47"/>
      <c r="V588" s="47"/>
    </row>
    <row r="589" spans="6:22" ht="15.75" customHeight="1">
      <c r="F589" s="47"/>
      <c r="I589" s="47"/>
      <c r="J589" s="47"/>
      <c r="L589" s="384"/>
      <c r="M589" s="47"/>
      <c r="T589" s="47"/>
      <c r="U589" s="47"/>
      <c r="V589" s="47"/>
    </row>
    <row r="590" spans="6:22" ht="15.75" customHeight="1">
      <c r="F590" s="47"/>
      <c r="I590" s="47"/>
      <c r="J590" s="47"/>
      <c r="L590" s="384"/>
      <c r="M590" s="47"/>
      <c r="T590" s="47"/>
      <c r="U590" s="47"/>
      <c r="V590" s="47"/>
    </row>
    <row r="591" spans="6:22" ht="15.75" customHeight="1">
      <c r="F591" s="47"/>
      <c r="I591" s="47"/>
      <c r="J591" s="47"/>
      <c r="L591" s="384"/>
      <c r="M591" s="47"/>
      <c r="T591" s="47"/>
      <c r="U591" s="47"/>
      <c r="V591" s="47"/>
    </row>
    <row r="592" spans="6:22" ht="15.75" customHeight="1">
      <c r="F592" s="47"/>
      <c r="I592" s="47"/>
      <c r="J592" s="47"/>
      <c r="L592" s="384"/>
      <c r="M592" s="47"/>
      <c r="T592" s="47"/>
      <c r="U592" s="47"/>
      <c r="V592" s="47"/>
    </row>
    <row r="593" spans="6:22" ht="15.75" customHeight="1">
      <c r="F593" s="47"/>
      <c r="I593" s="47"/>
      <c r="J593" s="47"/>
      <c r="L593" s="384"/>
      <c r="M593" s="47"/>
      <c r="T593" s="47"/>
      <c r="U593" s="47"/>
      <c r="V593" s="47"/>
    </row>
    <row r="594" spans="6:22" ht="15.75" customHeight="1">
      <c r="F594" s="47"/>
      <c r="I594" s="47"/>
      <c r="J594" s="47"/>
      <c r="L594" s="384"/>
      <c r="M594" s="47"/>
      <c r="T594" s="47"/>
      <c r="U594" s="47"/>
      <c r="V594" s="47"/>
    </row>
    <row r="595" spans="6:22" ht="15.75" customHeight="1">
      <c r="F595" s="47"/>
      <c r="I595" s="47"/>
      <c r="J595" s="47"/>
      <c r="L595" s="384"/>
      <c r="M595" s="47"/>
      <c r="T595" s="47"/>
      <c r="U595" s="47"/>
      <c r="V595" s="47"/>
    </row>
    <row r="596" spans="6:22" ht="15.75" customHeight="1">
      <c r="F596" s="47"/>
      <c r="I596" s="47"/>
      <c r="J596" s="47"/>
      <c r="L596" s="384"/>
      <c r="M596" s="47"/>
      <c r="T596" s="47"/>
      <c r="U596" s="47"/>
      <c r="V596" s="47"/>
    </row>
    <row r="597" spans="6:22" ht="15.75" customHeight="1">
      <c r="F597" s="47"/>
      <c r="I597" s="47"/>
      <c r="J597" s="47"/>
      <c r="L597" s="384"/>
      <c r="M597" s="47"/>
      <c r="T597" s="47"/>
      <c r="U597" s="47"/>
      <c r="V597" s="47"/>
    </row>
    <row r="598" spans="6:22" ht="15.75" customHeight="1">
      <c r="F598" s="47"/>
      <c r="I598" s="47"/>
      <c r="J598" s="47"/>
      <c r="L598" s="384"/>
      <c r="M598" s="47"/>
      <c r="T598" s="47"/>
      <c r="U598" s="47"/>
      <c r="V598" s="47"/>
    </row>
    <row r="599" spans="6:22" ht="15.75" customHeight="1">
      <c r="F599" s="47"/>
      <c r="I599" s="47"/>
      <c r="J599" s="47"/>
      <c r="L599" s="384"/>
      <c r="M599" s="47"/>
      <c r="T599" s="47"/>
      <c r="U599" s="47"/>
      <c r="V599" s="47"/>
    </row>
    <row r="600" spans="6:22" ht="15.75" customHeight="1">
      <c r="F600" s="47"/>
      <c r="I600" s="47"/>
      <c r="J600" s="47"/>
      <c r="L600" s="384"/>
      <c r="M600" s="47"/>
      <c r="T600" s="47"/>
      <c r="U600" s="47"/>
      <c r="V600" s="47"/>
    </row>
    <row r="601" spans="6:22" ht="15.75" customHeight="1">
      <c r="F601" s="47"/>
      <c r="I601" s="47"/>
      <c r="J601" s="47"/>
      <c r="L601" s="384"/>
      <c r="M601" s="47"/>
      <c r="T601" s="47"/>
      <c r="U601" s="47"/>
      <c r="V601" s="47"/>
    </row>
    <row r="602" spans="6:22" ht="15.75" customHeight="1">
      <c r="F602" s="47"/>
      <c r="I602" s="47"/>
      <c r="J602" s="47"/>
      <c r="L602" s="384"/>
      <c r="M602" s="47"/>
      <c r="T602" s="47"/>
      <c r="U602" s="47"/>
      <c r="V602" s="47"/>
    </row>
    <row r="603" spans="6:22" ht="15.75" customHeight="1">
      <c r="F603" s="47"/>
      <c r="I603" s="47"/>
      <c r="J603" s="47"/>
      <c r="L603" s="384"/>
      <c r="M603" s="47"/>
      <c r="T603" s="47"/>
      <c r="U603" s="47"/>
      <c r="V603" s="47"/>
    </row>
    <row r="604" spans="6:22" ht="15.75" customHeight="1">
      <c r="F604" s="47"/>
      <c r="I604" s="47"/>
      <c r="J604" s="47"/>
      <c r="L604" s="384"/>
      <c r="M604" s="47"/>
      <c r="T604" s="47"/>
      <c r="U604" s="47"/>
      <c r="V604" s="47"/>
    </row>
    <row r="605" spans="6:22" ht="15.75" customHeight="1">
      <c r="F605" s="47"/>
      <c r="I605" s="47"/>
      <c r="J605" s="47"/>
      <c r="L605" s="384"/>
      <c r="M605" s="47"/>
      <c r="T605" s="47"/>
      <c r="U605" s="47"/>
      <c r="V605" s="47"/>
    </row>
    <row r="606" spans="6:22" ht="15.75" customHeight="1">
      <c r="F606" s="47"/>
      <c r="I606" s="47"/>
      <c r="J606" s="47"/>
      <c r="L606" s="384"/>
      <c r="M606" s="47"/>
      <c r="T606" s="47"/>
      <c r="U606" s="47"/>
      <c r="V606" s="47"/>
    </row>
    <row r="607" spans="6:22" ht="15.75" customHeight="1">
      <c r="F607" s="47"/>
      <c r="I607" s="47"/>
      <c r="J607" s="47"/>
      <c r="L607" s="384"/>
      <c r="M607" s="47"/>
      <c r="T607" s="47"/>
      <c r="U607" s="47"/>
      <c r="V607" s="47"/>
    </row>
    <row r="608" spans="6:22" ht="15.75" customHeight="1">
      <c r="F608" s="47"/>
      <c r="I608" s="47"/>
      <c r="J608" s="47"/>
      <c r="L608" s="384"/>
      <c r="M608" s="47"/>
      <c r="T608" s="47"/>
      <c r="U608" s="47"/>
      <c r="V608" s="47"/>
    </row>
    <row r="609" spans="6:22" ht="15.75" customHeight="1">
      <c r="F609" s="47"/>
      <c r="I609" s="47"/>
      <c r="J609" s="47"/>
      <c r="L609" s="384"/>
      <c r="M609" s="47"/>
      <c r="T609" s="47"/>
      <c r="U609" s="47"/>
      <c r="V609" s="47"/>
    </row>
    <row r="610" spans="6:22" ht="15.75" customHeight="1">
      <c r="F610" s="47"/>
      <c r="I610" s="47"/>
      <c r="J610" s="47"/>
      <c r="L610" s="384"/>
      <c r="M610" s="47"/>
      <c r="T610" s="47"/>
      <c r="U610" s="47"/>
      <c r="V610" s="47"/>
    </row>
    <row r="611" spans="6:22" ht="15.75" customHeight="1">
      <c r="F611" s="47"/>
      <c r="I611" s="47"/>
      <c r="J611" s="47"/>
      <c r="L611" s="384"/>
      <c r="M611" s="47"/>
      <c r="T611" s="47"/>
      <c r="U611" s="47"/>
      <c r="V611" s="47"/>
    </row>
    <row r="612" spans="6:22" ht="15.75" customHeight="1">
      <c r="F612" s="47"/>
      <c r="I612" s="47"/>
      <c r="J612" s="47"/>
      <c r="L612" s="384"/>
      <c r="M612" s="47"/>
      <c r="T612" s="47"/>
      <c r="U612" s="47"/>
      <c r="V612" s="47"/>
    </row>
    <row r="613" spans="6:22" ht="15.75" customHeight="1">
      <c r="F613" s="47"/>
      <c r="I613" s="47"/>
      <c r="J613" s="47"/>
      <c r="L613" s="384"/>
      <c r="M613" s="47"/>
      <c r="T613" s="47"/>
      <c r="U613" s="47"/>
      <c r="V613" s="47"/>
    </row>
    <row r="614" spans="6:22" ht="15.75" customHeight="1">
      <c r="F614" s="47"/>
      <c r="I614" s="47"/>
      <c r="J614" s="47"/>
      <c r="L614" s="384"/>
      <c r="M614" s="47"/>
      <c r="T614" s="47"/>
      <c r="U614" s="47"/>
      <c r="V614" s="47"/>
    </row>
    <row r="615" spans="6:22" ht="15.75" customHeight="1">
      <c r="F615" s="47"/>
      <c r="I615" s="47"/>
      <c r="J615" s="47"/>
      <c r="L615" s="384"/>
      <c r="M615" s="47"/>
      <c r="T615" s="47"/>
      <c r="U615" s="47"/>
      <c r="V615" s="47"/>
    </row>
    <row r="616" spans="6:22" ht="15.75" customHeight="1">
      <c r="F616" s="47"/>
      <c r="I616" s="47"/>
      <c r="J616" s="47"/>
      <c r="L616" s="384"/>
      <c r="M616" s="47"/>
      <c r="T616" s="47"/>
      <c r="U616" s="47"/>
      <c r="V616" s="47"/>
    </row>
    <row r="617" spans="6:22" ht="15.75" customHeight="1">
      <c r="F617" s="47"/>
      <c r="I617" s="47"/>
      <c r="J617" s="47"/>
      <c r="L617" s="384"/>
      <c r="M617" s="47"/>
      <c r="T617" s="47"/>
      <c r="U617" s="47"/>
      <c r="V617" s="47"/>
    </row>
    <row r="618" spans="6:22" ht="15.75" customHeight="1">
      <c r="F618" s="47"/>
      <c r="I618" s="47"/>
      <c r="J618" s="47"/>
      <c r="L618" s="384"/>
      <c r="M618" s="47"/>
      <c r="T618" s="47"/>
      <c r="U618" s="47"/>
      <c r="V618" s="47"/>
    </row>
    <row r="619" spans="6:22" ht="15.75" customHeight="1">
      <c r="F619" s="47"/>
      <c r="I619" s="47"/>
      <c r="J619" s="47"/>
      <c r="L619" s="384"/>
      <c r="M619" s="47"/>
      <c r="T619" s="47"/>
      <c r="U619" s="47"/>
      <c r="V619" s="47"/>
    </row>
    <row r="620" spans="6:22" ht="15.75" customHeight="1">
      <c r="F620" s="47"/>
      <c r="I620" s="47"/>
      <c r="J620" s="47"/>
      <c r="L620" s="384"/>
      <c r="M620" s="47"/>
      <c r="T620" s="47"/>
      <c r="U620" s="47"/>
      <c r="V620" s="47"/>
    </row>
    <row r="621" spans="6:22" ht="15.75" customHeight="1">
      <c r="F621" s="47"/>
      <c r="I621" s="47"/>
      <c r="J621" s="47"/>
      <c r="L621" s="384"/>
      <c r="M621" s="47"/>
      <c r="T621" s="47"/>
      <c r="U621" s="47"/>
      <c r="V621" s="47"/>
    </row>
    <row r="622" spans="6:22" ht="15.75" customHeight="1">
      <c r="F622" s="47"/>
      <c r="I622" s="47"/>
      <c r="J622" s="47"/>
      <c r="L622" s="384"/>
      <c r="M622" s="47"/>
      <c r="T622" s="47"/>
      <c r="U622" s="47"/>
      <c r="V622" s="47"/>
    </row>
    <row r="623" spans="6:22" ht="15.75" customHeight="1">
      <c r="F623" s="47"/>
      <c r="I623" s="47"/>
      <c r="J623" s="47"/>
      <c r="L623" s="384"/>
      <c r="M623" s="47"/>
      <c r="T623" s="47"/>
      <c r="U623" s="47"/>
      <c r="V623" s="47"/>
    </row>
    <row r="624" spans="6:22" ht="15.75" customHeight="1">
      <c r="F624" s="47"/>
      <c r="I624" s="47"/>
      <c r="J624" s="47"/>
      <c r="L624" s="384"/>
      <c r="M624" s="47"/>
      <c r="T624" s="47"/>
      <c r="U624" s="47"/>
      <c r="V624" s="47"/>
    </row>
    <row r="625" spans="6:22" ht="15.75" customHeight="1">
      <c r="F625" s="47"/>
      <c r="I625" s="47"/>
      <c r="J625" s="47"/>
      <c r="L625" s="384"/>
      <c r="M625" s="47"/>
      <c r="T625" s="47"/>
      <c r="U625" s="47"/>
      <c r="V625" s="47"/>
    </row>
    <row r="626" spans="6:22" ht="15.75" customHeight="1">
      <c r="F626" s="47"/>
      <c r="I626" s="47"/>
      <c r="J626" s="47"/>
      <c r="L626" s="384"/>
      <c r="M626" s="47"/>
      <c r="T626" s="47"/>
      <c r="U626" s="47"/>
      <c r="V626" s="47"/>
    </row>
    <row r="627" spans="6:22" ht="15.75" customHeight="1">
      <c r="F627" s="47"/>
      <c r="I627" s="47"/>
      <c r="J627" s="47"/>
      <c r="L627" s="384"/>
      <c r="M627" s="47"/>
      <c r="T627" s="47"/>
      <c r="U627" s="47"/>
      <c r="V627" s="47"/>
    </row>
    <row r="628" spans="6:22" ht="15.75" customHeight="1">
      <c r="F628" s="47"/>
      <c r="I628" s="47"/>
      <c r="J628" s="47"/>
      <c r="L628" s="384"/>
      <c r="M628" s="47"/>
      <c r="T628" s="47"/>
      <c r="U628" s="47"/>
      <c r="V628" s="47"/>
    </row>
    <row r="629" spans="6:22" ht="15.75" customHeight="1">
      <c r="F629" s="47"/>
      <c r="I629" s="47"/>
      <c r="J629" s="47"/>
      <c r="L629" s="384"/>
      <c r="M629" s="47"/>
      <c r="T629" s="47"/>
      <c r="U629" s="47"/>
      <c r="V629" s="47"/>
    </row>
    <row r="630" spans="6:22" ht="15.75" customHeight="1">
      <c r="F630" s="47"/>
      <c r="I630" s="47"/>
      <c r="J630" s="47"/>
      <c r="L630" s="384"/>
      <c r="M630" s="47"/>
      <c r="T630" s="47"/>
      <c r="U630" s="47"/>
      <c r="V630" s="47"/>
    </row>
    <row r="631" spans="6:22" ht="15.75" customHeight="1">
      <c r="F631" s="47"/>
      <c r="I631" s="47"/>
      <c r="J631" s="47"/>
      <c r="L631" s="384"/>
      <c r="M631" s="47"/>
      <c r="T631" s="47"/>
      <c r="U631" s="47"/>
      <c r="V631" s="47"/>
    </row>
    <row r="632" spans="6:22" ht="15.75" customHeight="1">
      <c r="F632" s="47"/>
      <c r="I632" s="47"/>
      <c r="J632" s="47"/>
      <c r="L632" s="384"/>
      <c r="M632" s="47"/>
      <c r="T632" s="47"/>
      <c r="U632" s="47"/>
      <c r="V632" s="47"/>
    </row>
    <row r="633" spans="6:22" ht="15.75" customHeight="1">
      <c r="F633" s="47"/>
      <c r="I633" s="47"/>
      <c r="J633" s="47"/>
      <c r="L633" s="384"/>
      <c r="M633" s="47"/>
      <c r="T633" s="47"/>
      <c r="U633" s="47"/>
      <c r="V633" s="47"/>
    </row>
    <row r="634" spans="6:22" ht="15.75" customHeight="1">
      <c r="F634" s="47"/>
      <c r="I634" s="47"/>
      <c r="J634" s="47"/>
      <c r="L634" s="384"/>
      <c r="M634" s="47"/>
      <c r="T634" s="47"/>
      <c r="U634" s="47"/>
      <c r="V634" s="47"/>
    </row>
    <row r="635" spans="6:22" ht="15.75" customHeight="1">
      <c r="F635" s="47"/>
      <c r="I635" s="47"/>
      <c r="J635" s="47"/>
      <c r="L635" s="384"/>
      <c r="M635" s="47"/>
      <c r="T635" s="47"/>
      <c r="U635" s="47"/>
      <c r="V635" s="47"/>
    </row>
    <row r="636" spans="6:22" ht="15.75" customHeight="1">
      <c r="F636" s="47"/>
      <c r="I636" s="47"/>
      <c r="J636" s="47"/>
      <c r="L636" s="384"/>
      <c r="M636" s="47"/>
      <c r="T636" s="47"/>
      <c r="U636" s="47"/>
      <c r="V636" s="47"/>
    </row>
    <row r="637" spans="6:22" ht="15.75" customHeight="1">
      <c r="F637" s="47"/>
      <c r="I637" s="47"/>
      <c r="J637" s="47"/>
      <c r="L637" s="384"/>
      <c r="M637" s="47"/>
      <c r="T637" s="47"/>
      <c r="U637" s="47"/>
      <c r="V637" s="47"/>
    </row>
    <row r="638" spans="6:22" ht="15.75" customHeight="1">
      <c r="F638" s="47"/>
      <c r="I638" s="47"/>
      <c r="J638" s="47"/>
      <c r="L638" s="384"/>
      <c r="M638" s="47"/>
      <c r="T638" s="47"/>
      <c r="U638" s="47"/>
      <c r="V638" s="47"/>
    </row>
    <row r="639" spans="6:22" ht="15.75" customHeight="1">
      <c r="F639" s="47"/>
      <c r="I639" s="47"/>
      <c r="J639" s="47"/>
      <c r="L639" s="384"/>
      <c r="M639" s="47"/>
      <c r="T639" s="47"/>
      <c r="U639" s="47"/>
      <c r="V639" s="47"/>
    </row>
    <row r="640" spans="6:22" ht="15.75" customHeight="1">
      <c r="F640" s="47"/>
      <c r="I640" s="47"/>
      <c r="J640" s="47"/>
      <c r="L640" s="384"/>
      <c r="M640" s="47"/>
      <c r="T640" s="47"/>
      <c r="U640" s="47"/>
      <c r="V640" s="47"/>
    </row>
    <row r="641" spans="6:22" ht="15.75" customHeight="1">
      <c r="F641" s="47"/>
      <c r="I641" s="47"/>
      <c r="J641" s="47"/>
      <c r="L641" s="384"/>
      <c r="M641" s="47"/>
      <c r="T641" s="47"/>
      <c r="U641" s="47"/>
      <c r="V641" s="47"/>
    </row>
    <row r="642" spans="6:22" ht="15.75" customHeight="1">
      <c r="F642" s="47"/>
      <c r="I642" s="47"/>
      <c r="J642" s="47"/>
      <c r="L642" s="384"/>
      <c r="M642" s="47"/>
      <c r="T642" s="47"/>
      <c r="U642" s="47"/>
      <c r="V642" s="47"/>
    </row>
    <row r="643" spans="6:22" ht="15.75" customHeight="1">
      <c r="F643" s="47"/>
      <c r="I643" s="47"/>
      <c r="J643" s="47"/>
      <c r="L643" s="384"/>
      <c r="M643" s="47"/>
      <c r="T643" s="47"/>
      <c r="U643" s="47"/>
      <c r="V643" s="47"/>
    </row>
    <row r="644" spans="6:22" ht="15.75" customHeight="1">
      <c r="F644" s="47"/>
      <c r="I644" s="47"/>
      <c r="J644" s="47"/>
      <c r="L644" s="384"/>
      <c r="M644" s="47"/>
      <c r="T644" s="47"/>
      <c r="U644" s="47"/>
      <c r="V644" s="47"/>
    </row>
    <row r="645" spans="6:22" ht="15.75" customHeight="1">
      <c r="F645" s="47"/>
      <c r="I645" s="47"/>
      <c r="J645" s="47"/>
      <c r="L645" s="384"/>
      <c r="M645" s="47"/>
      <c r="T645" s="47"/>
      <c r="U645" s="47"/>
      <c r="V645" s="47"/>
    </row>
    <row r="646" spans="6:22" ht="15.75" customHeight="1">
      <c r="F646" s="47"/>
      <c r="I646" s="47"/>
      <c r="J646" s="47"/>
      <c r="L646" s="384"/>
      <c r="M646" s="47"/>
      <c r="T646" s="47"/>
      <c r="U646" s="47"/>
      <c r="V646" s="47"/>
    </row>
    <row r="647" spans="6:22" ht="15.75" customHeight="1">
      <c r="F647" s="47"/>
      <c r="I647" s="47"/>
      <c r="J647" s="47"/>
      <c r="L647" s="384"/>
      <c r="M647" s="47"/>
      <c r="T647" s="47"/>
      <c r="U647" s="47"/>
      <c r="V647" s="47"/>
    </row>
    <row r="648" spans="6:22" ht="15.75" customHeight="1">
      <c r="F648" s="47"/>
      <c r="I648" s="47"/>
      <c r="J648" s="47"/>
      <c r="L648" s="384"/>
      <c r="M648" s="47"/>
      <c r="T648" s="47"/>
      <c r="U648" s="47"/>
      <c r="V648" s="47"/>
    </row>
    <row r="649" spans="6:22" ht="15.75" customHeight="1">
      <c r="F649" s="47"/>
      <c r="I649" s="47"/>
      <c r="J649" s="47"/>
      <c r="L649" s="384"/>
      <c r="M649" s="47"/>
      <c r="T649" s="47"/>
      <c r="U649" s="47"/>
      <c r="V649" s="47"/>
    </row>
    <row r="650" spans="6:22" ht="15.75" customHeight="1">
      <c r="F650" s="47"/>
      <c r="I650" s="47"/>
      <c r="J650" s="47"/>
      <c r="L650" s="384"/>
      <c r="M650" s="47"/>
      <c r="T650" s="47"/>
      <c r="U650" s="47"/>
      <c r="V650" s="47"/>
    </row>
    <row r="651" spans="6:22" ht="15.75" customHeight="1">
      <c r="F651" s="47"/>
      <c r="I651" s="47"/>
      <c r="J651" s="47"/>
      <c r="L651" s="384"/>
      <c r="M651" s="47"/>
      <c r="T651" s="47"/>
      <c r="U651" s="47"/>
      <c r="V651" s="47"/>
    </row>
    <row r="652" spans="6:22" ht="15.75" customHeight="1">
      <c r="F652" s="47"/>
      <c r="I652" s="47"/>
      <c r="J652" s="47"/>
      <c r="L652" s="384"/>
      <c r="M652" s="47"/>
      <c r="T652" s="47"/>
      <c r="U652" s="47"/>
      <c r="V652" s="47"/>
    </row>
    <row r="653" spans="6:22" ht="15.75" customHeight="1">
      <c r="F653" s="47"/>
      <c r="I653" s="47"/>
      <c r="J653" s="47"/>
      <c r="L653" s="384"/>
      <c r="M653" s="47"/>
      <c r="T653" s="47"/>
      <c r="U653" s="47"/>
      <c r="V653" s="47"/>
    </row>
    <row r="654" spans="6:22" ht="15.75" customHeight="1">
      <c r="F654" s="47"/>
      <c r="I654" s="47"/>
      <c r="J654" s="47"/>
      <c r="L654" s="384"/>
      <c r="M654" s="47"/>
      <c r="T654" s="47"/>
      <c r="U654" s="47"/>
      <c r="V654" s="47"/>
    </row>
    <row r="655" spans="6:22" ht="15.75" customHeight="1">
      <c r="F655" s="47"/>
      <c r="I655" s="47"/>
      <c r="J655" s="47"/>
      <c r="L655" s="384"/>
      <c r="M655" s="47"/>
      <c r="T655" s="47"/>
      <c r="U655" s="47"/>
      <c r="V655" s="47"/>
    </row>
    <row r="656" spans="6:22" ht="15.75" customHeight="1">
      <c r="F656" s="47"/>
      <c r="I656" s="47"/>
      <c r="J656" s="47"/>
      <c r="L656" s="384"/>
      <c r="M656" s="47"/>
      <c r="T656" s="47"/>
      <c r="U656" s="47"/>
      <c r="V656" s="47"/>
    </row>
    <row r="657" spans="6:22" ht="15.75" customHeight="1">
      <c r="F657" s="47"/>
      <c r="I657" s="47"/>
      <c r="J657" s="47"/>
      <c r="L657" s="384"/>
      <c r="M657" s="47"/>
      <c r="T657" s="47"/>
      <c r="U657" s="47"/>
      <c r="V657" s="47"/>
    </row>
    <row r="658" spans="6:22" ht="15.75" customHeight="1">
      <c r="F658" s="47"/>
      <c r="I658" s="47"/>
      <c r="J658" s="47"/>
      <c r="L658" s="384"/>
      <c r="M658" s="47"/>
      <c r="T658" s="47"/>
      <c r="U658" s="47"/>
      <c r="V658" s="47"/>
    </row>
    <row r="659" spans="6:22" ht="15.75" customHeight="1">
      <c r="F659" s="47"/>
      <c r="I659" s="47"/>
      <c r="J659" s="47"/>
      <c r="L659" s="384"/>
      <c r="M659" s="47"/>
      <c r="T659" s="47"/>
      <c r="U659" s="47"/>
      <c r="V659" s="47"/>
    </row>
    <row r="660" spans="6:22" ht="15.75" customHeight="1">
      <c r="F660" s="47"/>
      <c r="I660" s="47"/>
      <c r="J660" s="47"/>
      <c r="L660" s="384"/>
      <c r="M660" s="47"/>
      <c r="T660" s="47"/>
      <c r="U660" s="47"/>
      <c r="V660" s="47"/>
    </row>
    <row r="661" spans="6:22" ht="15.75" customHeight="1">
      <c r="F661" s="47"/>
      <c r="I661" s="47"/>
      <c r="J661" s="47"/>
      <c r="L661" s="384"/>
      <c r="M661" s="47"/>
      <c r="T661" s="47"/>
      <c r="U661" s="47"/>
      <c r="V661" s="47"/>
    </row>
    <row r="662" spans="6:22" ht="15.75" customHeight="1">
      <c r="F662" s="47"/>
      <c r="I662" s="47"/>
      <c r="J662" s="47"/>
      <c r="L662" s="384"/>
      <c r="M662" s="47"/>
      <c r="T662" s="47"/>
      <c r="U662" s="47"/>
      <c r="V662" s="47"/>
    </row>
    <row r="663" spans="6:22" ht="15.75" customHeight="1">
      <c r="F663" s="47"/>
      <c r="I663" s="47"/>
      <c r="J663" s="47"/>
      <c r="L663" s="384"/>
      <c r="M663" s="47"/>
      <c r="T663" s="47"/>
      <c r="U663" s="47"/>
      <c r="V663" s="47"/>
    </row>
    <row r="664" spans="6:22" ht="15.75" customHeight="1">
      <c r="F664" s="47"/>
      <c r="I664" s="47"/>
      <c r="J664" s="47"/>
      <c r="L664" s="384"/>
      <c r="M664" s="47"/>
      <c r="T664" s="47"/>
      <c r="U664" s="47"/>
      <c r="V664" s="47"/>
    </row>
    <row r="665" spans="6:22" ht="15.75" customHeight="1">
      <c r="F665" s="47"/>
      <c r="I665" s="47"/>
      <c r="J665" s="47"/>
      <c r="L665" s="384"/>
      <c r="M665" s="47"/>
      <c r="T665" s="47"/>
      <c r="U665" s="47"/>
      <c r="V665" s="47"/>
    </row>
    <row r="666" spans="6:22" ht="15.75" customHeight="1">
      <c r="F666" s="47"/>
      <c r="I666" s="47"/>
      <c r="J666" s="47"/>
      <c r="L666" s="384"/>
      <c r="M666" s="47"/>
      <c r="T666" s="47"/>
      <c r="U666" s="47"/>
      <c r="V666" s="47"/>
    </row>
    <row r="667" spans="6:22" ht="15.75" customHeight="1">
      <c r="F667" s="47"/>
      <c r="I667" s="47"/>
      <c r="J667" s="47"/>
      <c r="L667" s="384"/>
      <c r="M667" s="47"/>
      <c r="T667" s="47"/>
      <c r="U667" s="47"/>
      <c r="V667" s="47"/>
    </row>
    <row r="668" spans="6:22" ht="15.75" customHeight="1">
      <c r="F668" s="47"/>
      <c r="I668" s="47"/>
      <c r="J668" s="47"/>
      <c r="L668" s="384"/>
      <c r="M668" s="47"/>
      <c r="T668" s="47"/>
      <c r="U668" s="47"/>
      <c r="V668" s="47"/>
    </row>
    <row r="669" spans="6:22" ht="15.75" customHeight="1">
      <c r="F669" s="47"/>
      <c r="I669" s="47"/>
      <c r="J669" s="47"/>
      <c r="L669" s="384"/>
      <c r="M669" s="47"/>
      <c r="T669" s="47"/>
      <c r="U669" s="47"/>
      <c r="V669" s="47"/>
    </row>
    <row r="670" spans="6:22" ht="15.75" customHeight="1">
      <c r="F670" s="47"/>
      <c r="I670" s="47"/>
      <c r="J670" s="47"/>
      <c r="L670" s="384"/>
      <c r="M670" s="47"/>
      <c r="T670" s="47"/>
      <c r="U670" s="47"/>
      <c r="V670" s="47"/>
    </row>
    <row r="671" spans="6:22" ht="15.75" customHeight="1">
      <c r="F671" s="47"/>
      <c r="I671" s="47"/>
      <c r="J671" s="47"/>
      <c r="L671" s="384"/>
      <c r="M671" s="47"/>
      <c r="T671" s="47"/>
      <c r="U671" s="47"/>
      <c r="V671" s="47"/>
    </row>
    <row r="672" spans="6:22" ht="15.75" customHeight="1">
      <c r="F672" s="47"/>
      <c r="I672" s="47"/>
      <c r="J672" s="47"/>
      <c r="L672" s="384"/>
      <c r="M672" s="47"/>
      <c r="T672" s="47"/>
      <c r="U672" s="47"/>
      <c r="V672" s="47"/>
    </row>
    <row r="673" spans="6:22" ht="15.75" customHeight="1">
      <c r="F673" s="47"/>
      <c r="I673" s="47"/>
      <c r="J673" s="47"/>
      <c r="L673" s="384"/>
      <c r="M673" s="47"/>
      <c r="T673" s="47"/>
      <c r="U673" s="47"/>
      <c r="V673" s="47"/>
    </row>
    <row r="674" spans="6:22" ht="15.75" customHeight="1">
      <c r="F674" s="47"/>
      <c r="I674" s="47"/>
      <c r="J674" s="47"/>
      <c r="L674" s="384"/>
      <c r="M674" s="47"/>
      <c r="T674" s="47"/>
      <c r="U674" s="47"/>
      <c r="V674" s="47"/>
    </row>
    <row r="675" spans="6:22" ht="15.75" customHeight="1">
      <c r="F675" s="47"/>
      <c r="I675" s="47"/>
      <c r="J675" s="47"/>
      <c r="L675" s="384"/>
      <c r="M675" s="47"/>
      <c r="T675" s="47"/>
      <c r="U675" s="47"/>
      <c r="V675" s="47"/>
    </row>
    <row r="676" spans="6:22" ht="15.75" customHeight="1">
      <c r="F676" s="47"/>
      <c r="I676" s="47"/>
      <c r="J676" s="47"/>
      <c r="L676" s="384"/>
      <c r="M676" s="47"/>
      <c r="T676" s="47"/>
      <c r="U676" s="47"/>
      <c r="V676" s="47"/>
    </row>
    <row r="677" spans="6:22" ht="15.75" customHeight="1">
      <c r="F677" s="47"/>
      <c r="I677" s="47"/>
      <c r="J677" s="47"/>
      <c r="L677" s="384"/>
      <c r="M677" s="47"/>
      <c r="T677" s="47"/>
      <c r="U677" s="47"/>
      <c r="V677" s="47"/>
    </row>
    <row r="678" spans="6:22" ht="15.75" customHeight="1">
      <c r="F678" s="47"/>
      <c r="I678" s="47"/>
      <c r="J678" s="47"/>
      <c r="L678" s="384"/>
      <c r="M678" s="47"/>
      <c r="T678" s="47"/>
      <c r="U678" s="47"/>
      <c r="V678" s="47"/>
    </row>
    <row r="679" spans="6:22" ht="15.75" customHeight="1">
      <c r="F679" s="47"/>
      <c r="I679" s="47"/>
      <c r="J679" s="47"/>
      <c r="L679" s="384"/>
      <c r="M679" s="47"/>
      <c r="T679" s="47"/>
      <c r="U679" s="47"/>
      <c r="V679" s="47"/>
    </row>
    <row r="680" spans="6:22" ht="15.75" customHeight="1">
      <c r="F680" s="47"/>
      <c r="I680" s="47"/>
      <c r="J680" s="47"/>
      <c r="L680" s="384"/>
      <c r="M680" s="47"/>
      <c r="T680" s="47"/>
      <c r="U680" s="47"/>
      <c r="V680" s="47"/>
    </row>
    <row r="681" spans="6:22" ht="15.75" customHeight="1">
      <c r="F681" s="47"/>
      <c r="I681" s="47"/>
      <c r="J681" s="47"/>
      <c r="L681" s="384"/>
      <c r="M681" s="47"/>
      <c r="T681" s="47"/>
      <c r="U681" s="47"/>
      <c r="V681" s="47"/>
    </row>
    <row r="682" spans="6:22" ht="15.75" customHeight="1">
      <c r="F682" s="47"/>
      <c r="I682" s="47"/>
      <c r="J682" s="47"/>
      <c r="L682" s="384"/>
      <c r="M682" s="47"/>
      <c r="T682" s="47"/>
      <c r="U682" s="47"/>
      <c r="V682" s="47"/>
    </row>
    <row r="683" spans="6:22" ht="15.75" customHeight="1">
      <c r="F683" s="47"/>
      <c r="I683" s="47"/>
      <c r="J683" s="47"/>
      <c r="L683" s="384"/>
      <c r="M683" s="47"/>
      <c r="T683" s="47"/>
      <c r="U683" s="47"/>
      <c r="V683" s="47"/>
    </row>
    <row r="684" spans="6:22" ht="15.75" customHeight="1">
      <c r="F684" s="47"/>
      <c r="I684" s="47"/>
      <c r="J684" s="47"/>
      <c r="L684" s="384"/>
      <c r="M684" s="47"/>
      <c r="T684" s="47"/>
      <c r="U684" s="47"/>
      <c r="V684" s="47"/>
    </row>
    <row r="685" spans="6:22" ht="15.75" customHeight="1">
      <c r="F685" s="47"/>
      <c r="I685" s="47"/>
      <c r="J685" s="47"/>
      <c r="L685" s="384"/>
      <c r="M685" s="47"/>
      <c r="T685" s="47"/>
      <c r="U685" s="47"/>
      <c r="V685" s="47"/>
    </row>
    <row r="686" spans="6:22" ht="15.75" customHeight="1">
      <c r="F686" s="47"/>
      <c r="I686" s="47"/>
      <c r="J686" s="47"/>
      <c r="L686" s="384"/>
      <c r="M686" s="47"/>
      <c r="T686" s="47"/>
      <c r="U686" s="47"/>
      <c r="V686" s="47"/>
    </row>
    <row r="687" spans="6:22" ht="15.75" customHeight="1">
      <c r="F687" s="47"/>
      <c r="I687" s="47"/>
      <c r="J687" s="47"/>
      <c r="L687" s="384"/>
      <c r="M687" s="47"/>
      <c r="T687" s="47"/>
      <c r="U687" s="47"/>
      <c r="V687" s="47"/>
    </row>
    <row r="688" spans="6:22" ht="15.75" customHeight="1">
      <c r="F688" s="47"/>
      <c r="I688" s="47"/>
      <c r="J688" s="47"/>
      <c r="L688" s="384"/>
      <c r="M688" s="47"/>
      <c r="T688" s="47"/>
      <c r="U688" s="47"/>
      <c r="V688" s="47"/>
    </row>
    <row r="689" spans="6:22" ht="15.75" customHeight="1">
      <c r="F689" s="47"/>
      <c r="I689" s="47"/>
      <c r="J689" s="47"/>
      <c r="L689" s="384"/>
      <c r="M689" s="47"/>
      <c r="T689" s="47"/>
      <c r="U689" s="47"/>
      <c r="V689" s="47"/>
    </row>
    <row r="690" spans="6:22" ht="15.75" customHeight="1">
      <c r="F690" s="47"/>
      <c r="I690" s="47"/>
      <c r="J690" s="47"/>
      <c r="L690" s="384"/>
      <c r="M690" s="47"/>
      <c r="T690" s="47"/>
      <c r="U690" s="47"/>
      <c r="V690" s="47"/>
    </row>
    <row r="691" spans="6:22" ht="15.75" customHeight="1">
      <c r="F691" s="47"/>
      <c r="I691" s="47"/>
      <c r="J691" s="47"/>
      <c r="L691" s="384"/>
      <c r="M691" s="47"/>
      <c r="T691" s="47"/>
      <c r="U691" s="47"/>
      <c r="V691" s="47"/>
    </row>
    <row r="692" spans="6:22" ht="15.75" customHeight="1">
      <c r="F692" s="47"/>
      <c r="I692" s="47"/>
      <c r="J692" s="47"/>
      <c r="L692" s="384"/>
      <c r="M692" s="47"/>
      <c r="T692" s="47"/>
      <c r="U692" s="47"/>
      <c r="V692" s="47"/>
    </row>
    <row r="693" spans="6:22" ht="15.75" customHeight="1">
      <c r="F693" s="47"/>
      <c r="I693" s="47"/>
      <c r="J693" s="47"/>
      <c r="L693" s="384"/>
      <c r="M693" s="47"/>
      <c r="T693" s="47"/>
      <c r="U693" s="47"/>
      <c r="V693" s="47"/>
    </row>
    <row r="694" spans="6:22" ht="15.75" customHeight="1">
      <c r="F694" s="47"/>
      <c r="I694" s="47"/>
      <c r="J694" s="47"/>
      <c r="L694" s="384"/>
      <c r="M694" s="47"/>
      <c r="T694" s="47"/>
      <c r="U694" s="47"/>
      <c r="V694" s="47"/>
    </row>
    <row r="695" spans="6:22" ht="15.75" customHeight="1">
      <c r="F695" s="47"/>
      <c r="I695" s="47"/>
      <c r="J695" s="47"/>
      <c r="L695" s="384"/>
      <c r="M695" s="47"/>
      <c r="T695" s="47"/>
      <c r="U695" s="47"/>
      <c r="V695" s="47"/>
    </row>
    <row r="696" spans="6:22" ht="15.75" customHeight="1">
      <c r="F696" s="47"/>
      <c r="I696" s="47"/>
      <c r="J696" s="47"/>
      <c r="L696" s="384"/>
      <c r="M696" s="47"/>
      <c r="T696" s="47"/>
      <c r="U696" s="47"/>
      <c r="V696" s="47"/>
    </row>
    <row r="697" spans="6:22" ht="15.75" customHeight="1">
      <c r="F697" s="47"/>
      <c r="I697" s="47"/>
      <c r="J697" s="47"/>
      <c r="L697" s="384"/>
      <c r="M697" s="47"/>
      <c r="T697" s="47"/>
      <c r="U697" s="47"/>
      <c r="V697" s="47"/>
    </row>
    <row r="698" spans="6:22" ht="15.75" customHeight="1">
      <c r="F698" s="47"/>
      <c r="I698" s="47"/>
      <c r="J698" s="47"/>
      <c r="L698" s="384"/>
      <c r="M698" s="47"/>
      <c r="T698" s="47"/>
      <c r="U698" s="47"/>
      <c r="V698" s="47"/>
    </row>
    <row r="699" spans="6:22" ht="15.75" customHeight="1">
      <c r="F699" s="47"/>
      <c r="I699" s="47"/>
      <c r="J699" s="47"/>
      <c r="L699" s="384"/>
      <c r="M699" s="47"/>
      <c r="T699" s="47"/>
      <c r="U699" s="47"/>
      <c r="V699" s="47"/>
    </row>
    <row r="700" spans="6:22" ht="15.75" customHeight="1">
      <c r="F700" s="47"/>
      <c r="I700" s="47"/>
      <c r="J700" s="47"/>
      <c r="L700" s="384"/>
      <c r="M700" s="47"/>
      <c r="T700" s="47"/>
      <c r="U700" s="47"/>
      <c r="V700" s="47"/>
    </row>
    <row r="701" spans="6:22" ht="15.75" customHeight="1">
      <c r="F701" s="47"/>
      <c r="I701" s="47"/>
      <c r="J701" s="47"/>
      <c r="L701" s="384"/>
      <c r="M701" s="47"/>
      <c r="T701" s="47"/>
      <c r="U701" s="47"/>
      <c r="V701" s="47"/>
    </row>
    <row r="702" spans="6:22" ht="15.75" customHeight="1">
      <c r="F702" s="47"/>
      <c r="I702" s="47"/>
      <c r="J702" s="47"/>
      <c r="L702" s="384"/>
      <c r="M702" s="47"/>
      <c r="T702" s="47"/>
      <c r="U702" s="47"/>
      <c r="V702" s="47"/>
    </row>
    <row r="703" spans="6:22" ht="15.75" customHeight="1">
      <c r="F703" s="47"/>
      <c r="I703" s="47"/>
      <c r="J703" s="47"/>
      <c r="L703" s="384"/>
      <c r="M703" s="47"/>
      <c r="T703" s="47"/>
      <c r="U703" s="47"/>
      <c r="V703" s="47"/>
    </row>
    <row r="704" spans="6:22" ht="15.75" customHeight="1">
      <c r="F704" s="47"/>
      <c r="I704" s="47"/>
      <c r="J704" s="47"/>
      <c r="L704" s="384"/>
      <c r="M704" s="47"/>
      <c r="T704" s="47"/>
      <c r="U704" s="47"/>
      <c r="V704" s="47"/>
    </row>
    <row r="705" spans="6:22" ht="15.75" customHeight="1">
      <c r="F705" s="47"/>
      <c r="I705" s="47"/>
      <c r="J705" s="47"/>
      <c r="L705" s="384"/>
      <c r="M705" s="47"/>
      <c r="T705" s="47"/>
      <c r="U705" s="47"/>
      <c r="V705" s="47"/>
    </row>
    <row r="706" spans="6:22" ht="15.75" customHeight="1">
      <c r="F706" s="47"/>
      <c r="I706" s="47"/>
      <c r="J706" s="47"/>
      <c r="L706" s="384"/>
      <c r="M706" s="47"/>
      <c r="T706" s="47"/>
      <c r="U706" s="47"/>
      <c r="V706" s="47"/>
    </row>
    <row r="707" spans="6:22" ht="15.75" customHeight="1">
      <c r="F707" s="47"/>
      <c r="I707" s="47"/>
      <c r="J707" s="47"/>
      <c r="L707" s="384"/>
      <c r="M707" s="47"/>
      <c r="T707" s="47"/>
      <c r="U707" s="47"/>
      <c r="V707" s="47"/>
    </row>
    <row r="708" spans="6:22" ht="15.75" customHeight="1">
      <c r="F708" s="47"/>
      <c r="I708" s="47"/>
      <c r="J708" s="47"/>
      <c r="L708" s="384"/>
      <c r="M708" s="47"/>
      <c r="T708" s="47"/>
      <c r="U708" s="47"/>
      <c r="V708" s="47"/>
    </row>
    <row r="709" spans="6:22" ht="15.75" customHeight="1">
      <c r="F709" s="47"/>
      <c r="I709" s="47"/>
      <c r="J709" s="47"/>
      <c r="L709" s="384"/>
      <c r="M709" s="47"/>
      <c r="T709" s="47"/>
      <c r="U709" s="47"/>
      <c r="V709" s="47"/>
    </row>
    <row r="710" spans="6:22" ht="15.75" customHeight="1">
      <c r="F710" s="47"/>
      <c r="I710" s="47"/>
      <c r="J710" s="47"/>
      <c r="L710" s="384"/>
      <c r="M710" s="47"/>
      <c r="T710" s="47"/>
      <c r="U710" s="47"/>
      <c r="V710" s="47"/>
    </row>
    <row r="711" spans="6:22" ht="15.75" customHeight="1">
      <c r="F711" s="47"/>
      <c r="I711" s="47"/>
      <c r="J711" s="47"/>
      <c r="L711" s="384"/>
      <c r="M711" s="47"/>
      <c r="T711" s="47"/>
      <c r="U711" s="47"/>
      <c r="V711" s="47"/>
    </row>
    <row r="712" spans="6:22" ht="15.75" customHeight="1">
      <c r="F712" s="47"/>
      <c r="I712" s="47"/>
      <c r="J712" s="47"/>
      <c r="L712" s="384"/>
      <c r="M712" s="47"/>
      <c r="T712" s="47"/>
      <c r="U712" s="47"/>
      <c r="V712" s="47"/>
    </row>
    <row r="713" spans="6:22" ht="15.75" customHeight="1">
      <c r="F713" s="47"/>
      <c r="I713" s="47"/>
      <c r="J713" s="47"/>
      <c r="L713" s="384"/>
      <c r="M713" s="47"/>
      <c r="T713" s="47"/>
      <c r="U713" s="47"/>
      <c r="V713" s="47"/>
    </row>
    <row r="714" spans="6:22" ht="15.75" customHeight="1">
      <c r="F714" s="47"/>
      <c r="I714" s="47"/>
      <c r="J714" s="47"/>
      <c r="L714" s="384"/>
      <c r="M714" s="47"/>
      <c r="T714" s="47"/>
      <c r="U714" s="47"/>
      <c r="V714" s="47"/>
    </row>
    <row r="715" spans="6:22" ht="15.75" customHeight="1">
      <c r="F715" s="47"/>
      <c r="I715" s="47"/>
      <c r="J715" s="47"/>
      <c r="L715" s="384"/>
      <c r="M715" s="47"/>
      <c r="T715" s="47"/>
      <c r="U715" s="47"/>
      <c r="V715" s="47"/>
    </row>
    <row r="716" spans="6:22" ht="15.75" customHeight="1">
      <c r="F716" s="47"/>
      <c r="I716" s="47"/>
      <c r="J716" s="47"/>
      <c r="L716" s="384"/>
      <c r="M716" s="47"/>
      <c r="T716" s="47"/>
      <c r="U716" s="47"/>
      <c r="V716" s="47"/>
    </row>
    <row r="717" spans="6:22" ht="15.75" customHeight="1">
      <c r="F717" s="47"/>
      <c r="I717" s="47"/>
      <c r="J717" s="47"/>
      <c r="L717" s="384"/>
      <c r="M717" s="47"/>
      <c r="T717" s="47"/>
      <c r="U717" s="47"/>
      <c r="V717" s="47"/>
    </row>
    <row r="718" spans="6:22" ht="15.75" customHeight="1">
      <c r="F718" s="47"/>
      <c r="I718" s="47"/>
      <c r="J718" s="47"/>
      <c r="L718" s="384"/>
      <c r="M718" s="47"/>
      <c r="T718" s="47"/>
      <c r="U718" s="47"/>
      <c r="V718" s="47"/>
    </row>
    <row r="719" spans="6:22" ht="15.75" customHeight="1">
      <c r="F719" s="47"/>
      <c r="I719" s="47"/>
      <c r="J719" s="47"/>
      <c r="L719" s="384"/>
      <c r="M719" s="47"/>
      <c r="T719" s="47"/>
      <c r="U719" s="47"/>
      <c r="V719" s="47"/>
    </row>
    <row r="720" spans="6:22" ht="15.75" customHeight="1">
      <c r="F720" s="47"/>
      <c r="I720" s="47"/>
      <c r="J720" s="47"/>
      <c r="L720" s="384"/>
      <c r="M720" s="47"/>
      <c r="T720" s="47"/>
      <c r="U720" s="47"/>
      <c r="V720" s="47"/>
    </row>
    <row r="721" spans="6:22" ht="15.75" customHeight="1">
      <c r="F721" s="47"/>
      <c r="I721" s="47"/>
      <c r="J721" s="47"/>
      <c r="L721" s="384"/>
      <c r="M721" s="47"/>
      <c r="T721" s="47"/>
      <c r="U721" s="47"/>
      <c r="V721" s="47"/>
    </row>
    <row r="722" spans="6:22" ht="15.75" customHeight="1">
      <c r="F722" s="47"/>
      <c r="I722" s="47"/>
      <c r="J722" s="47"/>
      <c r="L722" s="384"/>
      <c r="M722" s="47"/>
      <c r="T722" s="47"/>
      <c r="U722" s="47"/>
      <c r="V722" s="47"/>
    </row>
    <row r="723" spans="6:22" ht="15.75" customHeight="1">
      <c r="F723" s="47"/>
      <c r="I723" s="47"/>
      <c r="J723" s="47"/>
      <c r="L723" s="384"/>
      <c r="M723" s="47"/>
      <c r="T723" s="47"/>
      <c r="U723" s="47"/>
      <c r="V723" s="47"/>
    </row>
    <row r="724" spans="6:22" ht="15.75" customHeight="1">
      <c r="F724" s="47"/>
      <c r="I724" s="47"/>
      <c r="J724" s="47"/>
      <c r="L724" s="384"/>
      <c r="M724" s="47"/>
      <c r="T724" s="47"/>
      <c r="U724" s="47"/>
      <c r="V724" s="47"/>
    </row>
    <row r="725" spans="6:22" ht="15.75" customHeight="1">
      <c r="F725" s="47"/>
      <c r="I725" s="47"/>
      <c r="J725" s="47"/>
      <c r="L725" s="384"/>
      <c r="M725" s="47"/>
      <c r="T725" s="47"/>
      <c r="U725" s="47"/>
      <c r="V725" s="47"/>
    </row>
    <row r="726" spans="6:22" ht="15.75" customHeight="1">
      <c r="F726" s="47"/>
      <c r="I726" s="47"/>
      <c r="J726" s="47"/>
      <c r="L726" s="384"/>
      <c r="M726" s="47"/>
      <c r="T726" s="47"/>
      <c r="U726" s="47"/>
      <c r="V726" s="47"/>
    </row>
    <row r="727" spans="6:22" ht="15.75" customHeight="1">
      <c r="F727" s="47"/>
      <c r="I727" s="47"/>
      <c r="J727" s="47"/>
      <c r="L727" s="384"/>
      <c r="M727" s="47"/>
      <c r="T727" s="47"/>
      <c r="U727" s="47"/>
      <c r="V727" s="47"/>
    </row>
    <row r="728" spans="6:22" ht="15.75" customHeight="1">
      <c r="F728" s="47"/>
      <c r="I728" s="47"/>
      <c r="J728" s="47"/>
      <c r="L728" s="384"/>
      <c r="M728" s="47"/>
      <c r="T728" s="47"/>
      <c r="U728" s="47"/>
      <c r="V728" s="47"/>
    </row>
    <row r="729" spans="6:22" ht="15.75" customHeight="1">
      <c r="F729" s="47"/>
      <c r="I729" s="47"/>
      <c r="J729" s="47"/>
      <c r="L729" s="384"/>
      <c r="M729" s="47"/>
      <c r="T729" s="47"/>
      <c r="U729" s="47"/>
      <c r="V729" s="47"/>
    </row>
    <row r="730" spans="6:22" ht="15.75" customHeight="1">
      <c r="F730" s="47"/>
      <c r="I730" s="47"/>
      <c r="J730" s="47"/>
      <c r="L730" s="384"/>
      <c r="M730" s="47"/>
      <c r="T730" s="47"/>
      <c r="U730" s="47"/>
      <c r="V730" s="47"/>
    </row>
    <row r="731" spans="6:22" ht="15.75" customHeight="1">
      <c r="F731" s="47"/>
      <c r="I731" s="47"/>
      <c r="J731" s="47"/>
      <c r="L731" s="384"/>
      <c r="M731" s="47"/>
      <c r="T731" s="47"/>
      <c r="U731" s="47"/>
      <c r="V731" s="47"/>
    </row>
    <row r="732" spans="6:22" ht="15.75" customHeight="1">
      <c r="F732" s="47"/>
      <c r="I732" s="47"/>
      <c r="J732" s="47"/>
      <c r="L732" s="384"/>
      <c r="M732" s="47"/>
      <c r="T732" s="47"/>
      <c r="U732" s="47"/>
      <c r="V732" s="47"/>
    </row>
    <row r="733" spans="6:22" ht="15.75" customHeight="1">
      <c r="F733" s="47"/>
      <c r="I733" s="47"/>
      <c r="J733" s="47"/>
      <c r="L733" s="384"/>
      <c r="M733" s="47"/>
      <c r="T733" s="47"/>
      <c r="U733" s="47"/>
      <c r="V733" s="47"/>
    </row>
    <row r="734" spans="6:22" ht="15.75" customHeight="1">
      <c r="F734" s="47"/>
      <c r="I734" s="47"/>
      <c r="J734" s="47"/>
      <c r="L734" s="384"/>
      <c r="M734" s="47"/>
      <c r="T734" s="47"/>
      <c r="U734" s="47"/>
      <c r="V734" s="47"/>
    </row>
    <row r="735" spans="6:22" ht="15.75" customHeight="1">
      <c r="F735" s="47"/>
      <c r="I735" s="47"/>
      <c r="J735" s="47"/>
      <c r="L735" s="384"/>
      <c r="M735" s="47"/>
      <c r="T735" s="47"/>
      <c r="U735" s="47"/>
      <c r="V735" s="47"/>
    </row>
    <row r="736" spans="6:22" ht="15.75" customHeight="1">
      <c r="F736" s="47"/>
      <c r="I736" s="47"/>
      <c r="J736" s="47"/>
      <c r="L736" s="384"/>
      <c r="M736" s="47"/>
      <c r="T736" s="47"/>
      <c r="U736" s="47"/>
      <c r="V736" s="47"/>
    </row>
    <row r="737" spans="6:22" ht="15.75" customHeight="1">
      <c r="F737" s="47"/>
      <c r="I737" s="47"/>
      <c r="J737" s="47"/>
      <c r="L737" s="384"/>
      <c r="M737" s="47"/>
      <c r="T737" s="47"/>
      <c r="U737" s="47"/>
      <c r="V737" s="47"/>
    </row>
    <row r="738" spans="6:22" ht="15.75" customHeight="1">
      <c r="F738" s="47"/>
      <c r="I738" s="47"/>
      <c r="J738" s="47"/>
      <c r="L738" s="384"/>
      <c r="M738" s="47"/>
      <c r="T738" s="47"/>
      <c r="U738" s="47"/>
      <c r="V738" s="47"/>
    </row>
    <row r="739" spans="6:22" ht="15.75" customHeight="1">
      <c r="F739" s="47"/>
      <c r="I739" s="47"/>
      <c r="J739" s="47"/>
      <c r="L739" s="384"/>
      <c r="M739" s="47"/>
      <c r="T739" s="47"/>
      <c r="U739" s="47"/>
      <c r="V739" s="47"/>
    </row>
    <row r="740" spans="6:22" ht="15.75" customHeight="1">
      <c r="F740" s="47"/>
      <c r="I740" s="47"/>
      <c r="J740" s="47"/>
      <c r="L740" s="384"/>
      <c r="M740" s="47"/>
      <c r="T740" s="47"/>
      <c r="U740" s="47"/>
      <c r="V740" s="47"/>
    </row>
    <row r="741" spans="6:22" ht="15.75" customHeight="1">
      <c r="F741" s="47"/>
      <c r="I741" s="47"/>
      <c r="J741" s="47"/>
      <c r="L741" s="384"/>
      <c r="M741" s="47"/>
      <c r="T741" s="47"/>
      <c r="U741" s="47"/>
      <c r="V741" s="47"/>
    </row>
    <row r="742" spans="6:22" ht="15.75" customHeight="1">
      <c r="F742" s="47"/>
      <c r="I742" s="47"/>
      <c r="J742" s="47"/>
      <c r="L742" s="384"/>
      <c r="M742" s="47"/>
      <c r="T742" s="47"/>
      <c r="U742" s="47"/>
      <c r="V742" s="47"/>
    </row>
    <row r="743" spans="6:22" ht="15.75" customHeight="1">
      <c r="F743" s="47"/>
      <c r="I743" s="47"/>
      <c r="J743" s="47"/>
      <c r="L743" s="384"/>
      <c r="M743" s="47"/>
      <c r="T743" s="47"/>
      <c r="U743" s="47"/>
      <c r="V743" s="47"/>
    </row>
    <row r="744" spans="6:22" ht="15.75" customHeight="1">
      <c r="F744" s="47"/>
      <c r="I744" s="47"/>
      <c r="J744" s="47"/>
      <c r="L744" s="384"/>
      <c r="M744" s="47"/>
      <c r="T744" s="47"/>
      <c r="U744" s="47"/>
      <c r="V744" s="47"/>
    </row>
    <row r="745" spans="6:22" ht="15.75" customHeight="1">
      <c r="F745" s="47"/>
      <c r="I745" s="47"/>
      <c r="J745" s="47"/>
      <c r="L745" s="384"/>
      <c r="M745" s="47"/>
      <c r="T745" s="47"/>
      <c r="U745" s="47"/>
      <c r="V745" s="47"/>
    </row>
    <row r="746" spans="6:22" ht="15.75" customHeight="1">
      <c r="F746" s="47"/>
      <c r="I746" s="47"/>
      <c r="J746" s="47"/>
      <c r="L746" s="384"/>
      <c r="M746" s="47"/>
      <c r="T746" s="47"/>
      <c r="U746" s="47"/>
      <c r="V746" s="47"/>
    </row>
    <row r="747" spans="6:22" ht="15.75" customHeight="1">
      <c r="F747" s="47"/>
      <c r="I747" s="47"/>
      <c r="J747" s="47"/>
      <c r="L747" s="384"/>
      <c r="M747" s="47"/>
      <c r="T747" s="47"/>
      <c r="U747" s="47"/>
      <c r="V747" s="47"/>
    </row>
    <row r="748" spans="6:22" ht="15.75" customHeight="1">
      <c r="F748" s="47"/>
      <c r="I748" s="47"/>
      <c r="J748" s="47"/>
      <c r="L748" s="384"/>
      <c r="M748" s="47"/>
      <c r="T748" s="47"/>
      <c r="U748" s="47"/>
      <c r="V748" s="47"/>
    </row>
    <row r="749" spans="6:22" ht="15.75" customHeight="1">
      <c r="F749" s="47"/>
      <c r="I749" s="47"/>
      <c r="J749" s="47"/>
      <c r="L749" s="384"/>
      <c r="M749" s="47"/>
      <c r="T749" s="47"/>
      <c r="U749" s="47"/>
      <c r="V749" s="47"/>
    </row>
    <row r="750" spans="6:22" ht="15.75" customHeight="1">
      <c r="F750" s="47"/>
      <c r="I750" s="47"/>
      <c r="J750" s="47"/>
      <c r="L750" s="384"/>
      <c r="M750" s="47"/>
      <c r="T750" s="47"/>
      <c r="U750" s="47"/>
      <c r="V750" s="47"/>
    </row>
    <row r="751" spans="6:22" ht="15.75" customHeight="1">
      <c r="F751" s="47"/>
      <c r="I751" s="47"/>
      <c r="J751" s="47"/>
      <c r="L751" s="384"/>
      <c r="M751" s="47"/>
      <c r="T751" s="47"/>
      <c r="U751" s="47"/>
      <c r="V751" s="47"/>
    </row>
    <row r="752" spans="6:22" ht="15.75" customHeight="1">
      <c r="F752" s="47"/>
      <c r="I752" s="47"/>
      <c r="J752" s="47"/>
      <c r="L752" s="384"/>
      <c r="M752" s="47"/>
      <c r="T752" s="47"/>
      <c r="U752" s="47"/>
      <c r="V752" s="47"/>
    </row>
    <row r="753" spans="6:22" ht="15.75" customHeight="1">
      <c r="F753" s="47"/>
      <c r="I753" s="47"/>
      <c r="J753" s="47"/>
      <c r="L753" s="384"/>
      <c r="M753" s="47"/>
      <c r="T753" s="47"/>
      <c r="U753" s="47"/>
      <c r="V753" s="47"/>
    </row>
    <row r="754" spans="6:22" ht="15.75" customHeight="1">
      <c r="F754" s="47"/>
      <c r="I754" s="47"/>
      <c r="J754" s="47"/>
      <c r="L754" s="384"/>
      <c r="M754" s="47"/>
      <c r="T754" s="47"/>
      <c r="U754" s="47"/>
      <c r="V754" s="47"/>
    </row>
    <row r="755" spans="6:22" ht="15.75" customHeight="1">
      <c r="F755" s="47"/>
      <c r="I755" s="47"/>
      <c r="J755" s="47"/>
      <c r="L755" s="384"/>
      <c r="M755" s="47"/>
      <c r="T755" s="47"/>
      <c r="U755" s="47"/>
      <c r="V755" s="47"/>
    </row>
    <row r="756" spans="6:22" ht="15.75" customHeight="1">
      <c r="F756" s="47"/>
      <c r="I756" s="47"/>
      <c r="J756" s="47"/>
      <c r="L756" s="384"/>
      <c r="M756" s="47"/>
      <c r="T756" s="47"/>
      <c r="U756" s="47"/>
      <c r="V756" s="47"/>
    </row>
    <row r="757" spans="6:22" ht="15.75" customHeight="1">
      <c r="F757" s="47"/>
      <c r="I757" s="47"/>
      <c r="J757" s="47"/>
      <c r="L757" s="384"/>
      <c r="M757" s="47"/>
      <c r="T757" s="47"/>
      <c r="U757" s="47"/>
      <c r="V757" s="47"/>
    </row>
    <row r="758" spans="6:22" ht="15.75" customHeight="1">
      <c r="F758" s="47"/>
      <c r="I758" s="47"/>
      <c r="J758" s="47"/>
      <c r="L758" s="384"/>
      <c r="M758" s="47"/>
      <c r="T758" s="47"/>
      <c r="U758" s="47"/>
      <c r="V758" s="47"/>
    </row>
    <row r="759" spans="6:22" ht="15.75" customHeight="1">
      <c r="F759" s="47"/>
      <c r="I759" s="47"/>
      <c r="J759" s="47"/>
      <c r="L759" s="384"/>
      <c r="M759" s="47"/>
      <c r="T759" s="47"/>
      <c r="U759" s="47"/>
      <c r="V759" s="47"/>
    </row>
    <row r="760" spans="6:22" ht="15.75" customHeight="1">
      <c r="F760" s="47"/>
      <c r="I760" s="47"/>
      <c r="J760" s="47"/>
      <c r="L760" s="384"/>
      <c r="M760" s="47"/>
      <c r="T760" s="47"/>
      <c r="U760" s="47"/>
      <c r="V760" s="47"/>
    </row>
    <row r="761" spans="6:22" ht="15.75" customHeight="1">
      <c r="F761" s="47"/>
      <c r="I761" s="47"/>
      <c r="J761" s="47"/>
      <c r="L761" s="384"/>
      <c r="M761" s="47"/>
      <c r="T761" s="47"/>
      <c r="U761" s="47"/>
      <c r="V761" s="47"/>
    </row>
    <row r="762" spans="6:22" ht="15.75" customHeight="1">
      <c r="F762" s="47"/>
      <c r="I762" s="47"/>
      <c r="J762" s="47"/>
      <c r="L762" s="384"/>
      <c r="M762" s="47"/>
      <c r="T762" s="47"/>
      <c r="U762" s="47"/>
      <c r="V762" s="47"/>
    </row>
    <row r="763" spans="6:22" ht="15.75" customHeight="1">
      <c r="F763" s="47"/>
      <c r="I763" s="47"/>
      <c r="J763" s="47"/>
      <c r="L763" s="384"/>
      <c r="M763" s="47"/>
      <c r="T763" s="47"/>
      <c r="U763" s="47"/>
      <c r="V763" s="47"/>
    </row>
    <row r="764" spans="6:22" ht="15.75" customHeight="1">
      <c r="F764" s="47"/>
      <c r="I764" s="47"/>
      <c r="J764" s="47"/>
      <c r="L764" s="384"/>
      <c r="M764" s="47"/>
      <c r="T764" s="47"/>
      <c r="U764" s="47"/>
      <c r="V764" s="47"/>
    </row>
    <row r="765" spans="6:22" ht="15.75" customHeight="1">
      <c r="F765" s="47"/>
      <c r="I765" s="47"/>
      <c r="J765" s="47"/>
      <c r="L765" s="384"/>
      <c r="M765" s="47"/>
      <c r="T765" s="47"/>
      <c r="U765" s="47"/>
      <c r="V765" s="47"/>
    </row>
    <row r="766" spans="6:22" ht="15.75" customHeight="1">
      <c r="F766" s="47"/>
      <c r="I766" s="47"/>
      <c r="J766" s="47"/>
      <c r="L766" s="384"/>
      <c r="M766" s="47"/>
      <c r="T766" s="47"/>
      <c r="U766" s="47"/>
      <c r="V766" s="47"/>
    </row>
    <row r="767" spans="6:22" ht="15.75" customHeight="1">
      <c r="F767" s="47"/>
      <c r="I767" s="47"/>
      <c r="J767" s="47"/>
      <c r="L767" s="384"/>
      <c r="M767" s="47"/>
      <c r="T767" s="47"/>
      <c r="U767" s="47"/>
      <c r="V767" s="47"/>
    </row>
    <row r="768" spans="6:22" ht="15.75" customHeight="1">
      <c r="F768" s="47"/>
      <c r="I768" s="47"/>
      <c r="J768" s="47"/>
      <c r="L768" s="384"/>
      <c r="M768" s="47"/>
      <c r="T768" s="47"/>
      <c r="U768" s="47"/>
      <c r="V768" s="47"/>
    </row>
    <row r="769" spans="6:22" ht="15.75" customHeight="1">
      <c r="F769" s="47"/>
      <c r="I769" s="47"/>
      <c r="J769" s="47"/>
      <c r="L769" s="384"/>
      <c r="M769" s="47"/>
      <c r="T769" s="47"/>
      <c r="U769" s="47"/>
      <c r="V769" s="47"/>
    </row>
    <row r="770" spans="6:22" ht="15.75" customHeight="1">
      <c r="F770" s="47"/>
      <c r="I770" s="47"/>
      <c r="J770" s="47"/>
      <c r="L770" s="384"/>
      <c r="M770" s="47"/>
      <c r="T770" s="47"/>
      <c r="U770" s="47"/>
      <c r="V770" s="47"/>
    </row>
    <row r="771" spans="6:22" ht="15.75" customHeight="1">
      <c r="F771" s="47"/>
      <c r="I771" s="47"/>
      <c r="J771" s="47"/>
      <c r="L771" s="384"/>
      <c r="M771" s="47"/>
      <c r="T771" s="47"/>
      <c r="U771" s="47"/>
      <c r="V771" s="47"/>
    </row>
    <row r="772" spans="6:22" ht="15.75" customHeight="1">
      <c r="F772" s="47"/>
      <c r="I772" s="47"/>
      <c r="J772" s="47"/>
      <c r="L772" s="384"/>
      <c r="M772" s="47"/>
      <c r="T772" s="47"/>
      <c r="U772" s="47"/>
      <c r="V772" s="47"/>
    </row>
    <row r="773" spans="6:22" ht="15.75" customHeight="1">
      <c r="F773" s="47"/>
      <c r="I773" s="47"/>
      <c r="J773" s="47"/>
      <c r="L773" s="384"/>
      <c r="M773" s="47"/>
      <c r="T773" s="47"/>
      <c r="U773" s="47"/>
      <c r="V773" s="47"/>
    </row>
    <row r="774" spans="6:22" ht="15.75" customHeight="1">
      <c r="F774" s="47"/>
      <c r="I774" s="47"/>
      <c r="J774" s="47"/>
      <c r="L774" s="384"/>
      <c r="M774" s="47"/>
      <c r="T774" s="47"/>
      <c r="U774" s="47"/>
      <c r="V774" s="47"/>
    </row>
    <row r="775" spans="6:22" ht="15.75" customHeight="1">
      <c r="F775" s="47"/>
      <c r="I775" s="47"/>
      <c r="J775" s="47"/>
      <c r="L775" s="384"/>
      <c r="M775" s="47"/>
      <c r="T775" s="47"/>
      <c r="U775" s="47"/>
      <c r="V775" s="47"/>
    </row>
    <row r="776" spans="6:22" ht="15.75" customHeight="1">
      <c r="F776" s="47"/>
      <c r="I776" s="47"/>
      <c r="J776" s="47"/>
      <c r="L776" s="384"/>
      <c r="M776" s="47"/>
      <c r="T776" s="47"/>
      <c r="U776" s="47"/>
      <c r="V776" s="47"/>
    </row>
    <row r="777" spans="6:22" ht="15.75" customHeight="1">
      <c r="F777" s="47"/>
      <c r="I777" s="47"/>
      <c r="J777" s="47"/>
      <c r="L777" s="384"/>
      <c r="M777" s="47"/>
      <c r="T777" s="47"/>
      <c r="U777" s="47"/>
      <c r="V777" s="47"/>
    </row>
    <row r="778" spans="6:22" ht="15.75" customHeight="1">
      <c r="F778" s="47"/>
      <c r="I778" s="47"/>
      <c r="J778" s="47"/>
      <c r="L778" s="384"/>
      <c r="M778" s="47"/>
      <c r="T778" s="47"/>
      <c r="U778" s="47"/>
      <c r="V778" s="47"/>
    </row>
    <row r="779" spans="6:22" ht="15.75" customHeight="1">
      <c r="F779" s="47"/>
      <c r="I779" s="47"/>
      <c r="J779" s="47"/>
      <c r="L779" s="384"/>
      <c r="M779" s="47"/>
      <c r="T779" s="47"/>
      <c r="U779" s="47"/>
      <c r="V779" s="47"/>
    </row>
    <row r="780" spans="6:22" ht="15.75" customHeight="1">
      <c r="F780" s="47"/>
      <c r="I780" s="47"/>
      <c r="J780" s="47"/>
      <c r="L780" s="384"/>
      <c r="M780" s="47"/>
      <c r="T780" s="47"/>
      <c r="U780" s="47"/>
      <c r="V780" s="47"/>
    </row>
    <row r="781" spans="6:22" ht="15.75" customHeight="1">
      <c r="F781" s="47"/>
      <c r="I781" s="47"/>
      <c r="J781" s="47"/>
      <c r="L781" s="384"/>
      <c r="M781" s="47"/>
      <c r="T781" s="47"/>
      <c r="U781" s="47"/>
      <c r="V781" s="47"/>
    </row>
    <row r="782" spans="6:22" ht="15.75" customHeight="1">
      <c r="F782" s="47"/>
      <c r="I782" s="47"/>
      <c r="J782" s="47"/>
      <c r="L782" s="384"/>
      <c r="M782" s="47"/>
      <c r="T782" s="47"/>
      <c r="U782" s="47"/>
      <c r="V782" s="47"/>
    </row>
    <row r="783" spans="6:22" ht="15.75" customHeight="1">
      <c r="F783" s="47"/>
      <c r="I783" s="47"/>
      <c r="J783" s="47"/>
      <c r="L783" s="384"/>
      <c r="M783" s="47"/>
      <c r="T783" s="47"/>
      <c r="U783" s="47"/>
      <c r="V783" s="47"/>
    </row>
    <row r="784" spans="6:22" ht="15.75" customHeight="1">
      <c r="F784" s="47"/>
      <c r="I784" s="47"/>
      <c r="J784" s="47"/>
      <c r="L784" s="384"/>
      <c r="M784" s="47"/>
      <c r="T784" s="47"/>
      <c r="U784" s="47"/>
      <c r="V784" s="47"/>
    </row>
    <row r="785" spans="6:22" ht="15.75" customHeight="1">
      <c r="F785" s="47"/>
      <c r="I785" s="47"/>
      <c r="J785" s="47"/>
      <c r="L785" s="384"/>
      <c r="M785" s="47"/>
      <c r="T785" s="47"/>
      <c r="U785" s="47"/>
      <c r="V785" s="47"/>
    </row>
    <row r="786" spans="6:22" ht="15.75" customHeight="1">
      <c r="F786" s="47"/>
      <c r="I786" s="47"/>
      <c r="J786" s="47"/>
      <c r="L786" s="384"/>
      <c r="M786" s="47"/>
      <c r="T786" s="47"/>
      <c r="U786" s="47"/>
      <c r="V786" s="47"/>
    </row>
    <row r="787" spans="6:22" ht="15.75" customHeight="1">
      <c r="F787" s="47"/>
      <c r="I787" s="47"/>
      <c r="J787" s="47"/>
      <c r="L787" s="384"/>
      <c r="M787" s="47"/>
      <c r="T787" s="47"/>
      <c r="U787" s="47"/>
      <c r="V787" s="47"/>
    </row>
    <row r="788" spans="6:22" ht="15.75" customHeight="1">
      <c r="F788" s="47"/>
      <c r="I788" s="47"/>
      <c r="J788" s="47"/>
      <c r="L788" s="384"/>
      <c r="M788" s="47"/>
      <c r="T788" s="47"/>
      <c r="U788" s="47"/>
      <c r="V788" s="47"/>
    </row>
    <row r="789" spans="6:22" ht="15.75" customHeight="1">
      <c r="F789" s="47"/>
      <c r="I789" s="47"/>
      <c r="J789" s="47"/>
      <c r="L789" s="384"/>
      <c r="M789" s="47"/>
      <c r="T789" s="47"/>
      <c r="U789" s="47"/>
      <c r="V789" s="47"/>
    </row>
    <row r="790" spans="6:22" ht="15.75" customHeight="1">
      <c r="F790" s="47"/>
      <c r="I790" s="47"/>
      <c r="J790" s="47"/>
      <c r="L790" s="384"/>
      <c r="M790" s="47"/>
      <c r="T790" s="47"/>
      <c r="U790" s="47"/>
      <c r="V790" s="47"/>
    </row>
    <row r="791" spans="6:22" ht="15.75" customHeight="1">
      <c r="F791" s="47"/>
      <c r="I791" s="47"/>
      <c r="J791" s="47"/>
      <c r="L791" s="384"/>
      <c r="M791" s="47"/>
      <c r="T791" s="47"/>
      <c r="U791" s="47"/>
      <c r="V791" s="47"/>
    </row>
    <row r="792" spans="6:22" ht="15.75" customHeight="1">
      <c r="F792" s="47"/>
      <c r="I792" s="47"/>
      <c r="J792" s="47"/>
      <c r="L792" s="384"/>
      <c r="M792" s="47"/>
      <c r="T792" s="47"/>
      <c r="U792" s="47"/>
      <c r="V792" s="47"/>
    </row>
    <row r="793" spans="6:22" ht="15.75" customHeight="1">
      <c r="F793" s="47"/>
      <c r="I793" s="47"/>
      <c r="J793" s="47"/>
      <c r="L793" s="384"/>
      <c r="M793" s="47"/>
      <c r="T793" s="47"/>
      <c r="U793" s="47"/>
      <c r="V793" s="47"/>
    </row>
    <row r="794" spans="6:22" ht="15.75" customHeight="1">
      <c r="F794" s="47"/>
      <c r="I794" s="47"/>
      <c r="J794" s="47"/>
      <c r="L794" s="384"/>
      <c r="M794" s="47"/>
      <c r="T794" s="47"/>
      <c r="U794" s="47"/>
      <c r="V794" s="47"/>
    </row>
    <row r="795" spans="6:22" ht="15.75" customHeight="1">
      <c r="F795" s="47"/>
      <c r="I795" s="47"/>
      <c r="J795" s="47"/>
      <c r="L795" s="384"/>
      <c r="M795" s="47"/>
      <c r="T795" s="47"/>
      <c r="U795" s="47"/>
      <c r="V795" s="47"/>
    </row>
    <row r="796" spans="6:22" ht="15.75" customHeight="1">
      <c r="F796" s="47"/>
      <c r="I796" s="47"/>
      <c r="J796" s="47"/>
      <c r="L796" s="384"/>
      <c r="M796" s="47"/>
      <c r="T796" s="47"/>
      <c r="U796" s="47"/>
      <c r="V796" s="47"/>
    </row>
    <row r="797" spans="6:22" ht="15.75" customHeight="1">
      <c r="F797" s="47"/>
      <c r="I797" s="47"/>
      <c r="J797" s="47"/>
      <c r="L797" s="384"/>
      <c r="M797" s="47"/>
      <c r="T797" s="47"/>
      <c r="U797" s="47"/>
      <c r="V797" s="47"/>
    </row>
    <row r="798" spans="6:22" ht="15.75" customHeight="1">
      <c r="F798" s="47"/>
      <c r="I798" s="47"/>
      <c r="J798" s="47"/>
      <c r="L798" s="384"/>
      <c r="M798" s="47"/>
      <c r="T798" s="47"/>
      <c r="U798" s="47"/>
      <c r="V798" s="47"/>
    </row>
    <row r="799" spans="6:22" ht="15.75" customHeight="1">
      <c r="F799" s="47"/>
      <c r="I799" s="47"/>
      <c r="J799" s="47"/>
      <c r="L799" s="384"/>
      <c r="M799" s="47"/>
      <c r="T799" s="47"/>
      <c r="U799" s="47"/>
      <c r="V799" s="47"/>
    </row>
    <row r="800" spans="6:22" ht="15.75" customHeight="1">
      <c r="F800" s="47"/>
      <c r="I800" s="47"/>
      <c r="J800" s="47"/>
      <c r="L800" s="384"/>
      <c r="M800" s="47"/>
      <c r="T800" s="47"/>
      <c r="U800" s="47"/>
      <c r="V800" s="47"/>
    </row>
    <row r="801" spans="6:22" ht="15.75" customHeight="1">
      <c r="F801" s="47"/>
      <c r="I801" s="47"/>
      <c r="J801" s="47"/>
      <c r="L801" s="384"/>
      <c r="M801" s="47"/>
      <c r="T801" s="47"/>
      <c r="U801" s="47"/>
      <c r="V801" s="47"/>
    </row>
    <row r="802" spans="6:22" ht="15.75" customHeight="1">
      <c r="F802" s="47"/>
      <c r="I802" s="47"/>
      <c r="J802" s="47"/>
      <c r="L802" s="384"/>
      <c r="M802" s="47"/>
      <c r="T802" s="47"/>
      <c r="U802" s="47"/>
      <c r="V802" s="47"/>
    </row>
    <row r="803" spans="6:22" ht="15.75" customHeight="1">
      <c r="F803" s="47"/>
      <c r="I803" s="47"/>
      <c r="J803" s="47"/>
      <c r="L803" s="384"/>
      <c r="M803" s="47"/>
      <c r="T803" s="47"/>
      <c r="U803" s="47"/>
      <c r="V803" s="47"/>
    </row>
    <row r="804" spans="6:22" ht="15.75" customHeight="1">
      <c r="F804" s="47"/>
      <c r="I804" s="47"/>
      <c r="J804" s="47"/>
      <c r="L804" s="384"/>
      <c r="M804" s="47"/>
      <c r="T804" s="47"/>
      <c r="U804" s="47"/>
      <c r="V804" s="47"/>
    </row>
    <row r="805" spans="6:22" ht="15.75" customHeight="1">
      <c r="F805" s="47"/>
      <c r="I805" s="47"/>
      <c r="J805" s="47"/>
      <c r="L805" s="384"/>
      <c r="M805" s="47"/>
      <c r="T805" s="47"/>
      <c r="U805" s="47"/>
      <c r="V805" s="47"/>
    </row>
    <row r="806" spans="6:22" ht="15.75" customHeight="1">
      <c r="F806" s="47"/>
      <c r="I806" s="47"/>
      <c r="J806" s="47"/>
      <c r="L806" s="384"/>
      <c r="M806" s="47"/>
      <c r="T806" s="47"/>
      <c r="U806" s="47"/>
      <c r="V806" s="47"/>
    </row>
    <row r="807" spans="6:22" ht="15.75" customHeight="1">
      <c r="F807" s="47"/>
      <c r="I807" s="47"/>
      <c r="J807" s="47"/>
      <c r="L807" s="384"/>
      <c r="M807" s="47"/>
      <c r="T807" s="47"/>
      <c r="U807" s="47"/>
      <c r="V807" s="47"/>
    </row>
    <row r="808" spans="6:22" ht="15.75" customHeight="1">
      <c r="F808" s="47"/>
      <c r="I808" s="47"/>
      <c r="J808" s="47"/>
      <c r="L808" s="384"/>
      <c r="M808" s="47"/>
      <c r="T808" s="47"/>
      <c r="U808" s="47"/>
      <c r="V808" s="47"/>
    </row>
    <row r="809" spans="6:22" ht="15.75" customHeight="1">
      <c r="F809" s="47"/>
      <c r="I809" s="47"/>
      <c r="J809" s="47"/>
      <c r="L809" s="384"/>
      <c r="M809" s="47"/>
      <c r="T809" s="47"/>
      <c r="U809" s="47"/>
      <c r="V809" s="47"/>
    </row>
    <row r="810" spans="6:22" ht="15.75" customHeight="1">
      <c r="F810" s="47"/>
      <c r="I810" s="47"/>
      <c r="J810" s="47"/>
      <c r="L810" s="384"/>
      <c r="M810" s="47"/>
      <c r="T810" s="47"/>
      <c r="U810" s="47"/>
      <c r="V810" s="47"/>
    </row>
    <row r="811" spans="6:22" ht="15.75" customHeight="1">
      <c r="F811" s="47"/>
      <c r="I811" s="47"/>
      <c r="J811" s="47"/>
      <c r="L811" s="384"/>
      <c r="M811" s="47"/>
      <c r="T811" s="47"/>
      <c r="U811" s="47"/>
      <c r="V811" s="47"/>
    </row>
    <row r="812" spans="6:22" ht="15.75" customHeight="1">
      <c r="F812" s="47"/>
      <c r="I812" s="47"/>
      <c r="J812" s="47"/>
      <c r="L812" s="384"/>
      <c r="M812" s="47"/>
      <c r="T812" s="47"/>
      <c r="U812" s="47"/>
      <c r="V812" s="47"/>
    </row>
    <row r="813" spans="6:22" ht="15.75" customHeight="1">
      <c r="F813" s="47"/>
      <c r="I813" s="47"/>
      <c r="J813" s="47"/>
      <c r="L813" s="384"/>
      <c r="M813" s="47"/>
      <c r="T813" s="47"/>
      <c r="U813" s="47"/>
      <c r="V813" s="47"/>
    </row>
    <row r="814" spans="6:22" ht="15.75" customHeight="1">
      <c r="F814" s="47"/>
      <c r="I814" s="47"/>
      <c r="J814" s="47"/>
      <c r="L814" s="384"/>
      <c r="M814" s="47"/>
      <c r="T814" s="47"/>
      <c r="U814" s="47"/>
      <c r="V814" s="47"/>
    </row>
    <row r="815" spans="6:22" ht="15.75" customHeight="1">
      <c r="F815" s="47"/>
      <c r="I815" s="47"/>
      <c r="J815" s="47"/>
      <c r="L815" s="384"/>
      <c r="M815" s="47"/>
      <c r="T815" s="47"/>
      <c r="U815" s="47"/>
      <c r="V815" s="47"/>
    </row>
    <row r="816" spans="6:22" ht="15.75" customHeight="1">
      <c r="F816" s="47"/>
      <c r="I816" s="47"/>
      <c r="J816" s="47"/>
      <c r="L816" s="384"/>
      <c r="M816" s="47"/>
      <c r="T816" s="47"/>
      <c r="U816" s="47"/>
      <c r="V816" s="47"/>
    </row>
    <row r="817" spans="6:22" ht="15.75" customHeight="1">
      <c r="F817" s="47"/>
      <c r="I817" s="47"/>
      <c r="J817" s="47"/>
      <c r="L817" s="384"/>
      <c r="M817" s="47"/>
      <c r="T817" s="47"/>
      <c r="U817" s="47"/>
      <c r="V817" s="47"/>
    </row>
    <row r="818" spans="6:22" ht="15.75" customHeight="1">
      <c r="F818" s="47"/>
      <c r="I818" s="47"/>
      <c r="J818" s="47"/>
      <c r="L818" s="384"/>
      <c r="M818" s="47"/>
      <c r="T818" s="47"/>
      <c r="U818" s="47"/>
      <c r="V818" s="47"/>
    </row>
    <row r="819" spans="6:22" ht="15.75" customHeight="1">
      <c r="F819" s="47"/>
      <c r="I819" s="47"/>
      <c r="J819" s="47"/>
      <c r="L819" s="384"/>
      <c r="M819" s="47"/>
      <c r="T819" s="47"/>
      <c r="U819" s="47"/>
      <c r="V819" s="47"/>
    </row>
    <row r="820" spans="6:22" ht="15.75" customHeight="1">
      <c r="F820" s="47"/>
      <c r="I820" s="47"/>
      <c r="J820" s="47"/>
      <c r="L820" s="384"/>
      <c r="M820" s="47"/>
      <c r="T820" s="47"/>
      <c r="U820" s="47"/>
      <c r="V820" s="47"/>
    </row>
    <row r="821" spans="6:22" ht="15.75" customHeight="1">
      <c r="F821" s="47"/>
      <c r="I821" s="47"/>
      <c r="J821" s="47"/>
      <c r="L821" s="384"/>
      <c r="M821" s="47"/>
      <c r="T821" s="47"/>
      <c r="U821" s="47"/>
      <c r="V821" s="47"/>
    </row>
    <row r="822" spans="6:22" ht="15.75" customHeight="1">
      <c r="F822" s="47"/>
      <c r="I822" s="47"/>
      <c r="J822" s="47"/>
      <c r="L822" s="384"/>
      <c r="M822" s="47"/>
      <c r="T822" s="47"/>
      <c r="U822" s="47"/>
      <c r="V822" s="47"/>
    </row>
    <row r="823" spans="6:22" ht="15.75" customHeight="1">
      <c r="F823" s="47"/>
      <c r="I823" s="47"/>
      <c r="J823" s="47"/>
      <c r="L823" s="384"/>
      <c r="M823" s="47"/>
      <c r="T823" s="47"/>
      <c r="U823" s="47"/>
      <c r="V823" s="47"/>
    </row>
    <row r="824" spans="6:22" ht="15.75" customHeight="1">
      <c r="F824" s="47"/>
      <c r="I824" s="47"/>
      <c r="J824" s="47"/>
      <c r="L824" s="384"/>
      <c r="M824" s="47"/>
      <c r="T824" s="47"/>
      <c r="U824" s="47"/>
      <c r="V824" s="47"/>
    </row>
    <row r="825" spans="6:22" ht="15.75" customHeight="1">
      <c r="F825" s="47"/>
      <c r="I825" s="47"/>
      <c r="J825" s="47"/>
      <c r="L825" s="384"/>
      <c r="M825" s="47"/>
      <c r="T825" s="47"/>
      <c r="U825" s="47"/>
      <c r="V825" s="47"/>
    </row>
    <row r="826" spans="6:22" ht="15.75" customHeight="1">
      <c r="F826" s="47"/>
      <c r="I826" s="47"/>
      <c r="J826" s="47"/>
      <c r="L826" s="384"/>
      <c r="M826" s="47"/>
      <c r="T826" s="47"/>
      <c r="U826" s="47"/>
      <c r="V826" s="47"/>
    </row>
    <row r="827" spans="6:22" ht="15.75" customHeight="1">
      <c r="F827" s="47"/>
      <c r="I827" s="47"/>
      <c r="J827" s="47"/>
      <c r="L827" s="384"/>
      <c r="M827" s="47"/>
      <c r="T827" s="47"/>
      <c r="U827" s="47"/>
      <c r="V827" s="47"/>
    </row>
    <row r="828" spans="6:22" ht="15.75" customHeight="1">
      <c r="F828" s="47"/>
      <c r="I828" s="47"/>
      <c r="J828" s="47"/>
      <c r="L828" s="384"/>
      <c r="M828" s="47"/>
      <c r="T828" s="47"/>
      <c r="U828" s="47"/>
      <c r="V828" s="47"/>
    </row>
    <row r="829" spans="6:22" ht="15.75" customHeight="1">
      <c r="F829" s="47"/>
      <c r="I829" s="47"/>
      <c r="J829" s="47"/>
      <c r="L829" s="384"/>
      <c r="M829" s="47"/>
      <c r="T829" s="47"/>
      <c r="U829" s="47"/>
      <c r="V829" s="47"/>
    </row>
    <row r="830" spans="6:22" ht="15.75" customHeight="1">
      <c r="F830" s="47"/>
      <c r="I830" s="47"/>
      <c r="J830" s="47"/>
      <c r="L830" s="384"/>
      <c r="M830" s="47"/>
      <c r="T830" s="47"/>
      <c r="U830" s="47"/>
      <c r="V830" s="47"/>
    </row>
    <row r="831" spans="6:22" ht="15.75" customHeight="1">
      <c r="F831" s="47"/>
      <c r="I831" s="47"/>
      <c r="J831" s="47"/>
      <c r="L831" s="384"/>
      <c r="M831" s="47"/>
      <c r="T831" s="47"/>
      <c r="U831" s="47"/>
      <c r="V831" s="47"/>
    </row>
    <row r="832" spans="6:22" ht="15.75" customHeight="1">
      <c r="F832" s="47"/>
      <c r="I832" s="47"/>
      <c r="J832" s="47"/>
      <c r="L832" s="384"/>
      <c r="M832" s="47"/>
      <c r="T832" s="47"/>
      <c r="U832" s="47"/>
      <c r="V832" s="47"/>
    </row>
    <row r="833" spans="6:22" ht="15.75" customHeight="1">
      <c r="F833" s="47"/>
      <c r="I833" s="47"/>
      <c r="J833" s="47"/>
      <c r="L833" s="384"/>
      <c r="M833" s="47"/>
      <c r="T833" s="47"/>
      <c r="U833" s="47"/>
      <c r="V833" s="47"/>
    </row>
    <row r="834" spans="6:22" ht="15.75" customHeight="1">
      <c r="F834" s="47"/>
      <c r="I834" s="47"/>
      <c r="J834" s="47"/>
      <c r="L834" s="384"/>
      <c r="M834" s="47"/>
      <c r="T834" s="47"/>
      <c r="U834" s="47"/>
      <c r="V834" s="47"/>
    </row>
    <row r="835" spans="6:22" ht="15.75" customHeight="1">
      <c r="F835" s="47"/>
      <c r="I835" s="47"/>
      <c r="J835" s="47"/>
      <c r="L835" s="384"/>
      <c r="M835" s="47"/>
      <c r="T835" s="47"/>
      <c r="U835" s="47"/>
      <c r="V835" s="47"/>
    </row>
    <row r="836" spans="6:22" ht="15.75" customHeight="1">
      <c r="F836" s="47"/>
      <c r="I836" s="47"/>
      <c r="J836" s="47"/>
      <c r="L836" s="384"/>
      <c r="M836" s="47"/>
      <c r="T836" s="47"/>
      <c r="U836" s="47"/>
      <c r="V836" s="47"/>
    </row>
    <row r="837" spans="6:22" ht="15.75" customHeight="1">
      <c r="F837" s="47"/>
      <c r="I837" s="47"/>
      <c r="J837" s="47"/>
      <c r="L837" s="384"/>
      <c r="M837" s="47"/>
      <c r="T837" s="47"/>
      <c r="U837" s="47"/>
      <c r="V837" s="47"/>
    </row>
    <row r="838" spans="6:22" ht="15.75" customHeight="1">
      <c r="F838" s="47"/>
      <c r="I838" s="47"/>
      <c r="J838" s="47"/>
      <c r="L838" s="384"/>
      <c r="M838" s="47"/>
      <c r="T838" s="47"/>
      <c r="U838" s="47"/>
      <c r="V838" s="47"/>
    </row>
    <row r="839" spans="6:22" ht="15.75" customHeight="1">
      <c r="F839" s="47"/>
      <c r="I839" s="47"/>
      <c r="J839" s="47"/>
      <c r="L839" s="384"/>
      <c r="M839" s="47"/>
      <c r="T839" s="47"/>
      <c r="U839" s="47"/>
      <c r="V839" s="47"/>
    </row>
    <row r="840" spans="6:22" ht="15.75" customHeight="1">
      <c r="F840" s="47"/>
      <c r="I840" s="47"/>
      <c r="J840" s="47"/>
      <c r="L840" s="384"/>
      <c r="M840" s="47"/>
      <c r="T840" s="47"/>
      <c r="U840" s="47"/>
      <c r="V840" s="47"/>
    </row>
    <row r="841" spans="6:22" ht="15.75" customHeight="1">
      <c r="F841" s="47"/>
      <c r="I841" s="47"/>
      <c r="J841" s="47"/>
      <c r="L841" s="384"/>
      <c r="M841" s="47"/>
      <c r="T841" s="47"/>
      <c r="U841" s="47"/>
      <c r="V841" s="47"/>
    </row>
    <row r="842" spans="6:22" ht="15.75" customHeight="1">
      <c r="F842" s="47"/>
      <c r="I842" s="47"/>
      <c r="J842" s="47"/>
      <c r="L842" s="384"/>
      <c r="M842" s="47"/>
      <c r="T842" s="47"/>
      <c r="U842" s="47"/>
      <c r="V842" s="47"/>
    </row>
    <row r="843" spans="6:22" ht="15.75" customHeight="1">
      <c r="F843" s="47"/>
      <c r="I843" s="47"/>
      <c r="J843" s="47"/>
      <c r="L843" s="384"/>
      <c r="M843" s="47"/>
      <c r="T843" s="47"/>
      <c r="U843" s="47"/>
      <c r="V843" s="47"/>
    </row>
    <row r="844" spans="6:22" ht="15.75" customHeight="1">
      <c r="F844" s="47"/>
      <c r="I844" s="47"/>
      <c r="J844" s="47"/>
      <c r="L844" s="384"/>
      <c r="M844" s="47"/>
      <c r="T844" s="47"/>
      <c r="U844" s="47"/>
      <c r="V844" s="47"/>
    </row>
    <row r="845" spans="6:22" ht="15.75" customHeight="1">
      <c r="F845" s="47"/>
      <c r="I845" s="47"/>
      <c r="J845" s="47"/>
      <c r="L845" s="384"/>
      <c r="M845" s="47"/>
      <c r="T845" s="47"/>
      <c r="U845" s="47"/>
      <c r="V845" s="47"/>
    </row>
    <row r="846" spans="6:22" ht="15.75" customHeight="1">
      <c r="F846" s="47"/>
      <c r="I846" s="47"/>
      <c r="J846" s="47"/>
      <c r="L846" s="384"/>
      <c r="M846" s="47"/>
      <c r="T846" s="47"/>
      <c r="U846" s="47"/>
      <c r="V846" s="47"/>
    </row>
    <row r="847" spans="6:22" ht="15.75" customHeight="1">
      <c r="F847" s="47"/>
      <c r="I847" s="47"/>
      <c r="J847" s="47"/>
      <c r="L847" s="384"/>
      <c r="M847" s="47"/>
      <c r="T847" s="47"/>
      <c r="U847" s="47"/>
      <c r="V847" s="47"/>
    </row>
    <row r="848" spans="6:22" ht="15.75" customHeight="1">
      <c r="F848" s="47"/>
      <c r="I848" s="47"/>
      <c r="J848" s="47"/>
      <c r="L848" s="384"/>
      <c r="M848" s="47"/>
      <c r="T848" s="47"/>
      <c r="U848" s="47"/>
      <c r="V848" s="47"/>
    </row>
    <row r="849" spans="6:22" ht="15.75" customHeight="1">
      <c r="F849" s="47"/>
      <c r="I849" s="47"/>
      <c r="J849" s="47"/>
      <c r="L849" s="384"/>
      <c r="M849" s="47"/>
      <c r="T849" s="47"/>
      <c r="U849" s="47"/>
      <c r="V849" s="47"/>
    </row>
    <row r="850" spans="6:22" ht="15.75" customHeight="1">
      <c r="F850" s="47"/>
      <c r="I850" s="47"/>
      <c r="J850" s="47"/>
      <c r="L850" s="384"/>
      <c r="M850" s="47"/>
      <c r="T850" s="47"/>
      <c r="U850" s="47"/>
      <c r="V850" s="47"/>
    </row>
    <row r="851" spans="6:22" ht="15.75" customHeight="1">
      <c r="F851" s="47"/>
      <c r="I851" s="47"/>
      <c r="J851" s="47"/>
      <c r="L851" s="384"/>
      <c r="M851" s="47"/>
      <c r="T851" s="47"/>
      <c r="U851" s="47"/>
      <c r="V851" s="47"/>
    </row>
    <row r="852" spans="6:22" ht="15.75" customHeight="1">
      <c r="F852" s="47"/>
      <c r="I852" s="47"/>
      <c r="J852" s="47"/>
      <c r="L852" s="384"/>
      <c r="M852" s="47"/>
      <c r="T852" s="47"/>
      <c r="U852" s="47"/>
      <c r="V852" s="47"/>
    </row>
    <row r="853" spans="6:22" ht="15.75" customHeight="1">
      <c r="F853" s="47"/>
      <c r="I853" s="47"/>
      <c r="J853" s="47"/>
      <c r="L853" s="384"/>
      <c r="M853" s="47"/>
      <c r="T853" s="47"/>
      <c r="U853" s="47"/>
      <c r="V853" s="47"/>
    </row>
    <row r="854" spans="6:22" ht="15.75" customHeight="1">
      <c r="F854" s="47"/>
      <c r="I854" s="47"/>
      <c r="J854" s="47"/>
      <c r="L854" s="384"/>
      <c r="M854" s="47"/>
      <c r="T854" s="47"/>
      <c r="U854" s="47"/>
      <c r="V854" s="47"/>
    </row>
    <row r="855" spans="6:22" ht="15.75" customHeight="1">
      <c r="F855" s="47"/>
      <c r="I855" s="47"/>
      <c r="J855" s="47"/>
      <c r="L855" s="384"/>
      <c r="M855" s="47"/>
      <c r="T855" s="47"/>
      <c r="U855" s="47"/>
      <c r="V855" s="47"/>
    </row>
    <row r="856" spans="6:22" ht="15.75" customHeight="1">
      <c r="F856" s="47"/>
      <c r="I856" s="47"/>
      <c r="J856" s="47"/>
      <c r="L856" s="384"/>
      <c r="M856" s="47"/>
      <c r="T856" s="47"/>
      <c r="U856" s="47"/>
      <c r="V856" s="47"/>
    </row>
    <row r="857" spans="6:22" ht="15.75" customHeight="1">
      <c r="F857" s="47"/>
      <c r="I857" s="47"/>
      <c r="J857" s="47"/>
      <c r="L857" s="384"/>
      <c r="M857" s="47"/>
      <c r="T857" s="47"/>
      <c r="U857" s="47"/>
      <c r="V857" s="47"/>
    </row>
    <row r="858" spans="6:22" ht="15.75" customHeight="1">
      <c r="F858" s="47"/>
      <c r="I858" s="47"/>
      <c r="J858" s="47"/>
      <c r="L858" s="384"/>
      <c r="M858" s="47"/>
      <c r="T858" s="47"/>
      <c r="U858" s="47"/>
      <c r="V858" s="47"/>
    </row>
    <row r="859" spans="6:22" ht="15.75" customHeight="1">
      <c r="F859" s="47"/>
      <c r="I859" s="47"/>
      <c r="J859" s="47"/>
      <c r="L859" s="384"/>
      <c r="M859" s="47"/>
      <c r="T859" s="47"/>
      <c r="U859" s="47"/>
      <c r="V859" s="47"/>
    </row>
    <row r="860" spans="6:22" ht="15.75" customHeight="1">
      <c r="F860" s="47"/>
      <c r="I860" s="47"/>
      <c r="J860" s="47"/>
      <c r="L860" s="384"/>
      <c r="M860" s="47"/>
      <c r="T860" s="47"/>
      <c r="U860" s="47"/>
      <c r="V860" s="47"/>
    </row>
    <row r="861" spans="6:22" ht="15.75" customHeight="1">
      <c r="F861" s="47"/>
      <c r="I861" s="47"/>
      <c r="J861" s="47"/>
      <c r="L861" s="384"/>
      <c r="M861" s="47"/>
      <c r="T861" s="47"/>
      <c r="U861" s="47"/>
      <c r="V861" s="47"/>
    </row>
    <row r="862" spans="6:22" ht="15.75" customHeight="1">
      <c r="F862" s="47"/>
      <c r="I862" s="47"/>
      <c r="J862" s="47"/>
      <c r="L862" s="384"/>
      <c r="M862" s="47"/>
      <c r="T862" s="47"/>
      <c r="U862" s="47"/>
      <c r="V862" s="47"/>
    </row>
    <row r="863" spans="6:22" ht="15.75" customHeight="1">
      <c r="F863" s="47"/>
      <c r="I863" s="47"/>
      <c r="J863" s="47"/>
      <c r="L863" s="384"/>
      <c r="M863" s="47"/>
      <c r="T863" s="47"/>
      <c r="U863" s="47"/>
      <c r="V863" s="47"/>
    </row>
    <row r="864" spans="6:22" ht="15.75" customHeight="1">
      <c r="F864" s="47"/>
      <c r="I864" s="47"/>
      <c r="J864" s="47"/>
      <c r="L864" s="384"/>
      <c r="M864" s="47"/>
      <c r="T864" s="47"/>
      <c r="U864" s="47"/>
      <c r="V864" s="47"/>
    </row>
    <row r="865" spans="6:22" ht="15.75" customHeight="1">
      <c r="F865" s="47"/>
      <c r="I865" s="47"/>
      <c r="J865" s="47"/>
      <c r="L865" s="384"/>
      <c r="M865" s="47"/>
      <c r="T865" s="47"/>
      <c r="U865" s="47"/>
      <c r="V865" s="47"/>
    </row>
    <row r="866" spans="6:22" ht="15.75" customHeight="1">
      <c r="F866" s="47"/>
      <c r="I866" s="47"/>
      <c r="J866" s="47"/>
      <c r="L866" s="384"/>
      <c r="M866" s="47"/>
      <c r="T866" s="47"/>
      <c r="U866" s="47"/>
      <c r="V866" s="47"/>
    </row>
    <row r="867" spans="6:22" ht="15.75" customHeight="1">
      <c r="F867" s="47"/>
      <c r="I867" s="47"/>
      <c r="J867" s="47"/>
      <c r="L867" s="384"/>
      <c r="M867" s="47"/>
      <c r="T867" s="47"/>
      <c r="U867" s="47"/>
      <c r="V867" s="47"/>
    </row>
    <row r="868" spans="6:22" ht="15.75" customHeight="1">
      <c r="F868" s="47"/>
      <c r="I868" s="47"/>
      <c r="J868" s="47"/>
      <c r="L868" s="384"/>
      <c r="M868" s="47"/>
      <c r="T868" s="47"/>
      <c r="U868" s="47"/>
      <c r="V868" s="47"/>
    </row>
    <row r="869" spans="6:22" ht="15.75" customHeight="1">
      <c r="F869" s="47"/>
      <c r="I869" s="47"/>
      <c r="J869" s="47"/>
      <c r="L869" s="384"/>
      <c r="M869" s="47"/>
      <c r="T869" s="47"/>
      <c r="U869" s="47"/>
      <c r="V869" s="47"/>
    </row>
    <row r="870" spans="6:22" ht="15.75" customHeight="1">
      <c r="F870" s="47"/>
      <c r="I870" s="47"/>
      <c r="J870" s="47"/>
      <c r="L870" s="384"/>
      <c r="M870" s="47"/>
      <c r="T870" s="47"/>
      <c r="U870" s="47"/>
      <c r="V870" s="47"/>
    </row>
    <row r="871" spans="6:22" ht="15.75" customHeight="1">
      <c r="F871" s="47"/>
      <c r="I871" s="47"/>
      <c r="J871" s="47"/>
      <c r="L871" s="384"/>
      <c r="M871" s="47"/>
      <c r="T871" s="47"/>
      <c r="U871" s="47"/>
      <c r="V871" s="47"/>
    </row>
    <row r="872" spans="6:22" ht="15.75" customHeight="1">
      <c r="F872" s="47"/>
      <c r="I872" s="47"/>
      <c r="J872" s="47"/>
      <c r="L872" s="384"/>
      <c r="M872" s="47"/>
      <c r="T872" s="47"/>
      <c r="U872" s="47"/>
      <c r="V872" s="47"/>
    </row>
    <row r="873" spans="6:22" ht="15.75" customHeight="1">
      <c r="F873" s="47"/>
      <c r="I873" s="47"/>
      <c r="J873" s="47"/>
      <c r="L873" s="384"/>
      <c r="M873" s="47"/>
      <c r="T873" s="47"/>
      <c r="U873" s="47"/>
      <c r="V873" s="47"/>
    </row>
    <row r="874" spans="6:22" ht="15.75" customHeight="1">
      <c r="F874" s="47"/>
      <c r="I874" s="47"/>
      <c r="J874" s="47"/>
      <c r="L874" s="384"/>
      <c r="M874" s="47"/>
      <c r="T874" s="47"/>
      <c r="U874" s="47"/>
      <c r="V874" s="47"/>
    </row>
    <row r="875" spans="6:22" ht="15.75" customHeight="1">
      <c r="F875" s="47"/>
      <c r="I875" s="47"/>
      <c r="J875" s="47"/>
      <c r="L875" s="384"/>
      <c r="M875" s="47"/>
      <c r="T875" s="47"/>
      <c r="U875" s="47"/>
      <c r="V875" s="47"/>
    </row>
    <row r="876" spans="6:22" ht="15.75" customHeight="1">
      <c r="F876" s="47"/>
      <c r="I876" s="47"/>
      <c r="J876" s="47"/>
      <c r="L876" s="384"/>
      <c r="M876" s="47"/>
      <c r="T876" s="47"/>
      <c r="U876" s="47"/>
      <c r="V876" s="47"/>
    </row>
    <row r="877" spans="6:22" ht="15.75" customHeight="1">
      <c r="F877" s="47"/>
      <c r="I877" s="47"/>
      <c r="J877" s="47"/>
      <c r="L877" s="384"/>
      <c r="M877" s="47"/>
      <c r="T877" s="47"/>
      <c r="U877" s="47"/>
      <c r="V877" s="47"/>
    </row>
    <row r="878" spans="6:22" ht="15.75" customHeight="1">
      <c r="F878" s="47"/>
      <c r="I878" s="47"/>
      <c r="J878" s="47"/>
      <c r="L878" s="384"/>
      <c r="M878" s="47"/>
      <c r="T878" s="47"/>
      <c r="U878" s="47"/>
      <c r="V878" s="47"/>
    </row>
    <row r="879" spans="6:22" ht="15.75" customHeight="1">
      <c r="F879" s="47"/>
      <c r="I879" s="47"/>
      <c r="J879" s="47"/>
      <c r="L879" s="384"/>
      <c r="M879" s="47"/>
      <c r="T879" s="47"/>
      <c r="U879" s="47"/>
      <c r="V879" s="47"/>
    </row>
    <row r="880" spans="6:22" ht="15.75" customHeight="1">
      <c r="F880" s="47"/>
      <c r="I880" s="47"/>
      <c r="J880" s="47"/>
      <c r="L880" s="384"/>
      <c r="M880" s="47"/>
      <c r="T880" s="47"/>
      <c r="U880" s="47"/>
      <c r="V880" s="47"/>
    </row>
    <row r="881" spans="6:22" ht="15.75" customHeight="1">
      <c r="F881" s="47"/>
      <c r="I881" s="47"/>
      <c r="J881" s="47"/>
      <c r="L881" s="384"/>
      <c r="M881" s="47"/>
      <c r="T881" s="47"/>
      <c r="U881" s="47"/>
      <c r="V881" s="47"/>
    </row>
    <row r="882" spans="6:22" ht="15.75" customHeight="1">
      <c r="F882" s="47"/>
      <c r="I882" s="47"/>
      <c r="J882" s="47"/>
      <c r="L882" s="384"/>
      <c r="M882" s="47"/>
      <c r="T882" s="47"/>
      <c r="U882" s="47"/>
      <c r="V882" s="47"/>
    </row>
    <row r="883" spans="6:22" ht="15.75" customHeight="1">
      <c r="F883" s="47"/>
      <c r="I883" s="47"/>
      <c r="J883" s="47"/>
      <c r="L883" s="384"/>
      <c r="M883" s="47"/>
      <c r="T883" s="47"/>
      <c r="U883" s="47"/>
      <c r="V883" s="47"/>
    </row>
    <row r="884" spans="6:22" ht="15.75" customHeight="1">
      <c r="F884" s="47"/>
      <c r="I884" s="47"/>
      <c r="J884" s="47"/>
      <c r="L884" s="384"/>
      <c r="M884" s="47"/>
      <c r="T884" s="47"/>
      <c r="U884" s="47"/>
      <c r="V884" s="47"/>
    </row>
    <row r="885" spans="6:22" ht="15.75" customHeight="1">
      <c r="F885" s="47"/>
      <c r="I885" s="47"/>
      <c r="J885" s="47"/>
      <c r="L885" s="384"/>
      <c r="M885" s="47"/>
      <c r="T885" s="47"/>
      <c r="U885" s="47"/>
      <c r="V885" s="47"/>
    </row>
    <row r="886" spans="6:22" ht="15.75" customHeight="1">
      <c r="F886" s="47"/>
      <c r="I886" s="47"/>
      <c r="J886" s="47"/>
      <c r="L886" s="384"/>
      <c r="M886" s="47"/>
      <c r="T886" s="47"/>
      <c r="U886" s="47"/>
      <c r="V886" s="47"/>
    </row>
    <row r="887" spans="6:22" ht="15.75" customHeight="1">
      <c r="F887" s="47"/>
      <c r="I887" s="47"/>
      <c r="J887" s="47"/>
      <c r="L887" s="384"/>
      <c r="M887" s="47"/>
      <c r="T887" s="47"/>
      <c r="U887" s="47"/>
      <c r="V887" s="47"/>
    </row>
    <row r="888" spans="6:22" ht="15.75" customHeight="1">
      <c r="F888" s="47"/>
      <c r="I888" s="47"/>
      <c r="J888" s="47"/>
      <c r="L888" s="384"/>
      <c r="M888" s="47"/>
      <c r="T888" s="47"/>
      <c r="U888" s="47"/>
      <c r="V888" s="47"/>
    </row>
    <row r="889" spans="6:22" ht="15.75" customHeight="1">
      <c r="F889" s="47"/>
      <c r="I889" s="47"/>
      <c r="J889" s="47"/>
      <c r="L889" s="384"/>
      <c r="M889" s="47"/>
      <c r="T889" s="47"/>
      <c r="U889" s="47"/>
      <c r="V889" s="47"/>
    </row>
    <row r="890" spans="6:22" ht="15.75" customHeight="1">
      <c r="F890" s="47"/>
      <c r="I890" s="47"/>
      <c r="J890" s="47"/>
      <c r="L890" s="384"/>
      <c r="M890" s="47"/>
      <c r="T890" s="47"/>
      <c r="U890" s="47"/>
      <c r="V890" s="47"/>
    </row>
    <row r="891" spans="6:22" ht="15.75" customHeight="1">
      <c r="F891" s="47"/>
      <c r="I891" s="47"/>
      <c r="J891" s="47"/>
      <c r="L891" s="384"/>
      <c r="M891" s="47"/>
      <c r="T891" s="47"/>
      <c r="U891" s="47"/>
      <c r="V891" s="47"/>
    </row>
    <row r="892" spans="6:22" ht="15.75" customHeight="1">
      <c r="F892" s="47"/>
      <c r="I892" s="47"/>
      <c r="J892" s="47"/>
      <c r="L892" s="384"/>
      <c r="M892" s="47"/>
      <c r="T892" s="47"/>
      <c r="U892" s="47"/>
      <c r="V892" s="47"/>
    </row>
    <row r="893" spans="6:22" ht="15.75" customHeight="1">
      <c r="F893" s="47"/>
      <c r="I893" s="47"/>
      <c r="J893" s="47"/>
      <c r="L893" s="384"/>
      <c r="M893" s="47"/>
      <c r="T893" s="47"/>
      <c r="U893" s="47"/>
      <c r="V893" s="47"/>
    </row>
    <row r="894" spans="6:22" ht="15.75" customHeight="1">
      <c r="F894" s="47"/>
      <c r="I894" s="47"/>
      <c r="J894" s="47"/>
      <c r="L894" s="384"/>
      <c r="M894" s="47"/>
      <c r="T894" s="47"/>
      <c r="U894" s="47"/>
      <c r="V894" s="47"/>
    </row>
    <row r="895" spans="6:22" ht="15.75" customHeight="1">
      <c r="F895" s="47"/>
      <c r="I895" s="47"/>
      <c r="J895" s="47"/>
      <c r="L895" s="384"/>
      <c r="M895" s="47"/>
      <c r="T895" s="47"/>
      <c r="U895" s="47"/>
      <c r="V895" s="47"/>
    </row>
    <row r="896" spans="6:22" ht="15.75" customHeight="1">
      <c r="F896" s="47"/>
      <c r="I896" s="47"/>
      <c r="J896" s="47"/>
      <c r="L896" s="384"/>
      <c r="M896" s="47"/>
      <c r="T896" s="47"/>
      <c r="U896" s="47"/>
      <c r="V896" s="47"/>
    </row>
    <row r="897" spans="6:22" ht="15.75" customHeight="1">
      <c r="F897" s="47"/>
      <c r="I897" s="47"/>
      <c r="J897" s="47"/>
      <c r="L897" s="384"/>
      <c r="M897" s="47"/>
      <c r="T897" s="47"/>
      <c r="U897" s="47"/>
      <c r="V897" s="47"/>
    </row>
    <row r="898" spans="6:22" ht="15.75" customHeight="1">
      <c r="F898" s="47"/>
      <c r="I898" s="47"/>
      <c r="J898" s="47"/>
      <c r="L898" s="384"/>
      <c r="M898" s="47"/>
      <c r="T898" s="47"/>
      <c r="U898" s="47"/>
      <c r="V898" s="47"/>
    </row>
    <row r="899" spans="6:22" ht="15.75" customHeight="1">
      <c r="F899" s="47"/>
      <c r="I899" s="47"/>
      <c r="J899" s="47"/>
      <c r="L899" s="384"/>
      <c r="M899" s="47"/>
      <c r="T899" s="47"/>
      <c r="U899" s="47"/>
      <c r="V899" s="47"/>
    </row>
    <row r="900" spans="6:22" ht="15.75" customHeight="1">
      <c r="F900" s="47"/>
      <c r="I900" s="47"/>
      <c r="J900" s="47"/>
      <c r="L900" s="384"/>
      <c r="M900" s="47"/>
      <c r="T900" s="47"/>
      <c r="U900" s="47"/>
      <c r="V900" s="47"/>
    </row>
    <row r="901" spans="6:22" ht="15.75" customHeight="1">
      <c r="F901" s="47"/>
      <c r="I901" s="47"/>
      <c r="J901" s="47"/>
      <c r="L901" s="384"/>
      <c r="M901" s="47"/>
      <c r="T901" s="47"/>
      <c r="U901" s="47"/>
      <c r="V901" s="47"/>
    </row>
    <row r="902" spans="6:22" ht="15.75" customHeight="1">
      <c r="F902" s="47"/>
      <c r="I902" s="47"/>
      <c r="J902" s="47"/>
      <c r="L902" s="384"/>
      <c r="M902" s="47"/>
      <c r="T902" s="47"/>
      <c r="U902" s="47"/>
      <c r="V902" s="47"/>
    </row>
    <row r="903" spans="6:22" ht="15.75" customHeight="1">
      <c r="F903" s="47"/>
      <c r="I903" s="47"/>
      <c r="J903" s="47"/>
      <c r="L903" s="384"/>
      <c r="M903" s="47"/>
      <c r="T903" s="47"/>
      <c r="U903" s="47"/>
      <c r="V903" s="47"/>
    </row>
    <row r="904" spans="6:22" ht="15.75" customHeight="1">
      <c r="F904" s="47"/>
      <c r="I904" s="47"/>
      <c r="J904" s="47"/>
      <c r="L904" s="384"/>
      <c r="M904" s="47"/>
      <c r="T904" s="47"/>
      <c r="U904" s="47"/>
      <c r="V904" s="47"/>
    </row>
    <row r="905" spans="6:22" ht="15.75" customHeight="1">
      <c r="F905" s="47"/>
      <c r="I905" s="47"/>
      <c r="J905" s="47"/>
      <c r="L905" s="384"/>
      <c r="M905" s="47"/>
      <c r="T905" s="47"/>
      <c r="U905" s="47"/>
      <c r="V905" s="47"/>
    </row>
    <row r="906" spans="6:22" ht="15.75" customHeight="1">
      <c r="F906" s="47"/>
      <c r="I906" s="47"/>
      <c r="J906" s="47"/>
      <c r="L906" s="384"/>
      <c r="M906" s="47"/>
      <c r="T906" s="47"/>
      <c r="U906" s="47"/>
      <c r="V906" s="47"/>
    </row>
    <row r="907" spans="6:22" ht="15.75" customHeight="1">
      <c r="F907" s="47"/>
      <c r="I907" s="47"/>
      <c r="J907" s="47"/>
      <c r="L907" s="384"/>
      <c r="M907" s="47"/>
      <c r="T907" s="47"/>
      <c r="U907" s="47"/>
      <c r="V907" s="47"/>
    </row>
    <row r="908" spans="6:22" ht="15.75" customHeight="1">
      <c r="F908" s="47"/>
      <c r="I908" s="47"/>
      <c r="J908" s="47"/>
      <c r="L908" s="384"/>
      <c r="M908" s="47"/>
      <c r="T908" s="47"/>
      <c r="U908" s="47"/>
      <c r="V908" s="47"/>
    </row>
    <row r="909" spans="6:22" ht="15.75" customHeight="1">
      <c r="F909" s="47"/>
      <c r="I909" s="47"/>
      <c r="J909" s="47"/>
      <c r="L909" s="384"/>
      <c r="M909" s="47"/>
      <c r="T909" s="47"/>
      <c r="U909" s="47"/>
      <c r="V909" s="47"/>
    </row>
    <row r="910" spans="6:22" ht="15.75" customHeight="1">
      <c r="F910" s="47"/>
      <c r="I910" s="47"/>
      <c r="J910" s="47"/>
      <c r="L910" s="384"/>
      <c r="M910" s="47"/>
      <c r="T910" s="47"/>
      <c r="U910" s="47"/>
      <c r="V910" s="47"/>
    </row>
    <row r="911" spans="6:22" ht="15.75" customHeight="1">
      <c r="F911" s="47"/>
      <c r="I911" s="47"/>
      <c r="J911" s="47"/>
      <c r="L911" s="384"/>
      <c r="M911" s="47"/>
      <c r="T911" s="47"/>
      <c r="U911" s="47"/>
      <c r="V911" s="47"/>
    </row>
    <row r="912" spans="6:22" ht="15.75" customHeight="1">
      <c r="F912" s="47"/>
      <c r="I912" s="47"/>
      <c r="J912" s="47"/>
      <c r="L912" s="384"/>
      <c r="M912" s="47"/>
      <c r="T912" s="47"/>
      <c r="U912" s="47"/>
      <c r="V912" s="47"/>
    </row>
    <row r="913" spans="6:22" ht="15.75" customHeight="1">
      <c r="F913" s="47"/>
      <c r="I913" s="47"/>
      <c r="J913" s="47"/>
      <c r="L913" s="384"/>
      <c r="M913" s="47"/>
      <c r="T913" s="47"/>
      <c r="U913" s="47"/>
      <c r="V913" s="47"/>
    </row>
    <row r="914" spans="6:22" ht="15.75" customHeight="1">
      <c r="F914" s="47"/>
      <c r="I914" s="47"/>
      <c r="J914" s="47"/>
      <c r="L914" s="384"/>
      <c r="M914" s="47"/>
      <c r="T914" s="47"/>
      <c r="U914" s="47"/>
      <c r="V914" s="47"/>
    </row>
    <row r="915" spans="6:22" ht="15.75" customHeight="1">
      <c r="F915" s="47"/>
      <c r="I915" s="47"/>
      <c r="J915" s="47"/>
      <c r="L915" s="384"/>
      <c r="M915" s="47"/>
      <c r="T915" s="47"/>
      <c r="U915" s="47"/>
      <c r="V915" s="47"/>
    </row>
    <row r="916" spans="6:22" ht="15.75" customHeight="1">
      <c r="F916" s="47"/>
      <c r="I916" s="47"/>
      <c r="J916" s="47"/>
      <c r="L916" s="384"/>
      <c r="M916" s="47"/>
      <c r="T916" s="47"/>
      <c r="U916" s="47"/>
      <c r="V916" s="47"/>
    </row>
    <row r="917" spans="6:22" ht="15.75" customHeight="1">
      <c r="F917" s="47"/>
      <c r="I917" s="47"/>
      <c r="J917" s="47"/>
      <c r="L917" s="384"/>
      <c r="M917" s="47"/>
      <c r="T917" s="47"/>
      <c r="U917" s="47"/>
      <c r="V917" s="47"/>
    </row>
    <row r="918" spans="6:22" ht="15.75" customHeight="1">
      <c r="F918" s="47"/>
      <c r="I918" s="47"/>
      <c r="J918" s="47"/>
      <c r="L918" s="384"/>
      <c r="M918" s="47"/>
      <c r="T918" s="47"/>
      <c r="U918" s="47"/>
      <c r="V918" s="47"/>
    </row>
    <row r="919" spans="6:22" ht="15.75" customHeight="1">
      <c r="F919" s="47"/>
      <c r="I919" s="47"/>
      <c r="J919" s="47"/>
      <c r="L919" s="384"/>
      <c r="M919" s="47"/>
      <c r="T919" s="47"/>
      <c r="U919" s="47"/>
      <c r="V919" s="47"/>
    </row>
    <row r="920" spans="6:22" ht="15.75" customHeight="1">
      <c r="F920" s="47"/>
      <c r="I920" s="47"/>
      <c r="J920" s="47"/>
      <c r="L920" s="384"/>
      <c r="M920" s="47"/>
      <c r="T920" s="47"/>
      <c r="U920" s="47"/>
      <c r="V920" s="47"/>
    </row>
    <row r="921" spans="6:22" ht="15.75" customHeight="1">
      <c r="F921" s="47"/>
      <c r="I921" s="47"/>
      <c r="J921" s="47"/>
      <c r="L921" s="384"/>
      <c r="M921" s="47"/>
      <c r="T921" s="47"/>
      <c r="U921" s="47"/>
      <c r="V921" s="47"/>
    </row>
    <row r="922" spans="6:22" ht="15.75" customHeight="1">
      <c r="F922" s="47"/>
      <c r="I922" s="47"/>
      <c r="J922" s="47"/>
      <c r="L922" s="384"/>
      <c r="M922" s="47"/>
      <c r="T922" s="47"/>
      <c r="U922" s="47"/>
      <c r="V922" s="47"/>
    </row>
    <row r="923" spans="6:22" ht="15.75" customHeight="1">
      <c r="F923" s="47"/>
      <c r="I923" s="47"/>
      <c r="J923" s="47"/>
      <c r="L923" s="384"/>
      <c r="M923" s="47"/>
      <c r="T923" s="47"/>
      <c r="U923" s="47"/>
      <c r="V923" s="47"/>
    </row>
    <row r="924" spans="6:22" ht="15.75" customHeight="1">
      <c r="F924" s="47"/>
      <c r="I924" s="47"/>
      <c r="J924" s="47"/>
      <c r="L924" s="384"/>
      <c r="M924" s="47"/>
      <c r="T924" s="47"/>
      <c r="U924" s="47"/>
      <c r="V924" s="47"/>
    </row>
    <row r="925" spans="6:22" ht="15.75" customHeight="1">
      <c r="F925" s="47"/>
      <c r="I925" s="47"/>
      <c r="J925" s="47"/>
      <c r="L925" s="384"/>
      <c r="M925" s="47"/>
      <c r="T925" s="47"/>
      <c r="U925" s="47"/>
      <c r="V925" s="47"/>
    </row>
    <row r="926" spans="6:22" ht="15.75" customHeight="1">
      <c r="F926" s="47"/>
      <c r="I926" s="47"/>
      <c r="J926" s="47"/>
      <c r="L926" s="384"/>
      <c r="M926" s="47"/>
      <c r="T926" s="47"/>
      <c r="U926" s="47"/>
      <c r="V926" s="47"/>
    </row>
    <row r="927" spans="6:22" ht="15.75" customHeight="1">
      <c r="F927" s="47"/>
      <c r="I927" s="47"/>
      <c r="J927" s="47"/>
      <c r="L927" s="384"/>
      <c r="M927" s="47"/>
      <c r="T927" s="47"/>
      <c r="U927" s="47"/>
      <c r="V927" s="47"/>
    </row>
    <row r="928" spans="6:22" ht="15.75" customHeight="1">
      <c r="F928" s="47"/>
      <c r="I928" s="47"/>
      <c r="J928" s="47"/>
      <c r="L928" s="384"/>
      <c r="M928" s="47"/>
      <c r="T928" s="47"/>
      <c r="U928" s="47"/>
      <c r="V928" s="47"/>
    </row>
    <row r="929" spans="6:22" ht="15.75" customHeight="1">
      <c r="F929" s="47"/>
      <c r="I929" s="47"/>
      <c r="J929" s="47"/>
      <c r="L929" s="384"/>
      <c r="M929" s="47"/>
      <c r="T929" s="47"/>
      <c r="U929" s="47"/>
      <c r="V929" s="47"/>
    </row>
    <row r="930" spans="6:22" ht="15.75" customHeight="1">
      <c r="F930" s="47"/>
      <c r="I930" s="47"/>
      <c r="J930" s="47"/>
      <c r="L930" s="384"/>
      <c r="M930" s="47"/>
      <c r="T930" s="47"/>
      <c r="U930" s="47"/>
      <c r="V930" s="47"/>
    </row>
    <row r="931" spans="6:22" ht="15.75" customHeight="1">
      <c r="F931" s="47"/>
      <c r="I931" s="47"/>
      <c r="J931" s="47"/>
      <c r="L931" s="384"/>
      <c r="M931" s="47"/>
      <c r="T931" s="47"/>
      <c r="U931" s="47"/>
      <c r="V931" s="47"/>
    </row>
    <row r="932" spans="6:22" ht="15.75" customHeight="1">
      <c r="F932" s="47"/>
      <c r="I932" s="47"/>
      <c r="J932" s="47"/>
      <c r="L932" s="384"/>
      <c r="M932" s="47"/>
      <c r="T932" s="47"/>
      <c r="U932" s="47"/>
      <c r="V932" s="47"/>
    </row>
    <row r="933" spans="6:22" ht="15.75" customHeight="1">
      <c r="F933" s="47"/>
      <c r="I933" s="47"/>
      <c r="J933" s="47"/>
      <c r="L933" s="384"/>
      <c r="M933" s="47"/>
      <c r="T933" s="47"/>
      <c r="U933" s="47"/>
      <c r="V933" s="47"/>
    </row>
    <row r="934" spans="6:22" ht="15.75" customHeight="1">
      <c r="F934" s="47"/>
      <c r="I934" s="47"/>
      <c r="J934" s="47"/>
      <c r="L934" s="384"/>
      <c r="M934" s="47"/>
      <c r="T934" s="47"/>
      <c r="U934" s="47"/>
      <c r="V934" s="47"/>
    </row>
    <row r="935" spans="6:22" ht="15.75" customHeight="1">
      <c r="F935" s="47"/>
      <c r="I935" s="47"/>
      <c r="J935" s="47"/>
      <c r="L935" s="384"/>
      <c r="M935" s="47"/>
      <c r="T935" s="47"/>
      <c r="U935" s="47"/>
      <c r="V935" s="47"/>
    </row>
    <row r="936" spans="6:22" ht="15.75" customHeight="1">
      <c r="F936" s="47"/>
      <c r="I936" s="47"/>
      <c r="J936" s="47"/>
      <c r="L936" s="384"/>
      <c r="M936" s="47"/>
      <c r="T936" s="47"/>
      <c r="U936" s="47"/>
      <c r="V936" s="47"/>
    </row>
    <row r="937" spans="6:22" ht="15.75" customHeight="1">
      <c r="F937" s="47"/>
      <c r="I937" s="47"/>
      <c r="J937" s="47"/>
      <c r="L937" s="384"/>
      <c r="M937" s="47"/>
      <c r="T937" s="47"/>
      <c r="U937" s="47"/>
      <c r="V937" s="47"/>
    </row>
    <row r="938" spans="6:22" ht="15.75" customHeight="1">
      <c r="F938" s="47"/>
      <c r="I938" s="47"/>
      <c r="J938" s="47"/>
      <c r="L938" s="384"/>
      <c r="M938" s="47"/>
      <c r="T938" s="47"/>
      <c r="U938" s="47"/>
      <c r="V938" s="47"/>
    </row>
    <row r="939" spans="6:22" ht="15.75" customHeight="1">
      <c r="F939" s="47"/>
      <c r="I939" s="47"/>
      <c r="J939" s="47"/>
      <c r="L939" s="384"/>
      <c r="M939" s="47"/>
      <c r="T939" s="47"/>
      <c r="U939" s="47"/>
      <c r="V939" s="47"/>
    </row>
    <row r="940" spans="6:22" ht="15.75" customHeight="1">
      <c r="F940" s="47"/>
      <c r="I940" s="47"/>
      <c r="J940" s="47"/>
      <c r="L940" s="384"/>
      <c r="M940" s="47"/>
      <c r="T940" s="47"/>
      <c r="U940" s="47"/>
      <c r="V940" s="47"/>
    </row>
    <row r="941" spans="6:22" ht="15.75" customHeight="1">
      <c r="F941" s="47"/>
      <c r="I941" s="47"/>
      <c r="J941" s="47"/>
      <c r="L941" s="384"/>
      <c r="M941" s="47"/>
      <c r="T941" s="47"/>
      <c r="U941" s="47"/>
      <c r="V941" s="47"/>
    </row>
    <row r="942" spans="6:22" ht="15.75" customHeight="1">
      <c r="F942" s="47"/>
      <c r="I942" s="47"/>
      <c r="J942" s="47"/>
      <c r="L942" s="384"/>
      <c r="M942" s="47"/>
      <c r="T942" s="47"/>
      <c r="U942" s="47"/>
      <c r="V942" s="47"/>
    </row>
    <row r="943" spans="6:22" ht="15.75" customHeight="1">
      <c r="F943" s="47"/>
      <c r="I943" s="47"/>
      <c r="J943" s="47"/>
      <c r="L943" s="384"/>
      <c r="M943" s="47"/>
      <c r="T943" s="47"/>
      <c r="U943" s="47"/>
      <c r="V943" s="47"/>
    </row>
    <row r="944" spans="6:22" ht="15.75" customHeight="1">
      <c r="F944" s="47"/>
      <c r="I944" s="47"/>
      <c r="J944" s="47"/>
      <c r="L944" s="384"/>
      <c r="M944" s="47"/>
      <c r="T944" s="47"/>
      <c r="U944" s="47"/>
      <c r="V944" s="47"/>
    </row>
    <row r="945" spans="6:22" ht="15.75" customHeight="1">
      <c r="F945" s="47"/>
      <c r="I945" s="47"/>
      <c r="J945" s="47"/>
      <c r="L945" s="384"/>
      <c r="M945" s="47"/>
      <c r="T945" s="47"/>
      <c r="U945" s="47"/>
      <c r="V945" s="47"/>
    </row>
    <row r="946" spans="6:22" ht="15.75" customHeight="1">
      <c r="F946" s="47"/>
      <c r="I946" s="47"/>
      <c r="J946" s="47"/>
      <c r="L946" s="384"/>
      <c r="M946" s="47"/>
      <c r="T946" s="47"/>
      <c r="U946" s="47"/>
      <c r="V946" s="47"/>
    </row>
    <row r="947" spans="6:22" ht="15.75" customHeight="1">
      <c r="F947" s="47"/>
      <c r="I947" s="47"/>
      <c r="J947" s="47"/>
      <c r="L947" s="384"/>
      <c r="M947" s="47"/>
      <c r="T947" s="47"/>
      <c r="U947" s="47"/>
      <c r="V947" s="47"/>
    </row>
    <row r="948" spans="6:22" ht="15.75" customHeight="1">
      <c r="F948" s="47"/>
      <c r="I948" s="47"/>
      <c r="J948" s="47"/>
      <c r="L948" s="384"/>
      <c r="M948" s="47"/>
      <c r="T948" s="47"/>
      <c r="U948" s="47"/>
      <c r="V948" s="47"/>
    </row>
    <row r="949" spans="6:22" ht="15.75" customHeight="1">
      <c r="F949" s="47"/>
      <c r="I949" s="47"/>
      <c r="J949" s="47"/>
      <c r="L949" s="384"/>
      <c r="M949" s="47"/>
      <c r="T949" s="47"/>
      <c r="U949" s="47"/>
      <c r="V949" s="47"/>
    </row>
    <row r="950" spans="6:22" ht="15.75" customHeight="1">
      <c r="F950" s="47"/>
      <c r="I950" s="47"/>
      <c r="J950" s="47"/>
      <c r="L950" s="384"/>
      <c r="M950" s="47"/>
      <c r="T950" s="47"/>
      <c r="U950" s="47"/>
      <c r="V950" s="47"/>
    </row>
    <row r="951" spans="6:22" ht="15.75" customHeight="1">
      <c r="F951" s="47"/>
      <c r="I951" s="47"/>
      <c r="J951" s="47"/>
      <c r="L951" s="384"/>
      <c r="M951" s="47"/>
      <c r="T951" s="47"/>
      <c r="U951" s="47"/>
      <c r="V951" s="47"/>
    </row>
    <row r="952" spans="6:22" ht="15.75" customHeight="1">
      <c r="F952" s="47"/>
      <c r="I952" s="47"/>
      <c r="J952" s="47"/>
      <c r="L952" s="384"/>
      <c r="M952" s="47"/>
      <c r="T952" s="47"/>
      <c r="U952" s="47"/>
      <c r="V952" s="47"/>
    </row>
    <row r="953" spans="6:22" ht="15.75" customHeight="1">
      <c r="F953" s="47"/>
      <c r="I953" s="47"/>
      <c r="J953" s="47"/>
      <c r="L953" s="384"/>
      <c r="M953" s="47"/>
      <c r="T953" s="47"/>
      <c r="U953" s="47"/>
      <c r="V953" s="47"/>
    </row>
    <row r="954" spans="6:22" ht="15.75" customHeight="1">
      <c r="F954" s="47"/>
      <c r="I954" s="47"/>
      <c r="J954" s="47"/>
      <c r="L954" s="384"/>
      <c r="M954" s="47"/>
      <c r="T954" s="47"/>
      <c r="U954" s="47"/>
      <c r="V954" s="47"/>
    </row>
    <row r="955" spans="6:22" ht="15.75" customHeight="1">
      <c r="F955" s="47"/>
      <c r="I955" s="47"/>
      <c r="J955" s="47"/>
      <c r="L955" s="384"/>
      <c r="M955" s="47"/>
      <c r="T955" s="47"/>
      <c r="U955" s="47"/>
      <c r="V955" s="47"/>
    </row>
    <row r="956" spans="6:22" ht="15.75" customHeight="1">
      <c r="F956" s="47"/>
      <c r="I956" s="47"/>
      <c r="J956" s="47"/>
      <c r="L956" s="384"/>
      <c r="M956" s="47"/>
      <c r="T956" s="47"/>
      <c r="U956" s="47"/>
      <c r="V956" s="47"/>
    </row>
    <row r="957" spans="6:22" ht="15.75" customHeight="1">
      <c r="F957" s="47"/>
      <c r="I957" s="47"/>
      <c r="J957" s="47"/>
      <c r="L957" s="384"/>
      <c r="M957" s="47"/>
      <c r="T957" s="47"/>
      <c r="U957" s="47"/>
      <c r="V957" s="47"/>
    </row>
    <row r="958" spans="6:22" ht="15.75" customHeight="1">
      <c r="F958" s="47"/>
      <c r="I958" s="47"/>
      <c r="J958" s="47"/>
      <c r="L958" s="384"/>
      <c r="M958" s="47"/>
      <c r="T958" s="47"/>
      <c r="U958" s="47"/>
      <c r="V958" s="47"/>
    </row>
    <row r="959" spans="6:22" ht="15.75" customHeight="1">
      <c r="F959" s="47"/>
      <c r="I959" s="47"/>
      <c r="J959" s="47"/>
      <c r="L959" s="384"/>
      <c r="M959" s="47"/>
      <c r="T959" s="47"/>
      <c r="U959" s="47"/>
      <c r="V959" s="47"/>
    </row>
    <row r="960" spans="6:22" ht="15.75" customHeight="1">
      <c r="F960" s="47"/>
      <c r="I960" s="47"/>
      <c r="J960" s="47"/>
      <c r="L960" s="384"/>
      <c r="M960" s="47"/>
      <c r="T960" s="47"/>
      <c r="U960" s="47"/>
      <c r="V960" s="47"/>
    </row>
    <row r="961" spans="6:22" ht="15.75" customHeight="1">
      <c r="F961" s="47"/>
      <c r="I961" s="47"/>
      <c r="J961" s="47"/>
      <c r="L961" s="384"/>
      <c r="M961" s="47"/>
      <c r="T961" s="47"/>
      <c r="U961" s="47"/>
      <c r="V961" s="47"/>
    </row>
    <row r="962" spans="6:22" ht="15.75" customHeight="1">
      <c r="F962" s="47"/>
      <c r="I962" s="47"/>
      <c r="J962" s="47"/>
      <c r="L962" s="384"/>
      <c r="M962" s="47"/>
      <c r="T962" s="47"/>
      <c r="U962" s="47"/>
      <c r="V962" s="47"/>
    </row>
    <row r="963" spans="6:22" ht="15.75" customHeight="1">
      <c r="F963" s="47"/>
      <c r="I963" s="47"/>
      <c r="J963" s="47"/>
      <c r="L963" s="384"/>
      <c r="M963" s="47"/>
      <c r="T963" s="47"/>
      <c r="U963" s="47"/>
      <c r="V963" s="47"/>
    </row>
    <row r="964" spans="6:22" ht="15.75" customHeight="1">
      <c r="F964" s="47"/>
      <c r="I964" s="47"/>
      <c r="J964" s="47"/>
      <c r="L964" s="384"/>
      <c r="M964" s="47"/>
      <c r="T964" s="47"/>
      <c r="U964" s="47"/>
      <c r="V964" s="47"/>
    </row>
    <row r="965" spans="6:22" ht="15.75" customHeight="1">
      <c r="F965" s="47"/>
      <c r="I965" s="47"/>
      <c r="J965" s="47"/>
      <c r="L965" s="384"/>
      <c r="M965" s="47"/>
      <c r="T965" s="47"/>
      <c r="U965" s="47"/>
      <c r="V965" s="47"/>
    </row>
    <row r="966" spans="6:22" ht="15.75" customHeight="1">
      <c r="F966" s="47"/>
      <c r="I966" s="47"/>
      <c r="J966" s="47"/>
      <c r="L966" s="384"/>
      <c r="M966" s="47"/>
      <c r="T966" s="47"/>
      <c r="U966" s="47"/>
      <c r="V966" s="47"/>
    </row>
    <row r="967" spans="6:22" ht="15.75" customHeight="1">
      <c r="F967" s="47"/>
      <c r="I967" s="47"/>
      <c r="J967" s="47"/>
      <c r="L967" s="384"/>
      <c r="M967" s="47"/>
      <c r="T967" s="47"/>
      <c r="U967" s="47"/>
      <c r="V967" s="47"/>
    </row>
    <row r="968" spans="6:22" ht="15.75" customHeight="1">
      <c r="F968" s="47"/>
      <c r="I968" s="47"/>
      <c r="J968" s="47"/>
      <c r="L968" s="384"/>
      <c r="M968" s="47"/>
      <c r="T968" s="47"/>
      <c r="U968" s="47"/>
      <c r="V968" s="47"/>
    </row>
    <row r="969" spans="6:22" ht="15.75" customHeight="1">
      <c r="F969" s="47"/>
      <c r="I969" s="47"/>
      <c r="J969" s="47"/>
      <c r="L969" s="384"/>
      <c r="M969" s="47"/>
      <c r="T969" s="47"/>
      <c r="U969" s="47"/>
      <c r="V969" s="47"/>
    </row>
    <row r="970" spans="6:22" ht="15.75" customHeight="1">
      <c r="F970" s="47"/>
      <c r="I970" s="47"/>
      <c r="J970" s="47"/>
      <c r="L970" s="384"/>
      <c r="M970" s="47"/>
      <c r="T970" s="47"/>
      <c r="U970" s="47"/>
      <c r="V970" s="47"/>
    </row>
    <row r="971" spans="6:22" ht="15.75" customHeight="1">
      <c r="F971" s="47"/>
      <c r="I971" s="47"/>
      <c r="J971" s="47"/>
      <c r="L971" s="384"/>
      <c r="M971" s="47"/>
      <c r="T971" s="47"/>
      <c r="U971" s="47"/>
      <c r="V971" s="47"/>
    </row>
    <row r="972" spans="6:22" ht="15.75" customHeight="1">
      <c r="F972" s="47"/>
      <c r="I972" s="47"/>
      <c r="J972" s="47"/>
      <c r="L972" s="384"/>
      <c r="M972" s="47"/>
      <c r="T972" s="47"/>
      <c r="U972" s="47"/>
      <c r="V972" s="47"/>
    </row>
    <row r="973" spans="6:22" ht="15.75" customHeight="1">
      <c r="F973" s="47"/>
      <c r="I973" s="47"/>
      <c r="J973" s="47"/>
      <c r="L973" s="384"/>
      <c r="M973" s="47"/>
      <c r="T973" s="47"/>
      <c r="U973" s="47"/>
      <c r="V973" s="47"/>
    </row>
    <row r="974" spans="6:22" ht="15.75" customHeight="1">
      <c r="F974" s="47"/>
      <c r="I974" s="47"/>
      <c r="J974" s="47"/>
      <c r="L974" s="384"/>
      <c r="M974" s="47"/>
      <c r="T974" s="47"/>
      <c r="U974" s="47"/>
      <c r="V974" s="47"/>
    </row>
    <row r="975" spans="6:22" ht="15.75" customHeight="1">
      <c r="F975" s="47"/>
      <c r="I975" s="47"/>
      <c r="J975" s="47"/>
      <c r="L975" s="384"/>
      <c r="M975" s="47"/>
      <c r="T975" s="47"/>
      <c r="U975" s="47"/>
      <c r="V975" s="47"/>
    </row>
    <row r="976" spans="6:22" ht="15.75" customHeight="1">
      <c r="F976" s="47"/>
      <c r="I976" s="47"/>
      <c r="J976" s="47"/>
      <c r="L976" s="384"/>
      <c r="M976" s="47"/>
      <c r="T976" s="47"/>
      <c r="U976" s="47"/>
      <c r="V976" s="47"/>
    </row>
    <row r="977" spans="6:22" ht="15.75" customHeight="1">
      <c r="F977" s="47"/>
      <c r="I977" s="47"/>
      <c r="J977" s="47"/>
      <c r="L977" s="384"/>
      <c r="M977" s="47"/>
      <c r="T977" s="47"/>
      <c r="U977" s="47"/>
      <c r="V977" s="47"/>
    </row>
    <row r="978" spans="6:22" ht="15.75" customHeight="1">
      <c r="F978" s="47"/>
      <c r="I978" s="47"/>
      <c r="J978" s="47"/>
      <c r="L978" s="384"/>
      <c r="M978" s="47"/>
      <c r="T978" s="47"/>
      <c r="U978" s="47"/>
      <c r="V978" s="47"/>
    </row>
    <row r="979" spans="6:22" ht="15.75" customHeight="1">
      <c r="F979" s="47"/>
      <c r="I979" s="47"/>
      <c r="J979" s="47"/>
      <c r="L979" s="384"/>
      <c r="M979" s="47"/>
      <c r="T979" s="47"/>
      <c r="U979" s="47"/>
      <c r="V979" s="47"/>
    </row>
    <row r="980" spans="6:22" ht="15.75" customHeight="1">
      <c r="F980" s="47"/>
      <c r="I980" s="47"/>
      <c r="J980" s="47"/>
      <c r="L980" s="384"/>
      <c r="M980" s="47"/>
      <c r="T980" s="47"/>
      <c r="U980" s="47"/>
      <c r="V980" s="47"/>
    </row>
    <row r="981" spans="6:22" ht="15.75" customHeight="1">
      <c r="F981" s="47"/>
      <c r="I981" s="47"/>
      <c r="J981" s="47"/>
      <c r="L981" s="384"/>
      <c r="M981" s="47"/>
      <c r="T981" s="47"/>
      <c r="U981" s="47"/>
      <c r="V981" s="47"/>
    </row>
    <row r="982" spans="6:22" ht="15.75" customHeight="1">
      <c r="F982" s="47"/>
      <c r="I982" s="47"/>
      <c r="J982" s="47"/>
      <c r="L982" s="384"/>
      <c r="M982" s="47"/>
      <c r="T982" s="47"/>
      <c r="U982" s="47"/>
      <c r="V982" s="47"/>
    </row>
    <row r="983" spans="6:22" ht="15.75" customHeight="1">
      <c r="F983" s="47"/>
      <c r="I983" s="47"/>
      <c r="J983" s="47"/>
      <c r="L983" s="384"/>
      <c r="M983" s="47"/>
      <c r="T983" s="47"/>
      <c r="U983" s="47"/>
      <c r="V983" s="47"/>
    </row>
    <row r="984" spans="6:22" ht="15.75" customHeight="1">
      <c r="F984" s="47"/>
      <c r="I984" s="47"/>
      <c r="J984" s="47"/>
      <c r="L984" s="384"/>
      <c r="M984" s="47"/>
      <c r="T984" s="47"/>
      <c r="U984" s="47"/>
      <c r="V984" s="47"/>
    </row>
    <row r="985" spans="6:22" ht="15.75" customHeight="1">
      <c r="F985" s="47"/>
      <c r="I985" s="47"/>
      <c r="J985" s="47"/>
      <c r="L985" s="384"/>
      <c r="M985" s="47"/>
      <c r="T985" s="47"/>
      <c r="U985" s="47"/>
      <c r="V985" s="47"/>
    </row>
    <row r="986" spans="6:22" ht="15.75" customHeight="1">
      <c r="F986" s="47"/>
      <c r="I986" s="47"/>
      <c r="J986" s="47"/>
      <c r="L986" s="384"/>
      <c r="M986" s="47"/>
      <c r="T986" s="47"/>
      <c r="U986" s="47"/>
      <c r="V986" s="47"/>
    </row>
    <row r="987" spans="6:22" ht="15.75" customHeight="1">
      <c r="F987" s="47"/>
      <c r="I987" s="47"/>
      <c r="J987" s="47"/>
      <c r="L987" s="384"/>
      <c r="M987" s="47"/>
      <c r="T987" s="47"/>
      <c r="U987" s="47"/>
      <c r="V987" s="47"/>
    </row>
    <row r="988" spans="6:22" ht="15.75" customHeight="1">
      <c r="F988" s="47"/>
      <c r="I988" s="47"/>
      <c r="J988" s="47"/>
      <c r="L988" s="384"/>
      <c r="M988" s="47"/>
      <c r="T988" s="47"/>
      <c r="U988" s="47"/>
      <c r="V988" s="47"/>
    </row>
    <row r="989" spans="6:22" ht="15.75" customHeight="1">
      <c r="F989" s="47"/>
      <c r="I989" s="47"/>
      <c r="J989" s="47"/>
      <c r="L989" s="384"/>
      <c r="M989" s="47"/>
      <c r="T989" s="47"/>
      <c r="U989" s="47"/>
      <c r="V989" s="47"/>
    </row>
    <row r="990" spans="6:22" ht="15.75" customHeight="1">
      <c r="F990" s="47"/>
      <c r="I990" s="47"/>
      <c r="J990" s="47"/>
      <c r="L990" s="384"/>
      <c r="M990" s="47"/>
      <c r="T990" s="47"/>
      <c r="U990" s="47"/>
      <c r="V990" s="47"/>
    </row>
    <row r="991" spans="6:22" ht="15.75" customHeight="1">
      <c r="F991" s="47"/>
      <c r="I991" s="47"/>
      <c r="J991" s="47"/>
      <c r="L991" s="384"/>
      <c r="M991" s="47"/>
      <c r="T991" s="47"/>
      <c r="U991" s="47"/>
      <c r="V991" s="47"/>
    </row>
    <row r="992" spans="6:22" ht="15.75" customHeight="1">
      <c r="F992" s="47"/>
      <c r="I992" s="47"/>
      <c r="J992" s="47"/>
      <c r="L992" s="384"/>
      <c r="M992" s="47"/>
      <c r="T992" s="47"/>
      <c r="U992" s="47"/>
      <c r="V992" s="47"/>
    </row>
    <row r="993" spans="6:22" ht="15.75" customHeight="1">
      <c r="F993" s="47"/>
      <c r="I993" s="47"/>
      <c r="J993" s="47"/>
      <c r="L993" s="384"/>
      <c r="M993" s="47"/>
      <c r="T993" s="47"/>
      <c r="U993" s="47"/>
      <c r="V993" s="47"/>
    </row>
    <row r="994" spans="6:22" ht="15.75" customHeight="1">
      <c r="F994" s="47"/>
      <c r="I994" s="47"/>
      <c r="J994" s="47"/>
      <c r="L994" s="384"/>
      <c r="M994" s="47"/>
      <c r="T994" s="47"/>
      <c r="U994" s="47"/>
      <c r="V994" s="47"/>
    </row>
    <row r="995" spans="6:22" ht="15.75" customHeight="1">
      <c r="F995" s="47"/>
      <c r="I995" s="47"/>
      <c r="J995" s="47"/>
      <c r="L995" s="384"/>
      <c r="M995" s="47"/>
      <c r="T995" s="47"/>
      <c r="U995" s="47"/>
      <c r="V995" s="47"/>
    </row>
    <row r="996" spans="6:22" ht="15.75" customHeight="1">
      <c r="F996" s="47"/>
      <c r="I996" s="47"/>
      <c r="J996" s="47"/>
      <c r="L996" s="384"/>
      <c r="M996" s="47"/>
      <c r="T996" s="47"/>
      <c r="U996" s="47"/>
      <c r="V996" s="47"/>
    </row>
    <row r="997" spans="6:22" ht="15.75" customHeight="1">
      <c r="F997" s="47"/>
      <c r="I997" s="47"/>
      <c r="J997" s="47"/>
      <c r="L997" s="384"/>
      <c r="M997" s="47"/>
      <c r="T997" s="47"/>
      <c r="U997" s="47"/>
      <c r="V997" s="47"/>
    </row>
    <row r="998" spans="6:22" ht="15.75" customHeight="1">
      <c r="F998" s="47"/>
      <c r="I998" s="47"/>
      <c r="J998" s="47"/>
      <c r="L998" s="384"/>
      <c r="M998" s="47"/>
      <c r="T998" s="47"/>
      <c r="U998" s="47"/>
      <c r="V998" s="47"/>
    </row>
    <row r="999" spans="6:22" ht="15.75" customHeight="1">
      <c r="F999" s="47"/>
      <c r="I999" s="47"/>
      <c r="J999" s="47"/>
      <c r="L999" s="384"/>
      <c r="M999" s="47"/>
      <c r="T999" s="47"/>
      <c r="U999" s="47"/>
      <c r="V999" s="47"/>
    </row>
    <row r="1000" spans="6:22" ht="15.75" customHeight="1">
      <c r="F1000" s="47"/>
      <c r="I1000" s="47"/>
      <c r="J1000" s="47"/>
      <c r="L1000" s="384"/>
      <c r="M1000" s="47"/>
      <c r="T1000" s="47"/>
      <c r="U1000" s="47"/>
      <c r="V1000" s="47"/>
    </row>
    <row r="1001" spans="6:22" ht="15.75" customHeight="1">
      <c r="F1001" s="47"/>
      <c r="I1001" s="47"/>
      <c r="J1001" s="47"/>
      <c r="L1001" s="384"/>
      <c r="M1001" s="47"/>
      <c r="T1001" s="47"/>
      <c r="U1001" s="47"/>
      <c r="V1001" s="47"/>
    </row>
    <row r="1002" spans="6:22" ht="15.75" customHeight="1">
      <c r="F1002" s="47"/>
      <c r="I1002" s="47"/>
      <c r="J1002" s="47"/>
      <c r="L1002" s="384"/>
      <c r="M1002" s="47"/>
      <c r="T1002" s="47"/>
      <c r="U1002" s="47"/>
      <c r="V1002" s="47"/>
    </row>
    <row r="1003" spans="6:22" ht="15.75" customHeight="1">
      <c r="F1003" s="47"/>
      <c r="I1003" s="47"/>
      <c r="J1003" s="47"/>
      <c r="L1003" s="384"/>
      <c r="M1003" s="47"/>
      <c r="T1003" s="47"/>
      <c r="U1003" s="47"/>
      <c r="V1003" s="47"/>
    </row>
    <row r="1004" spans="6:22" ht="15.75" customHeight="1">
      <c r="F1004" s="47"/>
      <c r="I1004" s="47"/>
      <c r="J1004" s="47"/>
      <c r="L1004" s="384"/>
      <c r="M1004" s="47"/>
      <c r="T1004" s="47"/>
      <c r="U1004" s="47"/>
      <c r="V1004" s="47"/>
    </row>
    <row r="1005" spans="6:22" ht="15.75" customHeight="1">
      <c r="F1005" s="47"/>
      <c r="I1005" s="47"/>
      <c r="J1005" s="47"/>
      <c r="L1005" s="384"/>
      <c r="M1005" s="47"/>
      <c r="T1005" s="47"/>
      <c r="U1005" s="47"/>
      <c r="V1005" s="47"/>
    </row>
    <row r="1006" spans="6:22" ht="15.75" customHeight="1">
      <c r="F1006" s="47"/>
      <c r="I1006" s="47"/>
      <c r="J1006" s="47"/>
      <c r="L1006" s="384"/>
      <c r="M1006" s="47"/>
      <c r="T1006" s="47"/>
      <c r="U1006" s="47"/>
      <c r="V1006" s="47"/>
    </row>
    <row r="1007" spans="6:22" ht="15.75" customHeight="1">
      <c r="F1007" s="47"/>
      <c r="I1007" s="47"/>
      <c r="J1007" s="47"/>
      <c r="L1007" s="384"/>
      <c r="M1007" s="47"/>
      <c r="T1007" s="47"/>
      <c r="U1007" s="47"/>
      <c r="V1007" s="47"/>
    </row>
    <row r="1008" spans="6:22" ht="15.75" customHeight="1">
      <c r="F1008" s="47"/>
      <c r="I1008" s="47"/>
      <c r="J1008" s="47"/>
      <c r="L1008" s="384"/>
      <c r="M1008" s="47"/>
      <c r="T1008" s="47"/>
      <c r="U1008" s="47"/>
      <c r="V1008" s="47"/>
    </row>
    <row r="1009" spans="6:22" ht="15.75" customHeight="1">
      <c r="F1009" s="47"/>
      <c r="I1009" s="47"/>
      <c r="J1009" s="47"/>
      <c r="L1009" s="384"/>
      <c r="M1009" s="47"/>
      <c r="T1009" s="47"/>
      <c r="U1009" s="47"/>
      <c r="V1009" s="47"/>
    </row>
    <row r="1010" spans="6:22" ht="15.75" customHeight="1">
      <c r="F1010" s="47"/>
      <c r="I1010" s="47"/>
      <c r="J1010" s="47"/>
      <c r="L1010" s="384"/>
      <c r="M1010" s="47"/>
      <c r="T1010" s="47"/>
      <c r="U1010" s="47"/>
      <c r="V1010" s="47"/>
    </row>
    <row r="1011" spans="6:22" ht="15.75" customHeight="1">
      <c r="F1011" s="47"/>
      <c r="I1011" s="47"/>
      <c r="J1011" s="47"/>
      <c r="L1011" s="384"/>
      <c r="M1011" s="47"/>
      <c r="T1011" s="47"/>
      <c r="U1011" s="47"/>
      <c r="V1011" s="47"/>
    </row>
    <row r="1012" spans="6:22" ht="15.75" customHeight="1">
      <c r="F1012" s="47"/>
      <c r="I1012" s="47"/>
      <c r="J1012" s="47"/>
      <c r="L1012" s="384"/>
      <c r="M1012" s="47"/>
      <c r="T1012" s="47"/>
      <c r="U1012" s="47"/>
      <c r="V1012" s="47"/>
    </row>
    <row r="1013" spans="6:22" ht="15.75" customHeight="1">
      <c r="F1013" s="47"/>
      <c r="I1013" s="47"/>
      <c r="J1013" s="47"/>
      <c r="L1013" s="384"/>
      <c r="M1013" s="47"/>
      <c r="T1013" s="47"/>
      <c r="U1013" s="47"/>
      <c r="V1013" s="47"/>
    </row>
    <row r="1014" spans="6:22" ht="15.75" customHeight="1">
      <c r="F1014" s="47"/>
      <c r="I1014" s="47"/>
      <c r="J1014" s="47"/>
      <c r="L1014" s="384"/>
      <c r="M1014" s="47"/>
      <c r="T1014" s="47"/>
      <c r="U1014" s="47"/>
      <c r="V1014" s="47"/>
    </row>
    <row r="1015" spans="6:22" ht="15.75" customHeight="1">
      <c r="F1015" s="47"/>
      <c r="I1015" s="47"/>
      <c r="J1015" s="47"/>
      <c r="L1015" s="384"/>
      <c r="M1015" s="47"/>
      <c r="T1015" s="47"/>
      <c r="U1015" s="47"/>
      <c r="V1015" s="47"/>
    </row>
    <row r="1016" spans="6:22" ht="15.75" customHeight="1">
      <c r="F1016" s="47"/>
      <c r="I1016" s="47"/>
      <c r="J1016" s="47"/>
      <c r="L1016" s="384"/>
      <c r="M1016" s="47"/>
      <c r="T1016" s="47"/>
      <c r="U1016" s="47"/>
      <c r="V1016" s="47"/>
    </row>
    <row r="1017" spans="6:22" ht="15.75" customHeight="1">
      <c r="F1017" s="47"/>
      <c r="I1017" s="47"/>
      <c r="J1017" s="47"/>
      <c r="L1017" s="384"/>
      <c r="M1017" s="47"/>
      <c r="T1017" s="47"/>
      <c r="U1017" s="47"/>
      <c r="V1017" s="47"/>
    </row>
    <row r="1018" spans="6:22" ht="15.75" customHeight="1">
      <c r="F1018" s="47"/>
      <c r="I1018" s="47"/>
      <c r="J1018" s="47"/>
      <c r="L1018" s="384"/>
      <c r="M1018" s="47"/>
      <c r="T1018" s="47"/>
      <c r="U1018" s="47"/>
      <c r="V1018" s="47"/>
    </row>
    <row r="1019" spans="6:22" ht="15.75" customHeight="1">
      <c r="F1019" s="47"/>
      <c r="I1019" s="47"/>
      <c r="J1019" s="47"/>
      <c r="L1019" s="384"/>
      <c r="M1019" s="47"/>
      <c r="T1019" s="47"/>
      <c r="U1019" s="47"/>
      <c r="V1019" s="47"/>
    </row>
    <row r="1020" spans="6:22" ht="15.75" customHeight="1">
      <c r="F1020" s="47"/>
      <c r="I1020" s="47"/>
      <c r="J1020" s="47"/>
      <c r="L1020" s="384"/>
      <c r="M1020" s="47"/>
      <c r="T1020" s="47"/>
      <c r="U1020" s="47"/>
      <c r="V1020" s="47"/>
    </row>
    <row r="1021" spans="6:22" ht="15.75" customHeight="1">
      <c r="F1021" s="47"/>
      <c r="I1021" s="47"/>
      <c r="J1021" s="47"/>
      <c r="L1021" s="384"/>
      <c r="M1021" s="47"/>
      <c r="T1021" s="47"/>
      <c r="U1021" s="47"/>
      <c r="V1021" s="47"/>
    </row>
    <row r="1022" spans="6:22" ht="15.75" customHeight="1">
      <c r="F1022" s="47"/>
      <c r="I1022" s="47"/>
      <c r="J1022" s="47"/>
      <c r="L1022" s="384"/>
      <c r="M1022" s="47"/>
      <c r="T1022" s="47"/>
      <c r="U1022" s="47"/>
      <c r="V1022" s="47"/>
    </row>
    <row r="1023" spans="6:22" ht="15.75" customHeight="1">
      <c r="F1023" s="47"/>
      <c r="I1023" s="47"/>
      <c r="J1023" s="47"/>
      <c r="L1023" s="384"/>
      <c r="M1023" s="47"/>
      <c r="T1023" s="47"/>
      <c r="U1023" s="47"/>
      <c r="V1023" s="47"/>
    </row>
    <row r="1024" spans="6:22" ht="15.75" customHeight="1">
      <c r="F1024" s="47"/>
      <c r="I1024" s="47"/>
      <c r="J1024" s="47"/>
      <c r="L1024" s="384"/>
      <c r="M1024" s="47"/>
      <c r="T1024" s="47"/>
      <c r="U1024" s="47"/>
      <c r="V1024" s="47"/>
    </row>
    <row r="1025" spans="6:22" ht="15.75" customHeight="1">
      <c r="F1025" s="47"/>
      <c r="I1025" s="47"/>
      <c r="J1025" s="47"/>
      <c r="L1025" s="384"/>
      <c r="M1025" s="47"/>
      <c r="T1025" s="47"/>
      <c r="U1025" s="47"/>
      <c r="V1025" s="47"/>
    </row>
    <row r="1026" spans="6:22" ht="15.75" customHeight="1">
      <c r="F1026" s="47"/>
      <c r="I1026" s="47"/>
      <c r="J1026" s="47"/>
      <c r="L1026" s="384"/>
      <c r="M1026" s="47"/>
      <c r="T1026" s="47"/>
      <c r="U1026" s="47"/>
      <c r="V1026" s="47"/>
    </row>
    <row r="1027" spans="6:22" ht="15.75" customHeight="1">
      <c r="F1027" s="47"/>
      <c r="I1027" s="47"/>
      <c r="J1027" s="47"/>
      <c r="L1027" s="384"/>
      <c r="M1027" s="47"/>
      <c r="T1027" s="47"/>
      <c r="U1027" s="47"/>
      <c r="V1027" s="47"/>
    </row>
    <row r="1028" spans="6:22" ht="15.75" customHeight="1">
      <c r="F1028" s="47"/>
      <c r="I1028" s="47"/>
      <c r="J1028" s="47"/>
      <c r="L1028" s="384"/>
      <c r="M1028" s="47"/>
      <c r="T1028" s="47"/>
      <c r="U1028" s="47"/>
      <c r="V1028" s="47"/>
    </row>
    <row r="1029" spans="6:22" ht="15.75" customHeight="1">
      <c r="F1029" s="47"/>
      <c r="I1029" s="47"/>
      <c r="J1029" s="47"/>
      <c r="L1029" s="384"/>
      <c r="M1029" s="47"/>
      <c r="T1029" s="47"/>
      <c r="U1029" s="47"/>
      <c r="V1029" s="47"/>
    </row>
    <row r="1030" spans="6:22" ht="15.75" customHeight="1">
      <c r="F1030" s="47"/>
      <c r="I1030" s="47"/>
      <c r="J1030" s="47"/>
      <c r="L1030" s="384"/>
      <c r="M1030" s="47"/>
      <c r="T1030" s="47"/>
      <c r="U1030" s="47"/>
      <c r="V1030" s="47"/>
    </row>
    <row r="1031" spans="6:22" ht="15.75" customHeight="1">
      <c r="F1031" s="47"/>
      <c r="I1031" s="47"/>
      <c r="J1031" s="47"/>
      <c r="L1031" s="384"/>
      <c r="M1031" s="47"/>
      <c r="T1031" s="47"/>
      <c r="U1031" s="47"/>
      <c r="V1031" s="47"/>
    </row>
    <row r="1032" spans="6:22" ht="15.75" customHeight="1">
      <c r="F1032" s="47"/>
      <c r="I1032" s="47"/>
      <c r="J1032" s="47"/>
      <c r="L1032" s="384"/>
      <c r="M1032" s="47"/>
      <c r="T1032" s="47"/>
      <c r="U1032" s="47"/>
      <c r="V1032" s="47"/>
    </row>
    <row r="1033" spans="6:22" ht="15.75" customHeight="1">
      <c r="F1033" s="47"/>
      <c r="I1033" s="47"/>
      <c r="J1033" s="47"/>
      <c r="L1033" s="384"/>
      <c r="M1033" s="47"/>
      <c r="T1033" s="47"/>
      <c r="U1033" s="47"/>
      <c r="V1033" s="47"/>
    </row>
    <row r="1034" spans="6:22" ht="15.75" customHeight="1">
      <c r="F1034" s="47"/>
      <c r="I1034" s="47"/>
      <c r="J1034" s="47"/>
      <c r="L1034" s="384"/>
      <c r="M1034" s="47"/>
      <c r="T1034" s="47"/>
      <c r="U1034" s="47"/>
      <c r="V1034" s="47"/>
    </row>
    <row r="1035" spans="6:22" ht="15.75" customHeight="1">
      <c r="F1035" s="47"/>
      <c r="I1035" s="47"/>
      <c r="J1035" s="47"/>
      <c r="L1035" s="384"/>
      <c r="M1035" s="47"/>
      <c r="T1035" s="47"/>
      <c r="U1035" s="47"/>
      <c r="V1035" s="47"/>
    </row>
    <row r="1036" spans="6:22" ht="15.75" customHeight="1">
      <c r="F1036" s="47"/>
      <c r="I1036" s="47"/>
      <c r="J1036" s="47"/>
      <c r="L1036" s="384"/>
      <c r="M1036" s="47"/>
      <c r="T1036" s="47"/>
      <c r="U1036" s="47"/>
      <c r="V1036" s="47"/>
    </row>
    <row r="1037" spans="6:22" ht="15.75" customHeight="1">
      <c r="F1037" s="47"/>
      <c r="I1037" s="47"/>
      <c r="J1037" s="47"/>
      <c r="L1037" s="384"/>
      <c r="M1037" s="47"/>
      <c r="T1037" s="47"/>
      <c r="U1037" s="47"/>
      <c r="V1037" s="47"/>
    </row>
    <row r="1038" spans="6:22" ht="15.75" customHeight="1">
      <c r="F1038" s="47"/>
      <c r="I1038" s="47"/>
      <c r="J1038" s="47"/>
      <c r="L1038" s="384"/>
      <c r="M1038" s="47"/>
      <c r="T1038" s="47"/>
      <c r="U1038" s="47"/>
      <c r="V1038" s="47"/>
    </row>
    <row r="1039" spans="6:22" ht="15.75" customHeight="1">
      <c r="F1039" s="47"/>
      <c r="I1039" s="47"/>
      <c r="J1039" s="47"/>
      <c r="L1039" s="384"/>
      <c r="M1039" s="47"/>
      <c r="T1039" s="47"/>
      <c r="U1039" s="47"/>
      <c r="V1039" s="47"/>
    </row>
    <row r="1040" spans="6:22" ht="15.75" customHeight="1">
      <c r="F1040" s="47"/>
      <c r="I1040" s="47"/>
      <c r="J1040" s="47"/>
      <c r="L1040" s="384"/>
      <c r="M1040" s="47"/>
      <c r="T1040" s="47"/>
      <c r="U1040" s="47"/>
      <c r="V1040" s="47"/>
    </row>
    <row r="1041" spans="6:22" ht="15.75" customHeight="1">
      <c r="F1041" s="47"/>
      <c r="I1041" s="47"/>
      <c r="J1041" s="47"/>
      <c r="L1041" s="384"/>
      <c r="M1041" s="47"/>
      <c r="T1041" s="47"/>
      <c r="U1041" s="47"/>
      <c r="V1041" s="47"/>
    </row>
    <row r="1042" spans="6:22" ht="15.75" customHeight="1">
      <c r="F1042" s="47"/>
      <c r="I1042" s="47"/>
      <c r="J1042" s="47"/>
      <c r="L1042" s="384"/>
      <c r="M1042" s="47"/>
      <c r="T1042" s="47"/>
      <c r="U1042" s="47"/>
      <c r="V1042" s="47"/>
    </row>
    <row r="1043" spans="6:22" ht="15.75" customHeight="1">
      <c r="F1043" s="47"/>
      <c r="I1043" s="47"/>
      <c r="J1043" s="47"/>
      <c r="L1043" s="384"/>
      <c r="M1043" s="47"/>
      <c r="T1043" s="47"/>
      <c r="U1043" s="47"/>
      <c r="V1043" s="47"/>
    </row>
    <row r="1044" spans="6:22" ht="15.75" customHeight="1">
      <c r="F1044" s="47"/>
      <c r="I1044" s="47"/>
      <c r="J1044" s="47"/>
      <c r="L1044" s="384"/>
      <c r="M1044" s="47"/>
      <c r="T1044" s="47"/>
      <c r="U1044" s="47"/>
      <c r="V1044" s="47"/>
    </row>
    <row r="1045" spans="6:22" ht="15.75" customHeight="1">
      <c r="F1045" s="47"/>
      <c r="I1045" s="47"/>
      <c r="J1045" s="47"/>
      <c r="L1045" s="384"/>
      <c r="M1045" s="47"/>
      <c r="T1045" s="47"/>
      <c r="U1045" s="47"/>
      <c r="V1045" s="47"/>
    </row>
    <row r="1046" spans="6:22" ht="15.75" customHeight="1">
      <c r="F1046" s="47"/>
      <c r="I1046" s="47"/>
      <c r="J1046" s="47"/>
      <c r="L1046" s="384"/>
      <c r="M1046" s="47"/>
      <c r="T1046" s="47"/>
      <c r="U1046" s="47"/>
      <c r="V1046" s="47"/>
    </row>
    <row r="1047" spans="6:22" ht="15.75" customHeight="1">
      <c r="F1047" s="47"/>
      <c r="I1047" s="47"/>
      <c r="J1047" s="47"/>
      <c r="L1047" s="384"/>
      <c r="M1047" s="47"/>
      <c r="T1047" s="47"/>
      <c r="U1047" s="47"/>
      <c r="V1047" s="47"/>
    </row>
    <row r="1048" spans="6:22" ht="15.75" customHeight="1">
      <c r="F1048" s="47"/>
      <c r="I1048" s="47"/>
      <c r="J1048" s="47"/>
      <c r="L1048" s="384"/>
      <c r="M1048" s="47"/>
      <c r="T1048" s="47"/>
      <c r="U1048" s="47"/>
      <c r="V1048" s="47"/>
    </row>
    <row r="1049" spans="6:22" ht="15.75" customHeight="1">
      <c r="F1049" s="47"/>
      <c r="I1049" s="47"/>
      <c r="J1049" s="47"/>
      <c r="L1049" s="384"/>
      <c r="M1049" s="47"/>
      <c r="T1049" s="47"/>
      <c r="U1049" s="47"/>
      <c r="V1049" s="47"/>
    </row>
    <row r="1050" spans="6:22" ht="15.75" customHeight="1">
      <c r="F1050" s="47"/>
      <c r="I1050" s="47"/>
      <c r="J1050" s="47"/>
      <c r="L1050" s="384"/>
      <c r="M1050" s="47"/>
      <c r="T1050" s="47"/>
      <c r="U1050" s="47"/>
      <c r="V1050" s="47"/>
    </row>
    <row r="1051" spans="6:22" ht="15.75" customHeight="1">
      <c r="F1051" s="47"/>
      <c r="I1051" s="47"/>
      <c r="J1051" s="47"/>
      <c r="L1051" s="384"/>
      <c r="M1051" s="47"/>
      <c r="T1051" s="47"/>
      <c r="U1051" s="47"/>
      <c r="V1051" s="47"/>
    </row>
    <row r="1052" spans="6:22" ht="15.75" customHeight="1">
      <c r="F1052" s="47"/>
      <c r="I1052" s="47"/>
      <c r="J1052" s="47"/>
      <c r="L1052" s="384"/>
      <c r="M1052" s="47"/>
      <c r="T1052" s="47"/>
      <c r="U1052" s="47"/>
      <c r="V1052" s="47"/>
    </row>
    <row r="1053" spans="6:22" ht="15.75" customHeight="1">
      <c r="F1053" s="47"/>
      <c r="I1053" s="47"/>
      <c r="J1053" s="47"/>
      <c r="L1053" s="384"/>
      <c r="M1053" s="47"/>
      <c r="T1053" s="47"/>
      <c r="U1053" s="47"/>
      <c r="V1053" s="47"/>
    </row>
    <row r="1054" spans="6:22" ht="15.75" customHeight="1">
      <c r="F1054" s="47"/>
      <c r="I1054" s="47"/>
      <c r="J1054" s="47"/>
      <c r="L1054" s="384"/>
      <c r="M1054" s="47"/>
      <c r="T1054" s="47"/>
      <c r="U1054" s="47"/>
      <c r="V1054" s="47"/>
    </row>
    <row r="1055" spans="6:22" ht="15.75" customHeight="1">
      <c r="F1055" s="47"/>
      <c r="I1055" s="47"/>
      <c r="J1055" s="47"/>
      <c r="L1055" s="384"/>
      <c r="M1055" s="47"/>
      <c r="T1055" s="47"/>
      <c r="U1055" s="47"/>
      <c r="V1055" s="47"/>
    </row>
    <row r="1056" spans="6:22" ht="15.75" customHeight="1">
      <c r="F1056" s="47"/>
      <c r="I1056" s="47"/>
      <c r="J1056" s="47"/>
      <c r="L1056" s="384"/>
      <c r="M1056" s="47"/>
      <c r="T1056" s="47"/>
      <c r="U1056" s="47"/>
      <c r="V1056" s="47"/>
    </row>
    <row r="1057" spans="6:22" ht="15.75" customHeight="1">
      <c r="F1057" s="47"/>
      <c r="I1057" s="47"/>
      <c r="J1057" s="47"/>
      <c r="L1057" s="384"/>
      <c r="M1057" s="47"/>
      <c r="T1057" s="47"/>
      <c r="U1057" s="47"/>
      <c r="V1057" s="47"/>
    </row>
    <row r="1058" spans="6:22" ht="15.75" customHeight="1">
      <c r="F1058" s="47"/>
      <c r="I1058" s="47"/>
      <c r="J1058" s="47"/>
      <c r="L1058" s="384"/>
      <c r="M1058" s="47"/>
      <c r="T1058" s="47"/>
      <c r="U1058" s="47"/>
      <c r="V1058" s="47"/>
    </row>
    <row r="1059" spans="6:22" ht="15.75" customHeight="1">
      <c r="F1059" s="47"/>
      <c r="I1059" s="47"/>
      <c r="J1059" s="47"/>
      <c r="L1059" s="384"/>
      <c r="M1059" s="47"/>
      <c r="T1059" s="47"/>
      <c r="U1059" s="47"/>
      <c r="V1059" s="47"/>
    </row>
    <row r="1060" spans="6:22" ht="15.75" customHeight="1">
      <c r="F1060" s="47"/>
      <c r="I1060" s="47"/>
      <c r="J1060" s="47"/>
      <c r="L1060" s="384"/>
      <c r="M1060" s="47"/>
      <c r="T1060" s="47"/>
      <c r="U1060" s="47"/>
      <c r="V1060" s="47"/>
    </row>
    <row r="1061" spans="6:22" ht="15.75" customHeight="1">
      <c r="F1061" s="47"/>
      <c r="I1061" s="47"/>
      <c r="J1061" s="47"/>
      <c r="L1061" s="384"/>
      <c r="M1061" s="47"/>
      <c r="T1061" s="47"/>
      <c r="U1061" s="47"/>
      <c r="V1061" s="47"/>
    </row>
    <row r="1062" spans="6:22" ht="15.75" customHeight="1">
      <c r="F1062" s="47"/>
      <c r="I1062" s="47"/>
      <c r="J1062" s="47"/>
      <c r="L1062" s="384"/>
      <c r="M1062" s="47"/>
      <c r="T1062" s="47"/>
      <c r="U1062" s="47"/>
      <c r="V1062" s="47"/>
    </row>
    <row r="1063" spans="6:22" ht="15.75" customHeight="1">
      <c r="F1063" s="47"/>
      <c r="I1063" s="47"/>
      <c r="J1063" s="47"/>
      <c r="L1063" s="384"/>
      <c r="M1063" s="47"/>
      <c r="T1063" s="47"/>
      <c r="U1063" s="47"/>
      <c r="V1063" s="47"/>
    </row>
    <row r="1064" spans="6:22" ht="15.75" customHeight="1">
      <c r="F1064" s="47"/>
      <c r="I1064" s="47"/>
      <c r="J1064" s="47"/>
      <c r="L1064" s="384"/>
      <c r="M1064" s="47"/>
      <c r="T1064" s="47"/>
      <c r="U1064" s="47"/>
      <c r="V1064" s="47"/>
    </row>
    <row r="1065" spans="6:22" ht="15.75" customHeight="1">
      <c r="F1065" s="47"/>
      <c r="I1065" s="47"/>
      <c r="J1065" s="47"/>
      <c r="L1065" s="384"/>
      <c r="M1065" s="47"/>
      <c r="T1065" s="47"/>
      <c r="U1065" s="47"/>
      <c r="V1065" s="47"/>
    </row>
    <row r="1066" spans="6:22" ht="15.75" customHeight="1">
      <c r="F1066" s="47"/>
      <c r="I1066" s="47"/>
      <c r="J1066" s="47"/>
      <c r="L1066" s="384"/>
      <c r="M1066" s="47"/>
      <c r="T1066" s="47"/>
      <c r="U1066" s="47"/>
      <c r="V1066" s="47"/>
    </row>
    <row r="1067" spans="6:22" ht="15.75" customHeight="1">
      <c r="F1067" s="47"/>
      <c r="I1067" s="47"/>
      <c r="J1067" s="47"/>
      <c r="L1067" s="384"/>
      <c r="M1067" s="47"/>
      <c r="T1067" s="47"/>
      <c r="U1067" s="47"/>
      <c r="V1067" s="47"/>
    </row>
    <row r="1068" spans="6:22" ht="15.75" customHeight="1">
      <c r="F1068" s="47"/>
      <c r="I1068" s="47"/>
      <c r="J1068" s="47"/>
      <c r="L1068" s="384"/>
      <c r="M1068" s="47"/>
      <c r="T1068" s="47"/>
      <c r="U1068" s="47"/>
      <c r="V1068" s="47"/>
    </row>
    <row r="1069" spans="6:22" ht="15.75" customHeight="1">
      <c r="F1069" s="47"/>
      <c r="I1069" s="47"/>
      <c r="J1069" s="47"/>
      <c r="L1069" s="384"/>
      <c r="M1069" s="47"/>
      <c r="T1069" s="47"/>
      <c r="U1069" s="47"/>
      <c r="V1069" s="47"/>
    </row>
    <row r="1070" spans="6:22" ht="15.75" customHeight="1">
      <c r="F1070" s="47"/>
      <c r="I1070" s="47"/>
      <c r="J1070" s="47"/>
      <c r="L1070" s="384"/>
      <c r="M1070" s="47"/>
      <c r="T1070" s="47"/>
      <c r="U1070" s="47"/>
      <c r="V1070" s="47"/>
    </row>
    <row r="1071" spans="6:22" ht="15.75" customHeight="1">
      <c r="F1071" s="47"/>
      <c r="I1071" s="47"/>
      <c r="J1071" s="47"/>
      <c r="L1071" s="384"/>
      <c r="M1071" s="47"/>
      <c r="T1071" s="47"/>
      <c r="U1071" s="47"/>
      <c r="V1071" s="47"/>
    </row>
    <row r="1072" spans="6:22" ht="15.75" customHeight="1">
      <c r="F1072" s="47"/>
      <c r="I1072" s="47"/>
      <c r="J1072" s="47"/>
      <c r="L1072" s="384"/>
      <c r="M1072" s="47"/>
      <c r="T1072" s="47"/>
      <c r="U1072" s="47"/>
      <c r="V1072" s="47"/>
    </row>
    <row r="1073" spans="6:22" ht="15.75" customHeight="1">
      <c r="F1073" s="47"/>
      <c r="I1073" s="47"/>
      <c r="J1073" s="47"/>
      <c r="L1073" s="384"/>
      <c r="M1073" s="47"/>
      <c r="T1073" s="47"/>
      <c r="U1073" s="47"/>
      <c r="V1073" s="47"/>
    </row>
    <row r="1074" spans="6:22" ht="15.75" customHeight="1">
      <c r="F1074" s="47"/>
      <c r="I1074" s="47"/>
      <c r="J1074" s="47"/>
      <c r="L1074" s="384"/>
      <c r="M1074" s="47"/>
      <c r="T1074" s="47"/>
      <c r="U1074" s="47"/>
      <c r="V1074" s="47"/>
    </row>
    <row r="1075" spans="6:22" ht="15.75" customHeight="1">
      <c r="F1075" s="47"/>
      <c r="I1075" s="47"/>
      <c r="J1075" s="47"/>
      <c r="L1075" s="384"/>
      <c r="M1075" s="47"/>
      <c r="T1075" s="47"/>
      <c r="U1075" s="47"/>
      <c r="V1075" s="47"/>
    </row>
    <row r="1076" spans="6:22" ht="15.75" customHeight="1">
      <c r="F1076" s="47"/>
      <c r="I1076" s="47"/>
      <c r="J1076" s="47"/>
      <c r="L1076" s="384"/>
      <c r="M1076" s="47"/>
      <c r="T1076" s="47"/>
      <c r="U1076" s="47"/>
      <c r="V1076" s="47"/>
    </row>
    <row r="1077" spans="6:22" ht="15.75" customHeight="1">
      <c r="F1077" s="47"/>
      <c r="I1077" s="47"/>
      <c r="J1077" s="47"/>
      <c r="L1077" s="384"/>
      <c r="M1077" s="47"/>
      <c r="T1077" s="47"/>
      <c r="U1077" s="47"/>
      <c r="V1077" s="47"/>
    </row>
    <row r="1078" spans="6:22" ht="15.75" customHeight="1">
      <c r="F1078" s="47"/>
      <c r="I1078" s="47"/>
      <c r="J1078" s="47"/>
      <c r="L1078" s="384"/>
      <c r="M1078" s="47"/>
      <c r="T1078" s="47"/>
      <c r="U1078" s="47"/>
      <c r="V1078" s="47"/>
    </row>
    <row r="1079" spans="6:22" ht="15.75" customHeight="1">
      <c r="F1079" s="47"/>
      <c r="I1079" s="47"/>
      <c r="J1079" s="47"/>
      <c r="L1079" s="384"/>
      <c r="M1079" s="47"/>
      <c r="T1079" s="47"/>
      <c r="U1079" s="47"/>
      <c r="V1079" s="47"/>
    </row>
    <row r="1080" spans="6:22" ht="15.75" customHeight="1">
      <c r="F1080" s="47"/>
      <c r="I1080" s="47"/>
      <c r="J1080" s="47"/>
      <c r="L1080" s="384"/>
      <c r="M1080" s="47"/>
      <c r="T1080" s="47"/>
      <c r="U1080" s="47"/>
      <c r="V1080" s="47"/>
    </row>
    <row r="1081" spans="6:22" ht="15.75" customHeight="1">
      <c r="F1081" s="47"/>
      <c r="I1081" s="47"/>
      <c r="J1081" s="47"/>
      <c r="L1081" s="384"/>
      <c r="M1081" s="47"/>
      <c r="T1081" s="47"/>
      <c r="U1081" s="47"/>
      <c r="V1081" s="47"/>
    </row>
    <row r="1082" spans="6:22" ht="15.75" customHeight="1">
      <c r="F1082" s="47"/>
      <c r="I1082" s="47"/>
      <c r="J1082" s="47"/>
      <c r="L1082" s="384"/>
      <c r="M1082" s="47"/>
      <c r="T1082" s="47"/>
      <c r="U1082" s="47"/>
      <c r="V1082" s="47"/>
    </row>
    <row r="1083" spans="6:22" ht="15.75" customHeight="1">
      <c r="F1083" s="47"/>
      <c r="I1083" s="47"/>
      <c r="J1083" s="47"/>
      <c r="L1083" s="384"/>
      <c r="M1083" s="47"/>
      <c r="T1083" s="47"/>
      <c r="U1083" s="47"/>
      <c r="V1083" s="47"/>
    </row>
    <row r="1084" spans="6:22" ht="15.75" customHeight="1">
      <c r="F1084" s="47"/>
      <c r="I1084" s="47"/>
      <c r="J1084" s="47"/>
      <c r="L1084" s="384"/>
      <c r="M1084" s="47"/>
      <c r="T1084" s="47"/>
      <c r="U1084" s="47"/>
      <c r="V1084" s="47"/>
    </row>
    <row r="1085" spans="6:22" ht="15.75" customHeight="1">
      <c r="F1085" s="47"/>
      <c r="I1085" s="47"/>
      <c r="J1085" s="47"/>
      <c r="L1085" s="384"/>
      <c r="M1085" s="47"/>
      <c r="T1085" s="47"/>
      <c r="U1085" s="47"/>
      <c r="V1085" s="47"/>
    </row>
    <row r="1086" spans="6:22" ht="15.75" customHeight="1">
      <c r="F1086" s="47"/>
      <c r="I1086" s="47"/>
      <c r="J1086" s="47"/>
      <c r="L1086" s="384"/>
      <c r="M1086" s="47"/>
      <c r="T1086" s="47"/>
      <c r="U1086" s="47"/>
      <c r="V1086" s="47"/>
    </row>
    <row r="1087" spans="6:22" ht="15.75" customHeight="1">
      <c r="F1087" s="47"/>
      <c r="I1087" s="47"/>
      <c r="J1087" s="47"/>
      <c r="L1087" s="384"/>
      <c r="M1087" s="47"/>
      <c r="T1087" s="47"/>
      <c r="U1087" s="47"/>
      <c r="V1087" s="47"/>
    </row>
    <row r="1088" spans="6:22" ht="15.75" customHeight="1">
      <c r="F1088" s="47"/>
      <c r="I1088" s="47"/>
      <c r="J1088" s="47"/>
      <c r="L1088" s="384"/>
      <c r="M1088" s="47"/>
      <c r="T1088" s="47"/>
      <c r="U1088" s="47"/>
      <c r="V1088" s="47"/>
    </row>
    <row r="1089" spans="6:22" ht="15.75" customHeight="1">
      <c r="F1089" s="47"/>
      <c r="I1089" s="47"/>
      <c r="J1089" s="47"/>
      <c r="L1089" s="384"/>
      <c r="M1089" s="47"/>
      <c r="T1089" s="47"/>
      <c r="U1089" s="47"/>
      <c r="V1089" s="47"/>
    </row>
    <row r="1090" spans="6:22" ht="15.75" customHeight="1">
      <c r="F1090" s="47"/>
      <c r="I1090" s="47"/>
      <c r="J1090" s="47"/>
      <c r="L1090" s="384"/>
      <c r="M1090" s="47"/>
      <c r="T1090" s="47"/>
      <c r="U1090" s="47"/>
      <c r="V1090" s="47"/>
    </row>
    <row r="1091" spans="6:22" ht="15.75" customHeight="1">
      <c r="F1091" s="47"/>
      <c r="I1091" s="47"/>
      <c r="J1091" s="47"/>
      <c r="L1091" s="384"/>
      <c r="M1091" s="47"/>
      <c r="T1091" s="47"/>
      <c r="U1091" s="47"/>
      <c r="V1091" s="47"/>
    </row>
    <row r="1092" spans="6:22" ht="15.75" customHeight="1">
      <c r="F1092" s="47"/>
      <c r="I1092" s="47"/>
      <c r="J1092" s="47"/>
      <c r="L1092" s="384"/>
      <c r="M1092" s="47"/>
      <c r="T1092" s="47"/>
      <c r="U1092" s="47"/>
      <c r="V1092" s="47"/>
    </row>
    <row r="1093" spans="6:22" ht="15.75" customHeight="1">
      <c r="F1093" s="47"/>
      <c r="I1093" s="47"/>
      <c r="J1093" s="47"/>
      <c r="L1093" s="384"/>
      <c r="M1093" s="47"/>
      <c r="T1093" s="47"/>
      <c r="U1093" s="47"/>
      <c r="V1093" s="47"/>
    </row>
    <row r="1094" spans="6:22" ht="15.75" customHeight="1">
      <c r="F1094" s="47"/>
      <c r="I1094" s="47"/>
      <c r="J1094" s="47"/>
      <c r="L1094" s="384"/>
      <c r="M1094" s="47"/>
      <c r="T1094" s="47"/>
      <c r="U1094" s="47"/>
      <c r="V1094" s="47"/>
    </row>
    <row r="1095" spans="6:22" ht="15.75" customHeight="1">
      <c r="F1095" s="47"/>
      <c r="I1095" s="47"/>
      <c r="J1095" s="47"/>
      <c r="L1095" s="384"/>
      <c r="M1095" s="47"/>
      <c r="T1095" s="47"/>
      <c r="U1095" s="47"/>
      <c r="V1095" s="47"/>
    </row>
    <row r="1096" spans="6:22" ht="15.75" customHeight="1">
      <c r="F1096" s="47"/>
      <c r="I1096" s="47"/>
      <c r="J1096" s="47"/>
      <c r="L1096" s="384"/>
      <c r="M1096" s="47"/>
      <c r="T1096" s="47"/>
      <c r="U1096" s="47"/>
      <c r="V1096" s="47"/>
    </row>
    <row r="1097" spans="6:22" ht="15.75" customHeight="1">
      <c r="F1097" s="47"/>
      <c r="I1097" s="47"/>
      <c r="J1097" s="47"/>
      <c r="L1097" s="384"/>
      <c r="M1097" s="47"/>
      <c r="T1097" s="47"/>
      <c r="U1097" s="47"/>
      <c r="V1097" s="47"/>
    </row>
    <row r="1098" spans="6:22" ht="15.75" customHeight="1">
      <c r="F1098" s="47"/>
      <c r="I1098" s="47"/>
      <c r="J1098" s="47"/>
      <c r="L1098" s="384"/>
      <c r="M1098" s="47"/>
      <c r="T1098" s="47"/>
      <c r="U1098" s="47"/>
      <c r="V1098" s="47"/>
    </row>
    <row r="1099" spans="6:22" ht="15.75" customHeight="1">
      <c r="F1099" s="47"/>
      <c r="I1099" s="47"/>
      <c r="J1099" s="47"/>
      <c r="L1099" s="384"/>
      <c r="M1099" s="47"/>
      <c r="T1099" s="47"/>
      <c r="U1099" s="47"/>
      <c r="V1099" s="47"/>
    </row>
    <row r="1100" spans="6:22" ht="15.75" customHeight="1">
      <c r="F1100" s="47"/>
      <c r="I1100" s="47"/>
      <c r="J1100" s="47"/>
      <c r="L1100" s="384"/>
      <c r="M1100" s="47"/>
      <c r="T1100" s="47"/>
      <c r="U1100" s="47"/>
      <c r="V1100" s="47"/>
    </row>
    <row r="1101" spans="6:22" ht="15.75" customHeight="1">
      <c r="F1101" s="47"/>
      <c r="I1101" s="47"/>
      <c r="J1101" s="47"/>
      <c r="L1101" s="384"/>
      <c r="M1101" s="47"/>
      <c r="T1101" s="47"/>
      <c r="U1101" s="47"/>
      <c r="V1101" s="47"/>
    </row>
    <row r="1102" spans="6:22" ht="15.75" customHeight="1">
      <c r="F1102" s="47"/>
      <c r="I1102" s="47"/>
      <c r="J1102" s="47"/>
      <c r="L1102" s="384"/>
      <c r="M1102" s="47"/>
      <c r="T1102" s="47"/>
      <c r="U1102" s="47"/>
      <c r="V1102" s="47"/>
    </row>
    <row r="1103" spans="6:22" ht="15.75" customHeight="1">
      <c r="F1103" s="47"/>
      <c r="I1103" s="47"/>
      <c r="J1103" s="47"/>
      <c r="L1103" s="384"/>
      <c r="M1103" s="47"/>
      <c r="T1103" s="47"/>
      <c r="U1103" s="47"/>
      <c r="V1103" s="47"/>
    </row>
    <row r="1104" spans="6:22" ht="15.75" customHeight="1">
      <c r="F1104" s="47"/>
      <c r="I1104" s="47"/>
      <c r="J1104" s="47"/>
      <c r="L1104" s="384"/>
      <c r="M1104" s="47"/>
      <c r="T1104" s="47"/>
      <c r="U1104" s="47"/>
      <c r="V1104" s="47"/>
    </row>
    <row r="1105" spans="6:22" ht="15.75" customHeight="1">
      <c r="F1105" s="47"/>
      <c r="I1105" s="47"/>
      <c r="J1105" s="47"/>
      <c r="L1105" s="384"/>
      <c r="M1105" s="47"/>
      <c r="T1105" s="47"/>
      <c r="U1105" s="47"/>
      <c r="V1105" s="47"/>
    </row>
    <row r="1106" spans="6:22" ht="15.75" customHeight="1">
      <c r="F1106" s="47"/>
      <c r="I1106" s="47"/>
      <c r="J1106" s="47"/>
      <c r="L1106" s="384"/>
      <c r="M1106" s="47"/>
      <c r="T1106" s="47"/>
      <c r="U1106" s="47"/>
      <c r="V1106" s="47"/>
    </row>
    <row r="1107" spans="6:22" ht="15.75" customHeight="1">
      <c r="F1107" s="47"/>
      <c r="I1107" s="47"/>
      <c r="J1107" s="47"/>
      <c r="L1107" s="384"/>
      <c r="M1107" s="47"/>
      <c r="T1107" s="47"/>
      <c r="U1107" s="47"/>
      <c r="V1107" s="47"/>
    </row>
    <row r="1108" spans="6:22" ht="15.75" customHeight="1">
      <c r="F1108" s="47"/>
      <c r="I1108" s="47"/>
      <c r="J1108" s="47"/>
      <c r="L1108" s="384"/>
      <c r="M1108" s="47"/>
      <c r="T1108" s="47"/>
      <c r="U1108" s="47"/>
      <c r="V1108" s="47"/>
    </row>
    <row r="1109" spans="6:22" ht="15.75" customHeight="1">
      <c r="F1109" s="47"/>
      <c r="I1109" s="47"/>
      <c r="J1109" s="47"/>
      <c r="L1109" s="384"/>
      <c r="M1109" s="47"/>
      <c r="T1109" s="47"/>
      <c r="U1109" s="47"/>
      <c r="V1109" s="47"/>
    </row>
    <row r="1110" spans="6:22" ht="15.75" customHeight="1">
      <c r="F1110" s="47"/>
      <c r="I1110" s="47"/>
      <c r="J1110" s="47"/>
      <c r="L1110" s="384"/>
      <c r="M1110" s="47"/>
      <c r="T1110" s="47"/>
      <c r="U1110" s="47"/>
      <c r="V1110" s="47"/>
    </row>
    <row r="1111" spans="6:22" ht="15.75" customHeight="1">
      <c r="F1111" s="47"/>
      <c r="I1111" s="47"/>
      <c r="J1111" s="47"/>
      <c r="L1111" s="384"/>
      <c r="M1111" s="47"/>
      <c r="T1111" s="47"/>
      <c r="U1111" s="47"/>
      <c r="V1111" s="47"/>
    </row>
    <row r="1112" spans="6:22" ht="15.75" customHeight="1">
      <c r="F1112" s="47"/>
      <c r="I1112" s="47"/>
      <c r="J1112" s="47"/>
      <c r="L1112" s="384"/>
      <c r="M1112" s="47"/>
      <c r="T1112" s="47"/>
      <c r="U1112" s="47"/>
      <c r="V1112" s="47"/>
    </row>
    <row r="1113" spans="6:22" ht="15.75" customHeight="1">
      <c r="F1113" s="47"/>
      <c r="I1113" s="47"/>
      <c r="J1113" s="47"/>
      <c r="L1113" s="384"/>
      <c r="M1113" s="47"/>
      <c r="T1113" s="47"/>
      <c r="U1113" s="47"/>
      <c r="V1113" s="47"/>
    </row>
    <row r="1114" spans="6:22" ht="15.75" customHeight="1">
      <c r="F1114" s="47"/>
      <c r="I1114" s="47"/>
      <c r="J1114" s="47"/>
      <c r="L1114" s="384"/>
      <c r="M1114" s="47"/>
      <c r="T1114" s="47"/>
      <c r="U1114" s="47"/>
      <c r="V1114" s="47"/>
    </row>
    <row r="1115" spans="6:22" ht="15.75" customHeight="1">
      <c r="F1115" s="47"/>
      <c r="I1115" s="47"/>
      <c r="J1115" s="47"/>
      <c r="L1115" s="384"/>
      <c r="M1115" s="47"/>
      <c r="T1115" s="47"/>
      <c r="U1115" s="47"/>
      <c r="V1115" s="47"/>
    </row>
    <row r="1116" spans="6:22" ht="15.75" customHeight="1">
      <c r="F1116" s="47"/>
      <c r="I1116" s="47"/>
      <c r="J1116" s="47"/>
      <c r="L1116" s="384"/>
      <c r="M1116" s="47"/>
      <c r="T1116" s="47"/>
      <c r="U1116" s="47"/>
      <c r="V1116" s="47"/>
    </row>
    <row r="1117" spans="6:22" ht="15.75" customHeight="1">
      <c r="F1117" s="47"/>
      <c r="I1117" s="47"/>
      <c r="J1117" s="47"/>
      <c r="L1117" s="384"/>
      <c r="M1117" s="47"/>
      <c r="T1117" s="47"/>
      <c r="U1117" s="47"/>
      <c r="V1117" s="47"/>
    </row>
    <row r="1118" spans="6:22" ht="15.75" customHeight="1">
      <c r="F1118" s="47"/>
      <c r="I1118" s="47"/>
      <c r="J1118" s="47"/>
      <c r="L1118" s="384"/>
      <c r="M1118" s="47"/>
      <c r="T1118" s="47"/>
      <c r="U1118" s="47"/>
      <c r="V1118" s="47"/>
    </row>
    <row r="1119" spans="6:22" ht="15.75" customHeight="1">
      <c r="F1119" s="47"/>
      <c r="I1119" s="47"/>
      <c r="J1119" s="47"/>
      <c r="L1119" s="384"/>
      <c r="M1119" s="47"/>
      <c r="T1119" s="47"/>
      <c r="U1119" s="47"/>
      <c r="V1119" s="47"/>
    </row>
    <row r="1120" spans="6:22" ht="15.75" customHeight="1">
      <c r="F1120" s="47"/>
      <c r="I1120" s="47"/>
      <c r="J1120" s="47"/>
      <c r="L1120" s="384"/>
      <c r="M1120" s="47"/>
      <c r="T1120" s="47"/>
      <c r="U1120" s="47"/>
      <c r="V1120" s="47"/>
    </row>
    <row r="1121" spans="6:22" ht="15.75" customHeight="1">
      <c r="F1121" s="47"/>
      <c r="I1121" s="47"/>
      <c r="J1121" s="47"/>
      <c r="L1121" s="384"/>
      <c r="M1121" s="47"/>
      <c r="T1121" s="47"/>
      <c r="U1121" s="47"/>
      <c r="V1121" s="47"/>
    </row>
    <row r="1122" spans="6:22" ht="15.75" customHeight="1">
      <c r="F1122" s="47"/>
      <c r="I1122" s="47"/>
      <c r="J1122" s="47"/>
      <c r="L1122" s="384"/>
      <c r="M1122" s="47"/>
      <c r="T1122" s="47"/>
      <c r="U1122" s="47"/>
      <c r="V1122" s="47"/>
    </row>
    <row r="1123" spans="6:22" ht="15.75" customHeight="1">
      <c r="F1123" s="47"/>
      <c r="I1123" s="47"/>
      <c r="J1123" s="47"/>
      <c r="L1123" s="384"/>
      <c r="M1123" s="47"/>
      <c r="T1123" s="47"/>
      <c r="U1123" s="47"/>
      <c r="V1123" s="47"/>
    </row>
    <row r="1124" spans="6:22" ht="15.75" customHeight="1">
      <c r="F1124" s="47"/>
      <c r="I1124" s="47"/>
      <c r="J1124" s="47"/>
      <c r="L1124" s="384"/>
      <c r="M1124" s="47"/>
      <c r="T1124" s="47"/>
      <c r="U1124" s="47"/>
      <c r="V1124" s="47"/>
    </row>
    <row r="1125" spans="6:22" ht="15.75" customHeight="1">
      <c r="F1125" s="47"/>
      <c r="I1125" s="47"/>
      <c r="J1125" s="47"/>
      <c r="L1125" s="384"/>
      <c r="M1125" s="47"/>
      <c r="T1125" s="47"/>
      <c r="U1125" s="47"/>
      <c r="V1125" s="47"/>
    </row>
    <row r="1126" spans="6:22" ht="15.75" customHeight="1">
      <c r="F1126" s="47"/>
      <c r="I1126" s="47"/>
      <c r="J1126" s="47"/>
      <c r="L1126" s="384"/>
      <c r="M1126" s="47"/>
      <c r="T1126" s="47"/>
      <c r="U1126" s="47"/>
      <c r="V1126" s="47"/>
    </row>
    <row r="1127" spans="6:22" ht="15.75" customHeight="1">
      <c r="F1127" s="47"/>
      <c r="I1127" s="47"/>
      <c r="J1127" s="47"/>
      <c r="L1127" s="384"/>
      <c r="M1127" s="47"/>
      <c r="T1127" s="47"/>
      <c r="U1127" s="47"/>
      <c r="V1127" s="47"/>
    </row>
    <row r="1128" spans="6:22" ht="15.75" customHeight="1">
      <c r="F1128" s="47"/>
      <c r="I1128" s="47"/>
      <c r="J1128" s="47"/>
      <c r="L1128" s="384"/>
      <c r="M1128" s="47"/>
      <c r="T1128" s="47"/>
      <c r="U1128" s="47"/>
      <c r="V1128" s="47"/>
    </row>
    <row r="1129" spans="6:22" ht="15.75" customHeight="1">
      <c r="F1129" s="47"/>
      <c r="I1129" s="47"/>
      <c r="J1129" s="47"/>
      <c r="L1129" s="384"/>
      <c r="M1129" s="47"/>
      <c r="T1129" s="47"/>
      <c r="U1129" s="47"/>
      <c r="V1129" s="47"/>
    </row>
    <row r="1130" spans="6:22" ht="15.75" customHeight="1">
      <c r="F1130" s="47"/>
      <c r="I1130" s="47"/>
      <c r="J1130" s="47"/>
      <c r="L1130" s="384"/>
      <c r="M1130" s="47"/>
      <c r="T1130" s="47"/>
      <c r="U1130" s="47"/>
      <c r="V1130" s="47"/>
    </row>
    <row r="1131" spans="6:22" ht="15.75" customHeight="1">
      <c r="F1131" s="47"/>
      <c r="I1131" s="47"/>
      <c r="J1131" s="47"/>
      <c r="L1131" s="384"/>
      <c r="M1131" s="47"/>
      <c r="T1131" s="47"/>
      <c r="U1131" s="47"/>
      <c r="V1131" s="47"/>
    </row>
    <row r="1132" spans="6:22" ht="15.75" customHeight="1">
      <c r="F1132" s="47"/>
      <c r="I1132" s="47"/>
      <c r="J1132" s="47"/>
      <c r="L1132" s="384"/>
      <c r="M1132" s="47"/>
      <c r="T1132" s="47"/>
      <c r="U1132" s="47"/>
      <c r="V1132" s="47"/>
    </row>
    <row r="1133" spans="6:22" ht="15.75" customHeight="1">
      <c r="F1133" s="47"/>
      <c r="I1133" s="47"/>
      <c r="J1133" s="47"/>
      <c r="L1133" s="384"/>
      <c r="M1133" s="47"/>
      <c r="T1133" s="47"/>
      <c r="U1133" s="47"/>
      <c r="V1133" s="47"/>
    </row>
    <row r="1134" spans="6:22" ht="15.75" customHeight="1">
      <c r="F1134" s="47"/>
      <c r="I1134" s="47"/>
      <c r="J1134" s="47"/>
      <c r="L1134" s="384"/>
      <c r="M1134" s="47"/>
      <c r="T1134" s="47"/>
      <c r="U1134" s="47"/>
      <c r="V1134" s="47"/>
    </row>
    <row r="1135" spans="6:22" ht="15.75" customHeight="1">
      <c r="F1135" s="47"/>
      <c r="I1135" s="47"/>
      <c r="J1135" s="47"/>
      <c r="L1135" s="384"/>
      <c r="M1135" s="47"/>
      <c r="T1135" s="47"/>
      <c r="U1135" s="47"/>
      <c r="V1135" s="47"/>
    </row>
    <row r="1136" spans="6:22" ht="15.75" customHeight="1">
      <c r="F1136" s="47"/>
      <c r="I1136" s="47"/>
      <c r="J1136" s="47"/>
      <c r="L1136" s="384"/>
      <c r="M1136" s="47"/>
      <c r="T1136" s="47"/>
      <c r="U1136" s="47"/>
      <c r="V1136" s="47"/>
    </row>
    <row r="1137" spans="6:22" ht="15.75" customHeight="1">
      <c r="F1137" s="47"/>
      <c r="I1137" s="47"/>
      <c r="J1137" s="47"/>
      <c r="L1137" s="384"/>
      <c r="M1137" s="47"/>
      <c r="T1137" s="47"/>
      <c r="U1137" s="47"/>
      <c r="V1137" s="47"/>
    </row>
    <row r="1138" spans="6:22" ht="15.75" customHeight="1">
      <c r="F1138" s="47"/>
      <c r="I1138" s="47"/>
      <c r="J1138" s="47"/>
      <c r="L1138" s="384"/>
      <c r="M1138" s="47"/>
      <c r="T1138" s="47"/>
      <c r="U1138" s="47"/>
      <c r="V1138" s="47"/>
    </row>
    <row r="1139" spans="6:22" ht="15.75" customHeight="1">
      <c r="F1139" s="47"/>
      <c r="I1139" s="47"/>
      <c r="J1139" s="47"/>
      <c r="L1139" s="384"/>
      <c r="M1139" s="47"/>
      <c r="T1139" s="47"/>
      <c r="U1139" s="47"/>
      <c r="V1139" s="47"/>
    </row>
    <row r="1140" spans="6:22" ht="15.75" customHeight="1">
      <c r="F1140" s="47"/>
      <c r="I1140" s="47"/>
      <c r="J1140" s="47"/>
      <c r="L1140" s="384"/>
      <c r="M1140" s="47"/>
      <c r="T1140" s="47"/>
      <c r="U1140" s="47"/>
      <c r="V1140" s="47"/>
    </row>
    <row r="1141" spans="6:22" ht="15.75" customHeight="1">
      <c r="F1141" s="47"/>
      <c r="I1141" s="47"/>
      <c r="J1141" s="47"/>
      <c r="L1141" s="384"/>
      <c r="M1141" s="47"/>
      <c r="T1141" s="47"/>
      <c r="U1141" s="47"/>
      <c r="V1141" s="47"/>
    </row>
    <row r="1142" spans="6:22" ht="15.75" customHeight="1">
      <c r="F1142" s="47"/>
      <c r="I1142" s="47"/>
      <c r="J1142" s="47"/>
      <c r="L1142" s="384"/>
      <c r="M1142" s="47"/>
      <c r="T1142" s="47"/>
      <c r="U1142" s="47"/>
      <c r="V1142" s="47"/>
    </row>
    <row r="1143" spans="6:22" ht="15.75" customHeight="1">
      <c r="F1143" s="47"/>
      <c r="I1143" s="47"/>
      <c r="J1143" s="47"/>
      <c r="L1143" s="384"/>
      <c r="M1143" s="47"/>
      <c r="T1143" s="47"/>
      <c r="U1143" s="47"/>
      <c r="V1143" s="47"/>
    </row>
    <row r="1144" spans="6:22" ht="15.75" customHeight="1">
      <c r="F1144" s="47"/>
      <c r="I1144" s="47"/>
      <c r="J1144" s="47"/>
      <c r="L1144" s="384"/>
      <c r="M1144" s="47"/>
      <c r="T1144" s="47"/>
      <c r="U1144" s="47"/>
      <c r="V1144" s="47"/>
    </row>
    <row r="1145" spans="6:22" ht="15.75" customHeight="1">
      <c r="F1145" s="47"/>
      <c r="I1145" s="47"/>
      <c r="J1145" s="47"/>
      <c r="L1145" s="384"/>
      <c r="M1145" s="47"/>
      <c r="T1145" s="47"/>
      <c r="U1145" s="47"/>
      <c r="V1145" s="47"/>
    </row>
    <row r="1146" spans="6:22" ht="15.75" customHeight="1">
      <c r="F1146" s="47"/>
      <c r="I1146" s="47"/>
      <c r="J1146" s="47"/>
      <c r="L1146" s="384"/>
      <c r="M1146" s="47"/>
      <c r="T1146" s="47"/>
      <c r="U1146" s="47"/>
      <c r="V1146" s="47"/>
    </row>
    <row r="1147" spans="6:22" ht="15.75" customHeight="1">
      <c r="F1147" s="47"/>
      <c r="I1147" s="47"/>
      <c r="J1147" s="47"/>
      <c r="L1147" s="384"/>
      <c r="M1147" s="47"/>
      <c r="T1147" s="47"/>
      <c r="U1147" s="47"/>
      <c r="V1147" s="47"/>
    </row>
    <row r="1148" spans="6:22" ht="15.75" customHeight="1">
      <c r="F1148" s="47"/>
      <c r="I1148" s="47"/>
      <c r="J1148" s="47"/>
      <c r="L1148" s="384"/>
      <c r="M1148" s="47"/>
      <c r="T1148" s="47"/>
      <c r="U1148" s="47"/>
      <c r="V1148" s="47"/>
    </row>
    <row r="1149" spans="6:22" ht="15.75" customHeight="1">
      <c r="F1149" s="47"/>
      <c r="I1149" s="47"/>
      <c r="J1149" s="47"/>
      <c r="L1149" s="384"/>
      <c r="M1149" s="47"/>
      <c r="T1149" s="47"/>
      <c r="U1149" s="47"/>
      <c r="V1149" s="47"/>
    </row>
    <row r="1150" spans="6:22" ht="15.75" customHeight="1">
      <c r="F1150" s="47"/>
      <c r="I1150" s="47"/>
      <c r="J1150" s="47"/>
      <c r="L1150" s="384"/>
      <c r="M1150" s="47"/>
      <c r="T1150" s="47"/>
      <c r="U1150" s="47"/>
      <c r="V1150" s="47"/>
    </row>
    <row r="1151" spans="6:22" ht="15.75" customHeight="1">
      <c r="F1151" s="47"/>
      <c r="I1151" s="47"/>
      <c r="J1151" s="47"/>
      <c r="L1151" s="384"/>
      <c r="M1151" s="47"/>
      <c r="T1151" s="47"/>
      <c r="U1151" s="47"/>
      <c r="V1151" s="47"/>
    </row>
    <row r="1152" spans="6:22" ht="15.75" customHeight="1">
      <c r="F1152" s="47"/>
      <c r="I1152" s="47"/>
      <c r="J1152" s="47"/>
      <c r="L1152" s="384"/>
      <c r="M1152" s="47"/>
      <c r="T1152" s="47"/>
      <c r="U1152" s="47"/>
      <c r="V1152" s="47"/>
    </row>
    <row r="1153" spans="6:22" ht="15.75" customHeight="1">
      <c r="F1153" s="47"/>
      <c r="I1153" s="47"/>
      <c r="J1153" s="47"/>
      <c r="L1153" s="384"/>
      <c r="M1153" s="47"/>
      <c r="T1153" s="47"/>
      <c r="U1153" s="47"/>
      <c r="V1153" s="47"/>
    </row>
    <row r="1154" spans="6:22" ht="15.75" customHeight="1">
      <c r="F1154" s="47"/>
      <c r="I1154" s="47"/>
      <c r="J1154" s="47"/>
      <c r="L1154" s="384"/>
      <c r="M1154" s="47"/>
      <c r="T1154" s="47"/>
      <c r="U1154" s="47"/>
      <c r="V1154" s="47"/>
    </row>
    <row r="1155" spans="6:22" ht="15.75" customHeight="1">
      <c r="F1155" s="47"/>
      <c r="I1155" s="47"/>
      <c r="J1155" s="47"/>
      <c r="L1155" s="384"/>
      <c r="M1155" s="47"/>
      <c r="T1155" s="47"/>
      <c r="U1155" s="47"/>
      <c r="V1155" s="47"/>
    </row>
    <row r="1156" spans="6:22" ht="15.75" customHeight="1">
      <c r="F1156" s="47"/>
      <c r="I1156" s="47"/>
      <c r="J1156" s="47"/>
      <c r="L1156" s="384"/>
      <c r="M1156" s="47"/>
      <c r="T1156" s="47"/>
      <c r="U1156" s="47"/>
      <c r="V1156" s="47"/>
    </row>
    <row r="1157" spans="6:22" ht="15.75" customHeight="1">
      <c r="F1157" s="47"/>
      <c r="I1157" s="47"/>
      <c r="J1157" s="47"/>
      <c r="L1157" s="384"/>
      <c r="M1157" s="47"/>
      <c r="T1157" s="47"/>
      <c r="U1157" s="47"/>
      <c r="V1157" s="47"/>
    </row>
    <row r="1158" spans="6:22" ht="15.75" customHeight="1">
      <c r="F1158" s="47"/>
      <c r="I1158" s="47"/>
      <c r="J1158" s="47"/>
      <c r="L1158" s="384"/>
      <c r="M1158" s="47"/>
      <c r="T1158" s="47"/>
      <c r="U1158" s="47"/>
      <c r="V1158" s="47"/>
    </row>
    <row r="1159" spans="6:22" ht="15.75" customHeight="1">
      <c r="F1159" s="47"/>
      <c r="I1159" s="47"/>
      <c r="J1159" s="47"/>
      <c r="L1159" s="384"/>
      <c r="M1159" s="47"/>
      <c r="T1159" s="47"/>
      <c r="U1159" s="47"/>
      <c r="V1159" s="47"/>
    </row>
    <row r="1160" spans="6:22" ht="15.75" customHeight="1">
      <c r="F1160" s="47"/>
      <c r="I1160" s="47"/>
      <c r="J1160" s="47"/>
      <c r="L1160" s="384"/>
      <c r="M1160" s="47"/>
      <c r="T1160" s="47"/>
      <c r="U1160" s="47"/>
      <c r="V1160" s="47"/>
    </row>
    <row r="1161" spans="6:22" ht="15.75" customHeight="1">
      <c r="F1161" s="47"/>
      <c r="I1161" s="47"/>
      <c r="J1161" s="47"/>
      <c r="L1161" s="384"/>
      <c r="M1161" s="47"/>
      <c r="T1161" s="47"/>
      <c r="U1161" s="47"/>
      <c r="V1161" s="47"/>
    </row>
    <row r="1162" spans="6:22" ht="15.75" customHeight="1">
      <c r="F1162" s="47"/>
      <c r="I1162" s="47"/>
      <c r="J1162" s="47"/>
      <c r="L1162" s="384"/>
      <c r="M1162" s="47"/>
      <c r="T1162" s="47"/>
      <c r="U1162" s="47"/>
      <c r="V1162" s="47"/>
    </row>
    <row r="1163" spans="6:22" ht="15.75" customHeight="1">
      <c r="F1163" s="47"/>
      <c r="I1163" s="47"/>
      <c r="J1163" s="47"/>
      <c r="L1163" s="384"/>
      <c r="M1163" s="47"/>
      <c r="T1163" s="47"/>
      <c r="U1163" s="47"/>
      <c r="V1163" s="47"/>
    </row>
    <row r="1164" spans="6:22" ht="15.75" customHeight="1">
      <c r="F1164" s="47"/>
      <c r="I1164" s="47"/>
      <c r="J1164" s="47"/>
      <c r="L1164" s="384"/>
      <c r="M1164" s="47"/>
      <c r="T1164" s="47"/>
      <c r="U1164" s="47"/>
      <c r="V1164" s="47"/>
    </row>
    <row r="1165" spans="6:22" ht="15.75" customHeight="1">
      <c r="F1165" s="47"/>
      <c r="I1165" s="47"/>
      <c r="J1165" s="47"/>
      <c r="L1165" s="384"/>
      <c r="M1165" s="47"/>
      <c r="T1165" s="47"/>
      <c r="U1165" s="47"/>
      <c r="V1165" s="47"/>
    </row>
    <row r="1166" spans="6:22" ht="15.75" customHeight="1">
      <c r="F1166" s="47"/>
      <c r="I1166" s="47"/>
      <c r="J1166" s="47"/>
      <c r="L1166" s="384"/>
      <c r="M1166" s="47"/>
      <c r="T1166" s="47"/>
      <c r="U1166" s="47"/>
      <c r="V1166" s="47"/>
    </row>
    <row r="1167" spans="6:22" ht="15.75" customHeight="1">
      <c r="F1167" s="47"/>
      <c r="I1167" s="47"/>
      <c r="J1167" s="47"/>
      <c r="L1167" s="384"/>
      <c r="M1167" s="47"/>
      <c r="T1167" s="47"/>
      <c r="U1167" s="47"/>
      <c r="V1167" s="47"/>
    </row>
    <row r="1168" spans="6:22" ht="15.75" customHeight="1">
      <c r="F1168" s="47"/>
      <c r="I1168" s="47"/>
      <c r="J1168" s="47"/>
      <c r="L1168" s="384"/>
      <c r="M1168" s="47"/>
      <c r="T1168" s="47"/>
      <c r="U1168" s="47"/>
      <c r="V1168" s="47"/>
    </row>
    <row r="1169" spans="6:22" ht="15.75" customHeight="1">
      <c r="F1169" s="47"/>
      <c r="I1169" s="47"/>
      <c r="J1169" s="47"/>
      <c r="L1169" s="384"/>
      <c r="M1169" s="47"/>
      <c r="T1169" s="47"/>
      <c r="U1169" s="47"/>
      <c r="V1169" s="47"/>
    </row>
    <row r="1170" spans="6:22" ht="15.75" customHeight="1">
      <c r="F1170" s="47"/>
      <c r="I1170" s="47"/>
      <c r="J1170" s="47"/>
      <c r="L1170" s="384"/>
      <c r="M1170" s="47"/>
      <c r="T1170" s="47"/>
      <c r="U1170" s="47"/>
      <c r="V1170" s="47"/>
    </row>
    <row r="1171" spans="6:22" ht="15.75" customHeight="1">
      <c r="F1171" s="47"/>
      <c r="I1171" s="47"/>
      <c r="J1171" s="47"/>
      <c r="L1171" s="384"/>
      <c r="M1171" s="47"/>
      <c r="T1171" s="47"/>
      <c r="U1171" s="47"/>
      <c r="V1171" s="47"/>
    </row>
    <row r="1172" spans="6:22" ht="15.75" customHeight="1">
      <c r="F1172" s="47"/>
      <c r="I1172" s="47"/>
      <c r="J1172" s="47"/>
      <c r="L1172" s="384"/>
      <c r="M1172" s="47"/>
      <c r="T1172" s="47"/>
      <c r="U1172" s="47"/>
      <c r="V1172" s="47"/>
    </row>
    <row r="1173" spans="6:22" ht="15.75" customHeight="1">
      <c r="F1173" s="47"/>
      <c r="I1173" s="47"/>
      <c r="J1173" s="47"/>
      <c r="L1173" s="384"/>
      <c r="M1173" s="47"/>
      <c r="T1173" s="47"/>
      <c r="U1173" s="47"/>
      <c r="V1173" s="47"/>
    </row>
    <row r="1174" spans="6:22" ht="15.75" customHeight="1">
      <c r="F1174" s="47"/>
      <c r="I1174" s="47"/>
      <c r="J1174" s="47"/>
      <c r="L1174" s="384"/>
      <c r="M1174" s="47"/>
      <c r="T1174" s="47"/>
      <c r="U1174" s="47"/>
      <c r="V1174" s="47"/>
    </row>
    <row r="1175" spans="6:22" ht="15.75" customHeight="1">
      <c r="F1175" s="47"/>
      <c r="I1175" s="47"/>
      <c r="J1175" s="47"/>
      <c r="L1175" s="384"/>
      <c r="M1175" s="47"/>
      <c r="T1175" s="47"/>
      <c r="U1175" s="47"/>
      <c r="V1175" s="47"/>
    </row>
    <row r="1176" spans="6:22" ht="15.75" customHeight="1">
      <c r="F1176" s="47"/>
      <c r="I1176" s="47"/>
      <c r="J1176" s="47"/>
      <c r="L1176" s="384"/>
      <c r="M1176" s="47"/>
      <c r="T1176" s="47"/>
      <c r="U1176" s="47"/>
      <c r="V1176" s="47"/>
    </row>
    <row r="1177" spans="6:22" ht="15.75" customHeight="1">
      <c r="F1177" s="47"/>
      <c r="I1177" s="47"/>
      <c r="J1177" s="47"/>
      <c r="L1177" s="384"/>
      <c r="M1177" s="47"/>
      <c r="T1177" s="47"/>
      <c r="U1177" s="47"/>
      <c r="V1177" s="47"/>
    </row>
    <row r="1178" spans="6:22" ht="15.75" customHeight="1">
      <c r="F1178" s="47"/>
      <c r="I1178" s="47"/>
      <c r="J1178" s="47"/>
      <c r="L1178" s="384"/>
      <c r="M1178" s="47"/>
      <c r="T1178" s="47"/>
      <c r="U1178" s="47"/>
      <c r="V1178" s="47"/>
    </row>
    <row r="1179" spans="6:22" ht="15.75" customHeight="1">
      <c r="F1179" s="47"/>
      <c r="I1179" s="47"/>
      <c r="J1179" s="47"/>
      <c r="L1179" s="384"/>
      <c r="M1179" s="47"/>
      <c r="T1179" s="47"/>
      <c r="U1179" s="47"/>
      <c r="V1179" s="47"/>
    </row>
    <row r="1180" spans="6:22" ht="15.75" customHeight="1">
      <c r="F1180" s="47"/>
      <c r="I1180" s="47"/>
      <c r="J1180" s="47"/>
      <c r="L1180" s="384"/>
      <c r="M1180" s="47"/>
      <c r="T1180" s="47"/>
      <c r="U1180" s="47"/>
      <c r="V1180" s="47"/>
    </row>
    <row r="1181" spans="6:22" ht="15.75" customHeight="1">
      <c r="F1181" s="47"/>
      <c r="I1181" s="47"/>
      <c r="J1181" s="47"/>
      <c r="L1181" s="384"/>
      <c r="M1181" s="47"/>
      <c r="T1181" s="47"/>
      <c r="U1181" s="47"/>
      <c r="V1181" s="47"/>
    </row>
    <row r="1182" spans="6:22" ht="15.75" customHeight="1">
      <c r="F1182" s="47"/>
      <c r="I1182" s="47"/>
      <c r="J1182" s="47"/>
      <c r="L1182" s="384"/>
      <c r="M1182" s="47"/>
      <c r="T1182" s="47"/>
      <c r="U1182" s="47"/>
      <c r="V1182" s="47"/>
    </row>
    <row r="1183" spans="6:22" ht="15.75" customHeight="1">
      <c r="F1183" s="47"/>
      <c r="I1183" s="47"/>
      <c r="J1183" s="47"/>
      <c r="L1183" s="384"/>
      <c r="M1183" s="47"/>
      <c r="T1183" s="47"/>
      <c r="U1183" s="47"/>
      <c r="V1183" s="47"/>
    </row>
    <row r="1184" spans="6:22" ht="15.75" customHeight="1">
      <c r="F1184" s="47"/>
      <c r="I1184" s="47"/>
      <c r="J1184" s="47"/>
      <c r="L1184" s="384"/>
      <c r="M1184" s="47"/>
      <c r="T1184" s="47"/>
      <c r="U1184" s="47"/>
      <c r="V1184" s="47"/>
    </row>
    <row r="1185" spans="6:22" ht="15.75" customHeight="1">
      <c r="F1185" s="47"/>
      <c r="I1185" s="47"/>
      <c r="J1185" s="47"/>
      <c r="L1185" s="384"/>
      <c r="M1185" s="47"/>
      <c r="T1185" s="47"/>
      <c r="U1185" s="47"/>
      <c r="V1185" s="47"/>
    </row>
    <row r="1186" spans="6:22" ht="15.75" customHeight="1">
      <c r="F1186" s="47"/>
      <c r="I1186" s="47"/>
      <c r="J1186" s="47"/>
      <c r="L1186" s="384"/>
      <c r="M1186" s="47"/>
      <c r="T1186" s="47"/>
      <c r="U1186" s="47"/>
      <c r="V1186" s="47"/>
    </row>
    <row r="1187" spans="6:22" ht="15.75" customHeight="1">
      <c r="F1187" s="47"/>
      <c r="I1187" s="47"/>
      <c r="J1187" s="47"/>
      <c r="L1187" s="384"/>
      <c r="M1187" s="47"/>
      <c r="T1187" s="47"/>
      <c r="U1187" s="47"/>
      <c r="V1187" s="47"/>
    </row>
    <row r="1188" spans="6:22" ht="15.75" customHeight="1">
      <c r="F1188" s="47"/>
      <c r="I1188" s="47"/>
      <c r="J1188" s="47"/>
      <c r="L1188" s="384"/>
      <c r="M1188" s="47"/>
      <c r="T1188" s="47"/>
      <c r="U1188" s="47"/>
      <c r="V1188" s="47"/>
    </row>
    <row r="1189" spans="6:22" ht="15.75" customHeight="1">
      <c r="F1189" s="47"/>
      <c r="I1189" s="47"/>
      <c r="J1189" s="47"/>
      <c r="L1189" s="384"/>
      <c r="M1189" s="47"/>
      <c r="T1189" s="47"/>
      <c r="U1189" s="47"/>
      <c r="V1189" s="47"/>
    </row>
    <row r="1190" spans="6:22" ht="15.75" customHeight="1">
      <c r="F1190" s="47"/>
      <c r="I1190" s="47"/>
      <c r="J1190" s="47"/>
      <c r="L1190" s="384"/>
      <c r="M1190" s="47"/>
      <c r="T1190" s="47"/>
      <c r="U1190" s="47"/>
      <c r="V1190" s="47"/>
    </row>
    <row r="1191" spans="6:22" ht="15.75" customHeight="1">
      <c r="F1191" s="47"/>
      <c r="I1191" s="47"/>
      <c r="J1191" s="47"/>
      <c r="L1191" s="384"/>
      <c r="M1191" s="47"/>
      <c r="T1191" s="47"/>
      <c r="U1191" s="47"/>
      <c r="V1191" s="47"/>
    </row>
    <row r="1192" spans="6:22" ht="15.75" customHeight="1">
      <c r="F1192" s="47"/>
      <c r="I1192" s="47"/>
      <c r="J1192" s="47"/>
      <c r="L1192" s="384"/>
      <c r="M1192" s="47"/>
      <c r="T1192" s="47"/>
      <c r="U1192" s="47"/>
      <c r="V1192" s="47"/>
    </row>
    <row r="1193" spans="6:22" ht="15.75" customHeight="1">
      <c r="F1193" s="47"/>
      <c r="I1193" s="47"/>
      <c r="J1193" s="47"/>
      <c r="L1193" s="384"/>
      <c r="M1193" s="47"/>
      <c r="T1193" s="47"/>
      <c r="U1193" s="47"/>
      <c r="V1193" s="47"/>
    </row>
    <row r="1194" spans="6:22" ht="15.75" customHeight="1">
      <c r="F1194" s="47"/>
      <c r="I1194" s="47"/>
      <c r="J1194" s="47"/>
      <c r="L1194" s="384"/>
      <c r="M1194" s="47"/>
      <c r="T1194" s="47"/>
      <c r="U1194" s="47"/>
      <c r="V1194" s="47"/>
    </row>
    <row r="1195" spans="6:22" ht="15.75" customHeight="1">
      <c r="F1195" s="47"/>
      <c r="I1195" s="47"/>
      <c r="J1195" s="47"/>
      <c r="L1195" s="384"/>
      <c r="M1195" s="47"/>
      <c r="T1195" s="47"/>
      <c r="U1195" s="47"/>
      <c r="V1195" s="47"/>
    </row>
    <row r="1196" spans="6:22" ht="15.75" customHeight="1">
      <c r="F1196" s="47"/>
      <c r="I1196" s="47"/>
      <c r="J1196" s="47"/>
      <c r="L1196" s="384"/>
      <c r="M1196" s="47"/>
      <c r="T1196" s="47"/>
      <c r="U1196" s="47"/>
      <c r="V1196" s="47"/>
    </row>
    <row r="1197" spans="6:22" ht="15.75" customHeight="1">
      <c r="F1197" s="47"/>
      <c r="I1197" s="47"/>
      <c r="J1197" s="47"/>
      <c r="L1197" s="384"/>
      <c r="M1197" s="47"/>
      <c r="T1197" s="47"/>
      <c r="U1197" s="47"/>
      <c r="V1197" s="47"/>
    </row>
    <row r="1198" spans="6:22" ht="15.75" customHeight="1">
      <c r="F1198" s="47"/>
      <c r="I1198" s="47"/>
      <c r="J1198" s="47"/>
      <c r="L1198" s="384"/>
      <c r="M1198" s="47"/>
      <c r="T1198" s="47"/>
      <c r="U1198" s="47"/>
      <c r="V1198" s="47"/>
    </row>
    <row r="1199" spans="6:22" ht="15.75" customHeight="1">
      <c r="F1199" s="47"/>
      <c r="I1199" s="47"/>
      <c r="J1199" s="47"/>
      <c r="L1199" s="384"/>
      <c r="M1199" s="47"/>
      <c r="T1199" s="47"/>
      <c r="U1199" s="47"/>
      <c r="V1199" s="47"/>
    </row>
    <row r="1200" spans="6:22" ht="15.75" customHeight="1">
      <c r="F1200" s="47"/>
      <c r="I1200" s="47"/>
      <c r="J1200" s="47"/>
      <c r="L1200" s="384"/>
      <c r="M1200" s="47"/>
      <c r="T1200" s="47"/>
      <c r="U1200" s="47"/>
      <c r="V1200" s="47"/>
    </row>
    <row r="1201" spans="6:22" ht="15.75" customHeight="1">
      <c r="F1201" s="47"/>
      <c r="I1201" s="47"/>
      <c r="J1201" s="47"/>
      <c r="L1201" s="384"/>
      <c r="M1201" s="47"/>
      <c r="T1201" s="47"/>
      <c r="U1201" s="47"/>
      <c r="V1201" s="47"/>
    </row>
    <row r="1202" spans="6:22" ht="15.75" customHeight="1">
      <c r="F1202" s="47"/>
      <c r="I1202" s="47"/>
      <c r="J1202" s="47"/>
      <c r="L1202" s="384"/>
      <c r="M1202" s="47"/>
      <c r="T1202" s="47"/>
      <c r="U1202" s="47"/>
      <c r="V1202" s="47"/>
    </row>
    <row r="1203" spans="6:22" ht="15.75" customHeight="1">
      <c r="F1203" s="47"/>
      <c r="I1203" s="47"/>
      <c r="J1203" s="47"/>
      <c r="L1203" s="384"/>
      <c r="M1203" s="47"/>
      <c r="T1203" s="47"/>
      <c r="U1203" s="47"/>
      <c r="V1203" s="47"/>
    </row>
    <row r="1204" spans="6:22" ht="15.75" customHeight="1">
      <c r="F1204" s="47"/>
      <c r="I1204" s="47"/>
      <c r="J1204" s="47"/>
      <c r="L1204" s="384"/>
      <c r="M1204" s="47"/>
      <c r="T1204" s="47"/>
      <c r="U1204" s="47"/>
      <c r="V1204" s="47"/>
    </row>
    <row r="1205" spans="6:22" ht="15.75" customHeight="1">
      <c r="F1205" s="47"/>
      <c r="I1205" s="47"/>
      <c r="J1205" s="47"/>
      <c r="L1205" s="384"/>
      <c r="M1205" s="47"/>
      <c r="T1205" s="47"/>
      <c r="U1205" s="47"/>
      <c r="V1205" s="47"/>
    </row>
    <row r="1206" spans="6:22" ht="15.75" customHeight="1">
      <c r="F1206" s="47"/>
      <c r="I1206" s="47"/>
      <c r="J1206" s="47"/>
      <c r="L1206" s="384"/>
      <c r="M1206" s="47"/>
      <c r="T1206" s="47"/>
      <c r="U1206" s="47"/>
      <c r="V1206" s="47"/>
    </row>
    <row r="1207" spans="6:22" ht="15.75" customHeight="1">
      <c r="F1207" s="47"/>
      <c r="I1207" s="47"/>
      <c r="J1207" s="47"/>
      <c r="L1207" s="384"/>
      <c r="M1207" s="47"/>
      <c r="T1207" s="47"/>
      <c r="U1207" s="47"/>
      <c r="V1207" s="47"/>
    </row>
    <row r="1208" spans="6:22" ht="15.75" customHeight="1">
      <c r="F1208" s="47"/>
      <c r="I1208" s="47"/>
      <c r="J1208" s="47"/>
      <c r="L1208" s="384"/>
      <c r="M1208" s="47"/>
      <c r="T1208" s="47"/>
      <c r="U1208" s="47"/>
      <c r="V1208" s="47"/>
    </row>
    <row r="1209" spans="6:22" ht="15.75" customHeight="1">
      <c r="F1209" s="47"/>
      <c r="I1209" s="47"/>
      <c r="J1209" s="47"/>
      <c r="L1209" s="384"/>
      <c r="M1209" s="47"/>
      <c r="T1209" s="47"/>
      <c r="U1209" s="47"/>
      <c r="V1209" s="47"/>
    </row>
    <row r="1210" spans="6:22" ht="15.75" customHeight="1">
      <c r="F1210" s="47"/>
      <c r="I1210" s="47"/>
      <c r="J1210" s="47"/>
      <c r="L1210" s="384"/>
      <c r="M1210" s="47"/>
      <c r="T1210" s="47"/>
      <c r="U1210" s="47"/>
      <c r="V1210" s="47"/>
    </row>
    <row r="1211" spans="6:22" ht="15.75" customHeight="1">
      <c r="F1211" s="47"/>
      <c r="I1211" s="47"/>
      <c r="J1211" s="47"/>
      <c r="L1211" s="384"/>
      <c r="M1211" s="47"/>
      <c r="T1211" s="47"/>
      <c r="U1211" s="47"/>
      <c r="V1211" s="47"/>
    </row>
    <row r="1212" spans="6:22" ht="15.75" customHeight="1">
      <c r="F1212" s="47"/>
      <c r="I1212" s="47"/>
      <c r="J1212" s="47"/>
      <c r="L1212" s="384"/>
      <c r="M1212" s="47"/>
      <c r="T1212" s="47"/>
      <c r="U1212" s="47"/>
      <c r="V1212" s="47"/>
    </row>
    <row r="1213" spans="6:22" ht="15.75" customHeight="1">
      <c r="F1213" s="47"/>
      <c r="I1213" s="47"/>
      <c r="J1213" s="47"/>
      <c r="L1213" s="384"/>
      <c r="M1213" s="47"/>
      <c r="T1213" s="47"/>
      <c r="U1213" s="47"/>
      <c r="V1213" s="47"/>
    </row>
    <row r="1214" spans="6:22" ht="15.75" customHeight="1">
      <c r="F1214" s="47"/>
      <c r="I1214" s="47"/>
      <c r="J1214" s="47"/>
      <c r="L1214" s="384"/>
      <c r="M1214" s="47"/>
      <c r="T1214" s="47"/>
      <c r="U1214" s="47"/>
      <c r="V1214" s="47"/>
    </row>
    <row r="1215" spans="6:22" ht="15.75" customHeight="1">
      <c r="F1215" s="47"/>
      <c r="I1215" s="47"/>
      <c r="J1215" s="47"/>
      <c r="L1215" s="384"/>
      <c r="M1215" s="47"/>
      <c r="T1215" s="47"/>
      <c r="U1215" s="47"/>
      <c r="V1215" s="47"/>
    </row>
    <row r="1216" spans="6:22" ht="15.75" customHeight="1">
      <c r="F1216" s="47"/>
      <c r="I1216" s="47"/>
      <c r="J1216" s="47"/>
      <c r="L1216" s="384"/>
      <c r="M1216" s="47"/>
      <c r="T1216" s="47"/>
      <c r="U1216" s="47"/>
      <c r="V1216" s="47"/>
    </row>
    <row r="1217" spans="6:22" ht="15.75" customHeight="1">
      <c r="F1217" s="47"/>
      <c r="I1217" s="47"/>
      <c r="J1217" s="47"/>
      <c r="L1217" s="384"/>
      <c r="M1217" s="47"/>
      <c r="T1217" s="47"/>
      <c r="U1217" s="47"/>
      <c r="V1217" s="47"/>
    </row>
    <row r="1218" spans="6:22" ht="15.75" customHeight="1">
      <c r="F1218" s="47"/>
      <c r="I1218" s="47"/>
      <c r="J1218" s="47"/>
      <c r="L1218" s="384"/>
      <c r="M1218" s="47"/>
      <c r="T1218" s="47"/>
      <c r="U1218" s="47"/>
      <c r="V1218" s="47"/>
    </row>
    <row r="1219" spans="6:22" ht="15.75" customHeight="1">
      <c r="F1219" s="47"/>
      <c r="I1219" s="47"/>
      <c r="J1219" s="47"/>
      <c r="L1219" s="384"/>
      <c r="M1219" s="47"/>
      <c r="T1219" s="47"/>
      <c r="U1219" s="47"/>
      <c r="V1219" s="47"/>
    </row>
    <row r="1220" spans="6:22" ht="15.75" customHeight="1">
      <c r="F1220" s="47"/>
      <c r="I1220" s="47"/>
      <c r="J1220" s="47"/>
      <c r="L1220" s="384"/>
      <c r="M1220" s="47"/>
      <c r="T1220" s="47"/>
      <c r="U1220" s="47"/>
      <c r="V1220" s="47"/>
    </row>
    <row r="1221" spans="6:22" ht="15.75" customHeight="1">
      <c r="F1221" s="47"/>
      <c r="I1221" s="47"/>
      <c r="J1221" s="47"/>
      <c r="L1221" s="384"/>
      <c r="M1221" s="47"/>
      <c r="T1221" s="47"/>
      <c r="U1221" s="47"/>
      <c r="V1221" s="47"/>
    </row>
    <row r="1222" spans="6:22" ht="15.75" customHeight="1">
      <c r="F1222" s="47"/>
      <c r="I1222" s="47"/>
      <c r="J1222" s="47"/>
      <c r="L1222" s="384"/>
      <c r="M1222" s="47"/>
      <c r="T1222" s="47"/>
      <c r="U1222" s="47"/>
      <c r="V1222" s="47"/>
    </row>
    <row r="1223" spans="6:22" ht="15.75" customHeight="1">
      <c r="F1223" s="47"/>
      <c r="I1223" s="47"/>
      <c r="J1223" s="47"/>
      <c r="L1223" s="384"/>
      <c r="M1223" s="47"/>
      <c r="T1223" s="47"/>
      <c r="U1223" s="47"/>
      <c r="V1223" s="47"/>
    </row>
    <row r="1224" spans="6:22" ht="15.75" customHeight="1">
      <c r="F1224" s="47"/>
      <c r="I1224" s="47"/>
      <c r="J1224" s="47"/>
      <c r="L1224" s="384"/>
      <c r="M1224" s="47"/>
      <c r="T1224" s="47"/>
      <c r="U1224" s="47"/>
      <c r="V1224" s="47"/>
    </row>
    <row r="1225" spans="6:22" ht="15.75" customHeight="1">
      <c r="F1225" s="47"/>
      <c r="I1225" s="47"/>
      <c r="J1225" s="47"/>
      <c r="L1225" s="384"/>
      <c r="M1225" s="47"/>
      <c r="T1225" s="47"/>
      <c r="U1225" s="47"/>
      <c r="V1225" s="47"/>
    </row>
    <row r="1226" spans="6:22" ht="15.75" customHeight="1">
      <c r="F1226" s="47"/>
      <c r="I1226" s="47"/>
      <c r="J1226" s="47"/>
      <c r="L1226" s="384"/>
      <c r="M1226" s="47"/>
      <c r="T1226" s="47"/>
      <c r="U1226" s="47"/>
      <c r="V1226" s="47"/>
    </row>
    <row r="1227" spans="6:22" ht="15.75" customHeight="1">
      <c r="F1227" s="47"/>
      <c r="I1227" s="47"/>
      <c r="J1227" s="47"/>
      <c r="L1227" s="384"/>
      <c r="M1227" s="47"/>
      <c r="T1227" s="47"/>
      <c r="U1227" s="47"/>
      <c r="V1227" s="47"/>
    </row>
    <row r="1228" spans="6:22" ht="15.75" customHeight="1">
      <c r="F1228" s="47"/>
      <c r="I1228" s="47"/>
      <c r="J1228" s="47"/>
      <c r="L1228" s="384"/>
      <c r="M1228" s="47"/>
      <c r="T1228" s="47"/>
      <c r="U1228" s="47"/>
      <c r="V1228" s="47"/>
    </row>
    <row r="1229" spans="6:22" ht="15.75" customHeight="1">
      <c r="F1229" s="47"/>
      <c r="I1229" s="47"/>
      <c r="J1229" s="47"/>
      <c r="L1229" s="384"/>
      <c r="M1229" s="47"/>
      <c r="T1229" s="47"/>
      <c r="U1229" s="47"/>
      <c r="V1229" s="47"/>
    </row>
    <row r="1230" spans="6:22" ht="15.75" customHeight="1">
      <c r="F1230" s="47"/>
      <c r="I1230" s="47"/>
      <c r="J1230" s="47"/>
      <c r="L1230" s="384"/>
      <c r="M1230" s="47"/>
      <c r="T1230" s="47"/>
      <c r="U1230" s="47"/>
      <c r="V1230" s="47"/>
    </row>
    <row r="1231" spans="6:22" ht="15.75" customHeight="1">
      <c r="F1231" s="47"/>
      <c r="I1231" s="47"/>
      <c r="J1231" s="47"/>
      <c r="L1231" s="384"/>
      <c r="M1231" s="47"/>
      <c r="T1231" s="47"/>
      <c r="U1231" s="47"/>
      <c r="V1231" s="47"/>
    </row>
    <row r="1232" spans="6:22" ht="15.75" customHeight="1">
      <c r="F1232" s="47"/>
      <c r="I1232" s="47"/>
      <c r="J1232" s="47"/>
      <c r="L1232" s="384"/>
      <c r="M1232" s="47"/>
      <c r="T1232" s="47"/>
      <c r="U1232" s="47"/>
      <c r="V1232" s="47"/>
    </row>
    <row r="1233" spans="6:22" ht="15.75" customHeight="1">
      <c r="F1233" s="47"/>
      <c r="I1233" s="47"/>
      <c r="J1233" s="47"/>
      <c r="L1233" s="384"/>
      <c r="M1233" s="47"/>
      <c r="T1233" s="47"/>
      <c r="U1233" s="47"/>
      <c r="V1233" s="47"/>
    </row>
    <row r="1234" spans="6:22" ht="15.75" customHeight="1">
      <c r="F1234" s="47"/>
      <c r="I1234" s="47"/>
      <c r="J1234" s="47"/>
      <c r="L1234" s="384"/>
      <c r="M1234" s="47"/>
      <c r="T1234" s="47"/>
      <c r="U1234" s="47"/>
      <c r="V1234" s="47"/>
    </row>
    <row r="1235" spans="6:22" ht="15.75" customHeight="1">
      <c r="F1235" s="47"/>
      <c r="I1235" s="47"/>
      <c r="J1235" s="47"/>
      <c r="L1235" s="384"/>
      <c r="M1235" s="47"/>
      <c r="T1235" s="47"/>
      <c r="U1235" s="47"/>
      <c r="V1235" s="47"/>
    </row>
    <row r="1236" spans="6:22" ht="15.75" customHeight="1">
      <c r="F1236" s="47"/>
      <c r="I1236" s="47"/>
      <c r="J1236" s="47"/>
      <c r="L1236" s="384"/>
      <c r="M1236" s="47"/>
      <c r="T1236" s="47"/>
      <c r="U1236" s="47"/>
      <c r="V1236" s="47"/>
    </row>
    <row r="1237" spans="6:22" ht="15.75" customHeight="1">
      <c r="F1237" s="47"/>
      <c r="I1237" s="47"/>
      <c r="J1237" s="47"/>
      <c r="L1237" s="384"/>
      <c r="M1237" s="47"/>
      <c r="T1237" s="47"/>
      <c r="U1237" s="47"/>
      <c r="V1237" s="47"/>
    </row>
    <row r="1238" spans="6:22" ht="15.75" customHeight="1">
      <c r="F1238" s="47"/>
      <c r="I1238" s="47"/>
      <c r="J1238" s="47"/>
      <c r="L1238" s="384"/>
      <c r="M1238" s="47"/>
      <c r="T1238" s="47"/>
      <c r="U1238" s="47"/>
      <c r="V1238" s="47"/>
    </row>
    <row r="1239" spans="6:22" ht="15.75" customHeight="1">
      <c r="F1239" s="47"/>
      <c r="I1239" s="47"/>
      <c r="J1239" s="47"/>
      <c r="L1239" s="384"/>
      <c r="M1239" s="47"/>
      <c r="T1239" s="47"/>
      <c r="U1239" s="47"/>
      <c r="V1239" s="47"/>
    </row>
    <row r="1240" spans="6:22" ht="15.75" customHeight="1">
      <c r="F1240" s="47"/>
      <c r="I1240" s="47"/>
      <c r="J1240" s="47"/>
      <c r="L1240" s="384"/>
      <c r="M1240" s="47"/>
      <c r="T1240" s="47"/>
      <c r="U1240" s="47"/>
      <c r="V1240" s="47"/>
    </row>
    <row r="1241" spans="6:22" ht="15.75" customHeight="1">
      <c r="F1241" s="47"/>
      <c r="I1241" s="47"/>
      <c r="J1241" s="47"/>
      <c r="L1241" s="384"/>
      <c r="M1241" s="47"/>
      <c r="T1241" s="47"/>
      <c r="U1241" s="47"/>
      <c r="V1241" s="47"/>
    </row>
    <row r="1242" spans="6:22" ht="15.75" customHeight="1">
      <c r="F1242" s="47"/>
      <c r="I1242" s="47"/>
      <c r="J1242" s="47"/>
      <c r="L1242" s="384"/>
      <c r="M1242" s="47"/>
      <c r="T1242" s="47"/>
      <c r="U1242" s="47"/>
      <c r="V1242" s="47"/>
    </row>
    <row r="1243" spans="6:22" ht="15.75" customHeight="1">
      <c r="F1243" s="47"/>
      <c r="I1243" s="47"/>
      <c r="J1243" s="47"/>
      <c r="L1243" s="384"/>
      <c r="M1243" s="47"/>
      <c r="T1243" s="47"/>
      <c r="U1243" s="47"/>
      <c r="V1243" s="47"/>
    </row>
    <row r="1244" spans="6:22" ht="15.75" customHeight="1">
      <c r="F1244" s="47"/>
      <c r="I1244" s="47"/>
      <c r="J1244" s="47"/>
      <c r="L1244" s="384"/>
      <c r="M1244" s="47"/>
      <c r="T1244" s="47"/>
      <c r="U1244" s="47"/>
      <c r="V1244" s="47"/>
    </row>
    <row r="1245" spans="6:22" ht="15.75" customHeight="1">
      <c r="F1245" s="47"/>
      <c r="I1245" s="47"/>
      <c r="J1245" s="47"/>
      <c r="L1245" s="384"/>
      <c r="M1245" s="47"/>
      <c r="T1245" s="47"/>
      <c r="U1245" s="47"/>
      <c r="V1245" s="47"/>
    </row>
    <row r="1246" spans="6:22" ht="15.75" customHeight="1">
      <c r="F1246" s="47"/>
      <c r="I1246" s="47"/>
      <c r="J1246" s="47"/>
      <c r="L1246" s="384"/>
      <c r="M1246" s="47"/>
      <c r="T1246" s="47"/>
      <c r="U1246" s="47"/>
      <c r="V1246" s="47"/>
    </row>
    <row r="1247" spans="6:22" ht="15.75" customHeight="1">
      <c r="F1247" s="47"/>
      <c r="I1247" s="47"/>
      <c r="J1247" s="47"/>
      <c r="L1247" s="384"/>
      <c r="M1247" s="47"/>
      <c r="T1247" s="47"/>
      <c r="U1247" s="47"/>
      <c r="V1247" s="47"/>
    </row>
    <row r="1248" spans="6:22" ht="15.75" customHeight="1">
      <c r="F1248" s="47"/>
      <c r="I1248" s="47"/>
      <c r="J1248" s="47"/>
      <c r="L1248" s="384"/>
      <c r="M1248" s="47"/>
      <c r="T1248" s="47"/>
      <c r="U1248" s="47"/>
      <c r="V1248" s="47"/>
    </row>
    <row r="1249" spans="6:22" ht="15.75" customHeight="1">
      <c r="F1249" s="47"/>
      <c r="I1249" s="47"/>
      <c r="J1249" s="47"/>
      <c r="L1249" s="384"/>
      <c r="M1249" s="47"/>
      <c r="T1249" s="47"/>
      <c r="U1249" s="47"/>
      <c r="V1249" s="47"/>
    </row>
    <row r="1250" spans="6:22" ht="15.75" customHeight="1">
      <c r="F1250" s="47"/>
      <c r="I1250" s="47"/>
      <c r="J1250" s="47"/>
      <c r="L1250" s="384"/>
      <c r="M1250" s="47"/>
      <c r="T1250" s="47"/>
      <c r="U1250" s="47"/>
      <c r="V1250" s="47"/>
    </row>
    <row r="1251" spans="6:22" ht="15.75" customHeight="1">
      <c r="F1251" s="47"/>
      <c r="I1251" s="47"/>
      <c r="J1251" s="47"/>
      <c r="L1251" s="384"/>
      <c r="M1251" s="47"/>
      <c r="T1251" s="47"/>
      <c r="U1251" s="47"/>
      <c r="V1251" s="47"/>
    </row>
    <row r="1252" spans="6:22" ht="15.75" customHeight="1">
      <c r="F1252" s="47"/>
      <c r="I1252" s="47"/>
      <c r="J1252" s="47"/>
      <c r="L1252" s="384"/>
      <c r="M1252" s="47"/>
      <c r="T1252" s="47"/>
      <c r="U1252" s="47"/>
      <c r="V1252" s="47"/>
    </row>
    <row r="1253" spans="6:22" ht="15.75" customHeight="1">
      <c r="F1253" s="47"/>
      <c r="I1253" s="47"/>
      <c r="J1253" s="47"/>
      <c r="L1253" s="384"/>
      <c r="M1253" s="47"/>
      <c r="T1253" s="47"/>
      <c r="U1253" s="47"/>
      <c r="V1253" s="47"/>
    </row>
    <row r="1254" spans="6:22" ht="15.75" customHeight="1">
      <c r="F1254" s="47"/>
      <c r="I1254" s="47"/>
      <c r="J1254" s="47"/>
      <c r="L1254" s="384"/>
      <c r="M1254" s="47"/>
      <c r="T1254" s="47"/>
      <c r="U1254" s="47"/>
      <c r="V1254" s="47"/>
    </row>
    <row r="1255" spans="6:22" ht="15.75" customHeight="1">
      <c r="F1255" s="47"/>
      <c r="I1255" s="47"/>
      <c r="J1255" s="47"/>
      <c r="L1255" s="384"/>
      <c r="M1255" s="47"/>
      <c r="T1255" s="47"/>
      <c r="U1255" s="47"/>
      <c r="V1255" s="47"/>
    </row>
    <row r="1256" spans="6:22" ht="15.75" customHeight="1">
      <c r="F1256" s="47"/>
      <c r="I1256" s="47"/>
      <c r="J1256" s="47"/>
      <c r="L1256" s="384"/>
      <c r="M1256" s="47"/>
      <c r="T1256" s="47"/>
      <c r="U1256" s="47"/>
      <c r="V1256" s="47"/>
    </row>
    <row r="1257" spans="6:22" ht="15.75" customHeight="1">
      <c r="F1257" s="47"/>
      <c r="I1257" s="47"/>
      <c r="J1257" s="47"/>
      <c r="L1257" s="384"/>
      <c r="M1257" s="47"/>
      <c r="T1257" s="47"/>
      <c r="U1257" s="47"/>
      <c r="V1257" s="47"/>
    </row>
    <row r="1258" spans="6:22" ht="15.75" customHeight="1">
      <c r="F1258" s="47"/>
      <c r="I1258" s="47"/>
      <c r="J1258" s="47"/>
      <c r="L1258" s="384"/>
      <c r="M1258" s="47"/>
      <c r="T1258" s="47"/>
      <c r="U1258" s="47"/>
      <c r="V1258" s="47"/>
    </row>
    <row r="1259" spans="6:22" ht="15.75" customHeight="1">
      <c r="F1259" s="47"/>
      <c r="I1259" s="47"/>
      <c r="J1259" s="47"/>
      <c r="L1259" s="384"/>
      <c r="M1259" s="47"/>
      <c r="T1259" s="47"/>
      <c r="U1259" s="47"/>
      <c r="V1259" s="47"/>
    </row>
    <row r="1260" spans="6:22" ht="15.75" customHeight="1">
      <c r="F1260" s="47"/>
      <c r="I1260" s="47"/>
      <c r="J1260" s="47"/>
      <c r="L1260" s="384"/>
      <c r="M1260" s="47"/>
      <c r="T1260" s="47"/>
      <c r="U1260" s="47"/>
      <c r="V1260" s="47"/>
    </row>
    <row r="1261" spans="6:22" ht="15.75" customHeight="1">
      <c r="F1261" s="47"/>
      <c r="I1261" s="47"/>
      <c r="J1261" s="47"/>
      <c r="L1261" s="384"/>
      <c r="M1261" s="47"/>
      <c r="T1261" s="47"/>
      <c r="U1261" s="47"/>
      <c r="V1261" s="47"/>
    </row>
    <row r="1262" spans="6:22" ht="15.75" customHeight="1">
      <c r="F1262" s="47"/>
      <c r="I1262" s="47"/>
      <c r="J1262" s="47"/>
      <c r="L1262" s="384"/>
      <c r="M1262" s="47"/>
      <c r="T1262" s="47"/>
      <c r="U1262" s="47"/>
      <c r="V1262" s="47"/>
    </row>
    <row r="1263" spans="6:22" ht="15.75" customHeight="1">
      <c r="F1263" s="47"/>
      <c r="I1263" s="47"/>
      <c r="J1263" s="47"/>
      <c r="L1263" s="384"/>
      <c r="M1263" s="47"/>
      <c r="T1263" s="47"/>
      <c r="U1263" s="47"/>
      <c r="V1263" s="47"/>
    </row>
    <row r="1264" spans="6:22" ht="15.75" customHeight="1">
      <c r="F1264" s="47"/>
      <c r="I1264" s="47"/>
      <c r="J1264" s="47"/>
      <c r="L1264" s="384"/>
      <c r="M1264" s="47"/>
      <c r="T1264" s="47"/>
      <c r="U1264" s="47"/>
      <c r="V1264" s="47"/>
    </row>
    <row r="1265" spans="6:22" ht="15.75" customHeight="1">
      <c r="F1265" s="47"/>
      <c r="I1265" s="47"/>
      <c r="J1265" s="47"/>
      <c r="L1265" s="384"/>
      <c r="M1265" s="47"/>
      <c r="T1265" s="47"/>
      <c r="U1265" s="47"/>
      <c r="V1265" s="47"/>
    </row>
    <row r="1266" spans="6:22" ht="15.75" customHeight="1">
      <c r="F1266" s="47"/>
      <c r="I1266" s="47"/>
      <c r="J1266" s="47"/>
      <c r="L1266" s="384"/>
      <c r="M1266" s="47"/>
      <c r="T1266" s="47"/>
      <c r="U1266" s="47"/>
      <c r="V1266" s="47"/>
    </row>
    <row r="1267" spans="6:22" ht="15.75" customHeight="1">
      <c r="F1267" s="47"/>
      <c r="I1267" s="47"/>
      <c r="J1267" s="47"/>
      <c r="L1267" s="384"/>
      <c r="M1267" s="47"/>
      <c r="T1267" s="47"/>
      <c r="U1267" s="47"/>
      <c r="V1267" s="47"/>
    </row>
    <row r="1268" spans="6:22" ht="15.75" customHeight="1">
      <c r="F1268" s="47"/>
      <c r="I1268" s="47"/>
      <c r="J1268" s="47"/>
      <c r="L1268" s="384"/>
      <c r="M1268" s="47"/>
      <c r="T1268" s="47"/>
      <c r="U1268" s="47"/>
      <c r="V1268" s="47"/>
    </row>
    <row r="1269" spans="6:22" ht="15.75" customHeight="1">
      <c r="F1269" s="47"/>
      <c r="I1269" s="47"/>
      <c r="J1269" s="47"/>
      <c r="L1269" s="384"/>
      <c r="M1269" s="47"/>
      <c r="T1269" s="47"/>
      <c r="U1269" s="47"/>
      <c r="V1269" s="47"/>
    </row>
    <row r="1270" spans="6:22" ht="15.75" customHeight="1">
      <c r="F1270" s="47"/>
      <c r="I1270" s="47"/>
      <c r="J1270" s="47"/>
      <c r="L1270" s="384"/>
      <c r="M1270" s="47"/>
      <c r="T1270" s="47"/>
      <c r="U1270" s="47"/>
      <c r="V1270" s="47"/>
    </row>
    <row r="1271" spans="6:22" ht="15.75" customHeight="1">
      <c r="F1271" s="47"/>
      <c r="I1271" s="47"/>
      <c r="J1271" s="47"/>
      <c r="L1271" s="384"/>
      <c r="M1271" s="47"/>
      <c r="T1271" s="47"/>
      <c r="U1271" s="47"/>
      <c r="V1271" s="47"/>
    </row>
    <row r="1272" spans="6:22" ht="15.75" customHeight="1">
      <c r="F1272" s="47"/>
      <c r="I1272" s="47"/>
      <c r="J1272" s="47"/>
      <c r="L1272" s="384"/>
      <c r="M1272" s="47"/>
      <c r="T1272" s="47"/>
      <c r="U1272" s="47"/>
      <c r="V1272" s="47"/>
    </row>
    <row r="1273" spans="6:22" ht="15.75" customHeight="1">
      <c r="F1273" s="47"/>
      <c r="I1273" s="47"/>
      <c r="J1273" s="47"/>
      <c r="L1273" s="384"/>
      <c r="M1273" s="47"/>
      <c r="T1273" s="47"/>
      <c r="U1273" s="47"/>
      <c r="V1273" s="47"/>
    </row>
    <row r="1274" spans="6:22" ht="15.75" customHeight="1">
      <c r="F1274" s="47"/>
      <c r="I1274" s="47"/>
      <c r="J1274" s="47"/>
      <c r="L1274" s="384"/>
      <c r="M1274" s="47"/>
      <c r="T1274" s="47"/>
      <c r="U1274" s="47"/>
      <c r="V1274" s="47"/>
    </row>
    <row r="1275" spans="6:22" ht="15.75" customHeight="1">
      <c r="F1275" s="47"/>
      <c r="I1275" s="47"/>
      <c r="J1275" s="47"/>
      <c r="L1275" s="384"/>
      <c r="M1275" s="47"/>
      <c r="T1275" s="47"/>
      <c r="U1275" s="47"/>
      <c r="V1275" s="47"/>
    </row>
    <row r="1276" spans="6:22" ht="15.75" customHeight="1">
      <c r="F1276" s="47"/>
      <c r="I1276" s="47"/>
      <c r="J1276" s="47"/>
      <c r="L1276" s="384"/>
      <c r="M1276" s="47"/>
      <c r="T1276" s="47"/>
      <c r="U1276" s="47"/>
      <c r="V1276" s="47"/>
    </row>
    <row r="1277" spans="6:22" ht="15.75" customHeight="1">
      <c r="F1277" s="47"/>
      <c r="I1277" s="47"/>
      <c r="J1277" s="47"/>
      <c r="L1277" s="384"/>
      <c r="M1277" s="47"/>
      <c r="T1277" s="47"/>
      <c r="U1277" s="47"/>
      <c r="V1277" s="47"/>
    </row>
    <row r="1278" spans="6:22" ht="15.75" customHeight="1">
      <c r="F1278" s="47"/>
      <c r="I1278" s="47"/>
      <c r="J1278" s="47"/>
      <c r="L1278" s="384"/>
      <c r="M1278" s="47"/>
      <c r="T1278" s="47"/>
      <c r="U1278" s="47"/>
      <c r="V1278" s="47"/>
    </row>
    <row r="1279" spans="6:22" ht="15.75" customHeight="1">
      <c r="F1279" s="47"/>
      <c r="I1279" s="47"/>
      <c r="J1279" s="47"/>
      <c r="L1279" s="384"/>
      <c r="M1279" s="47"/>
      <c r="T1279" s="47"/>
      <c r="U1279" s="47"/>
      <c r="V1279" s="47"/>
    </row>
    <row r="1280" spans="6:22" ht="15.75" customHeight="1">
      <c r="F1280" s="47"/>
      <c r="I1280" s="47"/>
      <c r="J1280" s="47"/>
      <c r="L1280" s="384"/>
      <c r="M1280" s="47"/>
      <c r="T1280" s="47"/>
      <c r="U1280" s="47"/>
      <c r="V1280" s="47"/>
    </row>
    <row r="1281" spans="6:22" ht="15.75" customHeight="1">
      <c r="F1281" s="47"/>
      <c r="I1281" s="47"/>
      <c r="J1281" s="47"/>
      <c r="L1281" s="384"/>
      <c r="M1281" s="47"/>
      <c r="T1281" s="47"/>
      <c r="U1281" s="47"/>
      <c r="V1281" s="47"/>
    </row>
    <row r="1282" spans="6:22" ht="15.75" customHeight="1">
      <c r="F1282" s="47"/>
      <c r="I1282" s="47"/>
      <c r="J1282" s="47"/>
      <c r="L1282" s="384"/>
      <c r="M1282" s="47"/>
      <c r="T1282" s="47"/>
      <c r="U1282" s="47"/>
      <c r="V1282" s="47"/>
    </row>
    <row r="1283" spans="6:22" ht="15.75" customHeight="1">
      <c r="F1283" s="47"/>
      <c r="I1283" s="47"/>
      <c r="J1283" s="47"/>
      <c r="L1283" s="384"/>
      <c r="M1283" s="47"/>
      <c r="T1283" s="47"/>
      <c r="U1283" s="47"/>
      <c r="V1283" s="47"/>
    </row>
    <row r="1284" spans="6:22" ht="15.75" customHeight="1">
      <c r="F1284" s="47"/>
      <c r="I1284" s="47"/>
      <c r="J1284" s="47"/>
      <c r="L1284" s="384"/>
      <c r="M1284" s="47"/>
      <c r="T1284" s="47"/>
      <c r="U1284" s="47"/>
      <c r="V1284" s="47"/>
    </row>
    <row r="1285" spans="6:22" ht="15.75" customHeight="1">
      <c r="F1285" s="47"/>
      <c r="I1285" s="47"/>
      <c r="J1285" s="47"/>
      <c r="L1285" s="384"/>
      <c r="M1285" s="47"/>
      <c r="T1285" s="47"/>
      <c r="U1285" s="47"/>
      <c r="V1285" s="47"/>
    </row>
    <row r="1286" spans="6:22" ht="15.75" customHeight="1">
      <c r="F1286" s="47"/>
      <c r="I1286" s="47"/>
      <c r="J1286" s="47"/>
      <c r="L1286" s="384"/>
      <c r="M1286" s="47"/>
      <c r="T1286" s="47"/>
      <c r="U1286" s="47"/>
      <c r="V1286" s="47"/>
    </row>
    <row r="1287" spans="6:22" ht="15.75" customHeight="1">
      <c r="F1287" s="47"/>
      <c r="I1287" s="47"/>
      <c r="J1287" s="47"/>
      <c r="L1287" s="384"/>
      <c r="M1287" s="47"/>
      <c r="T1287" s="47"/>
      <c r="U1287" s="47"/>
      <c r="V1287" s="47"/>
    </row>
    <row r="1288" spans="6:22" ht="15.75" customHeight="1">
      <c r="F1288" s="47"/>
      <c r="I1288" s="47"/>
      <c r="J1288" s="47"/>
      <c r="L1288" s="384"/>
      <c r="M1288" s="47"/>
      <c r="T1288" s="47"/>
      <c r="U1288" s="47"/>
      <c r="V1288" s="47"/>
    </row>
    <row r="1289" spans="6:22" ht="15.75" customHeight="1">
      <c r="F1289" s="47"/>
      <c r="I1289" s="47"/>
      <c r="J1289" s="47"/>
      <c r="L1289" s="384"/>
      <c r="M1289" s="47"/>
      <c r="T1289" s="47"/>
      <c r="U1289" s="47"/>
      <c r="V1289" s="47"/>
    </row>
    <row r="1290" spans="6:22" ht="15.75" customHeight="1">
      <c r="F1290" s="47"/>
      <c r="I1290" s="47"/>
      <c r="J1290" s="47"/>
      <c r="L1290" s="384"/>
      <c r="M1290" s="47"/>
      <c r="T1290" s="47"/>
      <c r="U1290" s="47"/>
      <c r="V1290" s="47"/>
    </row>
    <row r="1291" spans="6:22" ht="15.75" customHeight="1">
      <c r="F1291" s="47"/>
      <c r="I1291" s="47"/>
      <c r="J1291" s="47"/>
      <c r="L1291" s="384"/>
      <c r="M1291" s="47"/>
      <c r="T1291" s="47"/>
      <c r="U1291" s="47"/>
      <c r="V1291" s="47"/>
    </row>
    <row r="1292" spans="6:22" ht="15.75" customHeight="1">
      <c r="F1292" s="47"/>
      <c r="I1292" s="47"/>
      <c r="J1292" s="47"/>
      <c r="L1292" s="384"/>
      <c r="M1292" s="47"/>
      <c r="T1292" s="47"/>
      <c r="U1292" s="47"/>
      <c r="V1292" s="47"/>
    </row>
    <row r="1293" spans="6:22" ht="15.75" customHeight="1">
      <c r="F1293" s="47"/>
      <c r="I1293" s="47"/>
      <c r="J1293" s="47"/>
      <c r="L1293" s="384"/>
      <c r="M1293" s="47"/>
      <c r="T1293" s="47"/>
      <c r="U1293" s="47"/>
      <c r="V1293" s="47"/>
    </row>
    <row r="1294" spans="6:22" ht="15.75" customHeight="1">
      <c r="F1294" s="47"/>
      <c r="I1294" s="47"/>
      <c r="J1294" s="47"/>
      <c r="L1294" s="384"/>
      <c r="M1294" s="47"/>
      <c r="T1294" s="47"/>
      <c r="U1294" s="47"/>
      <c r="V1294" s="47"/>
    </row>
    <row r="1295" spans="6:22" ht="15.75" customHeight="1">
      <c r="F1295" s="47"/>
      <c r="I1295" s="47"/>
      <c r="J1295" s="47"/>
      <c r="L1295" s="384"/>
      <c r="M1295" s="47"/>
      <c r="T1295" s="47"/>
      <c r="U1295" s="47"/>
      <c r="V1295" s="47"/>
    </row>
    <row r="1296" spans="6:22" ht="15.75" customHeight="1">
      <c r="F1296" s="47"/>
      <c r="I1296" s="47"/>
      <c r="J1296" s="47"/>
      <c r="L1296" s="384"/>
      <c r="M1296" s="47"/>
      <c r="T1296" s="47"/>
      <c r="U1296" s="47"/>
      <c r="V1296" s="47"/>
    </row>
    <row r="1297" spans="6:22" ht="15.75" customHeight="1">
      <c r="F1297" s="47"/>
      <c r="I1297" s="47"/>
      <c r="J1297" s="47"/>
      <c r="L1297" s="384"/>
      <c r="M1297" s="47"/>
      <c r="T1297" s="47"/>
      <c r="U1297" s="47"/>
      <c r="V1297" s="47"/>
    </row>
    <row r="1298" spans="6:22" ht="15.75" customHeight="1">
      <c r="F1298" s="47"/>
      <c r="I1298" s="47"/>
      <c r="J1298" s="47"/>
      <c r="L1298" s="384"/>
      <c r="M1298" s="47"/>
      <c r="T1298" s="47"/>
      <c r="U1298" s="47"/>
      <c r="V1298" s="47"/>
    </row>
    <row r="1299" spans="6:22" ht="15.75" customHeight="1">
      <c r="F1299" s="47"/>
      <c r="I1299" s="47"/>
      <c r="J1299" s="47"/>
      <c r="L1299" s="384"/>
      <c r="M1299" s="47"/>
      <c r="T1299" s="47"/>
      <c r="U1299" s="47"/>
      <c r="V1299" s="47"/>
    </row>
    <row r="1300" spans="6:22" ht="15.75" customHeight="1">
      <c r="F1300" s="47"/>
      <c r="I1300" s="47"/>
      <c r="J1300" s="47"/>
      <c r="L1300" s="384"/>
      <c r="M1300" s="47"/>
      <c r="T1300" s="47"/>
      <c r="U1300" s="47"/>
      <c r="V1300" s="47"/>
    </row>
    <row r="1301" spans="6:22" ht="15.75" customHeight="1">
      <c r="F1301" s="47"/>
      <c r="I1301" s="47"/>
      <c r="J1301" s="47"/>
      <c r="L1301" s="384"/>
      <c r="M1301" s="47"/>
      <c r="T1301" s="47"/>
      <c r="U1301" s="47"/>
      <c r="V1301" s="47"/>
    </row>
    <row r="1302" spans="6:22" ht="15.75" customHeight="1">
      <c r="F1302" s="47"/>
      <c r="I1302" s="47"/>
      <c r="J1302" s="47"/>
      <c r="L1302" s="384"/>
      <c r="M1302" s="47"/>
      <c r="T1302" s="47"/>
      <c r="U1302" s="47"/>
      <c r="V1302" s="47"/>
    </row>
    <row r="1303" spans="6:22" ht="15.75" customHeight="1">
      <c r="F1303" s="47"/>
      <c r="I1303" s="47"/>
      <c r="J1303" s="47"/>
      <c r="L1303" s="384"/>
      <c r="M1303" s="47"/>
      <c r="T1303" s="47"/>
      <c r="U1303" s="47"/>
      <c r="V1303" s="47"/>
    </row>
    <row r="1304" spans="6:22" ht="15.75" customHeight="1">
      <c r="F1304" s="47"/>
      <c r="I1304" s="47"/>
      <c r="J1304" s="47"/>
      <c r="L1304" s="384"/>
      <c r="M1304" s="47"/>
      <c r="T1304" s="47"/>
      <c r="U1304" s="47"/>
      <c r="V1304" s="47"/>
    </row>
    <row r="1305" spans="6:22" ht="15.75" customHeight="1">
      <c r="F1305" s="47"/>
      <c r="I1305" s="47"/>
      <c r="J1305" s="47"/>
      <c r="L1305" s="384"/>
      <c r="M1305" s="47"/>
      <c r="T1305" s="47"/>
      <c r="U1305" s="47"/>
      <c r="V1305" s="47"/>
    </row>
    <row r="1306" spans="6:22" ht="15.75" customHeight="1">
      <c r="F1306" s="47"/>
      <c r="I1306" s="47"/>
      <c r="J1306" s="47"/>
      <c r="L1306" s="384"/>
      <c r="M1306" s="47"/>
      <c r="T1306" s="47"/>
      <c r="U1306" s="47"/>
      <c r="V1306" s="47"/>
    </row>
    <row r="1307" spans="6:22" ht="15.75" customHeight="1">
      <c r="F1307" s="47"/>
      <c r="I1307" s="47"/>
      <c r="J1307" s="47"/>
      <c r="L1307" s="384"/>
      <c r="M1307" s="47"/>
      <c r="T1307" s="47"/>
      <c r="U1307" s="47"/>
      <c r="V1307" s="47"/>
    </row>
    <row r="1308" spans="6:22" ht="15.75" customHeight="1">
      <c r="F1308" s="47"/>
      <c r="I1308" s="47"/>
      <c r="J1308" s="47"/>
      <c r="L1308" s="384"/>
      <c r="M1308" s="47"/>
      <c r="T1308" s="47"/>
      <c r="U1308" s="47"/>
      <c r="V1308" s="47"/>
    </row>
    <row r="1309" spans="6:22" ht="15.75" customHeight="1">
      <c r="F1309" s="47"/>
      <c r="I1309" s="47"/>
      <c r="J1309" s="47"/>
      <c r="L1309" s="384"/>
      <c r="M1309" s="47"/>
      <c r="T1309" s="47"/>
      <c r="U1309" s="47"/>
      <c r="V1309" s="47"/>
    </row>
    <row r="1310" spans="6:22" ht="15.75" customHeight="1">
      <c r="F1310" s="47"/>
      <c r="I1310" s="47"/>
      <c r="J1310" s="47"/>
      <c r="L1310" s="384"/>
      <c r="M1310" s="47"/>
      <c r="T1310" s="47"/>
      <c r="U1310" s="47"/>
      <c r="V1310" s="47"/>
    </row>
    <row r="1311" spans="6:22" ht="15.75" customHeight="1">
      <c r="F1311" s="47"/>
      <c r="I1311" s="47"/>
      <c r="J1311" s="47"/>
      <c r="L1311" s="384"/>
      <c r="M1311" s="47"/>
      <c r="T1311" s="47"/>
      <c r="U1311" s="47"/>
      <c r="V1311" s="47"/>
    </row>
    <row r="1312" spans="6:22" ht="15.75" customHeight="1">
      <c r="F1312" s="47"/>
      <c r="I1312" s="47"/>
      <c r="J1312" s="47"/>
      <c r="L1312" s="384"/>
      <c r="M1312" s="47"/>
      <c r="T1312" s="47"/>
      <c r="U1312" s="47"/>
      <c r="V1312" s="47"/>
    </row>
    <row r="1313" spans="6:22" ht="15.75" customHeight="1">
      <c r="F1313" s="47"/>
      <c r="I1313" s="47"/>
      <c r="J1313" s="47"/>
      <c r="L1313" s="384"/>
      <c r="M1313" s="47"/>
      <c r="T1313" s="47"/>
      <c r="U1313" s="47"/>
      <c r="V1313" s="47"/>
    </row>
    <row r="1314" spans="6:22" ht="15.75" customHeight="1">
      <c r="F1314" s="47"/>
      <c r="I1314" s="47"/>
      <c r="J1314" s="47"/>
      <c r="L1314" s="384"/>
      <c r="M1314" s="47"/>
      <c r="T1314" s="47"/>
      <c r="U1314" s="47"/>
      <c r="V1314" s="47"/>
    </row>
    <row r="1315" spans="6:22" ht="15.75" customHeight="1">
      <c r="F1315" s="47"/>
      <c r="I1315" s="47"/>
      <c r="J1315" s="47"/>
      <c r="L1315" s="384"/>
      <c r="M1315" s="47"/>
      <c r="T1315" s="47"/>
      <c r="U1315" s="47"/>
      <c r="V1315" s="47"/>
    </row>
    <row r="1316" spans="6:22" ht="15.75" customHeight="1">
      <c r="F1316" s="47"/>
      <c r="I1316" s="47"/>
      <c r="J1316" s="47"/>
      <c r="L1316" s="384"/>
      <c r="M1316" s="47"/>
      <c r="T1316" s="47"/>
      <c r="U1316" s="47"/>
      <c r="V1316" s="47"/>
    </row>
    <row r="1317" spans="6:22" ht="15.75" customHeight="1">
      <c r="F1317" s="47"/>
      <c r="I1317" s="47"/>
      <c r="J1317" s="47"/>
      <c r="L1317" s="384"/>
      <c r="M1317" s="47"/>
      <c r="T1317" s="47"/>
      <c r="U1317" s="47"/>
      <c r="V1317" s="47"/>
    </row>
    <row r="1318" spans="6:22" ht="15.75" customHeight="1">
      <c r="F1318" s="47"/>
      <c r="I1318" s="47"/>
      <c r="J1318" s="47"/>
      <c r="L1318" s="384"/>
      <c r="M1318" s="47"/>
      <c r="T1318" s="47"/>
      <c r="U1318" s="47"/>
      <c r="V1318" s="47"/>
    </row>
    <row r="1319" spans="6:22" ht="15.75" customHeight="1">
      <c r="F1319" s="47"/>
      <c r="I1319" s="47"/>
      <c r="J1319" s="47"/>
      <c r="L1319" s="384"/>
      <c r="M1319" s="47"/>
      <c r="T1319" s="47"/>
      <c r="U1319" s="47"/>
      <c r="V1319" s="47"/>
    </row>
    <row r="1320" spans="6:22" ht="15.75" customHeight="1">
      <c r="F1320" s="47"/>
      <c r="I1320" s="47"/>
      <c r="J1320" s="47"/>
      <c r="L1320" s="384"/>
      <c r="M1320" s="47"/>
      <c r="T1320" s="47"/>
      <c r="U1320" s="47"/>
      <c r="V1320" s="47"/>
    </row>
    <row r="1321" spans="6:22" ht="15.75" customHeight="1">
      <c r="F1321" s="47"/>
      <c r="I1321" s="47"/>
      <c r="J1321" s="47"/>
      <c r="L1321" s="384"/>
      <c r="M1321" s="47"/>
      <c r="T1321" s="47"/>
      <c r="U1321" s="47"/>
      <c r="V1321" s="47"/>
    </row>
    <row r="1322" spans="6:22" ht="15.75" customHeight="1">
      <c r="F1322" s="47"/>
      <c r="I1322" s="47"/>
      <c r="J1322" s="47"/>
      <c r="L1322" s="384"/>
      <c r="M1322" s="47"/>
      <c r="T1322" s="47"/>
      <c r="U1322" s="47"/>
      <c r="V1322" s="47"/>
    </row>
    <row r="1323" spans="6:22" ht="15.75" customHeight="1">
      <c r="F1323" s="47"/>
      <c r="I1323" s="47"/>
      <c r="J1323" s="47"/>
      <c r="L1323" s="384"/>
      <c r="M1323" s="47"/>
      <c r="T1323" s="47"/>
      <c r="U1323" s="47"/>
      <c r="V1323" s="47"/>
    </row>
    <row r="1324" spans="6:22" ht="15.75" customHeight="1">
      <c r="F1324" s="47"/>
      <c r="I1324" s="47"/>
      <c r="J1324" s="47"/>
      <c r="L1324" s="384"/>
      <c r="M1324" s="47"/>
      <c r="T1324" s="47"/>
      <c r="U1324" s="47"/>
      <c r="V1324" s="47"/>
    </row>
    <row r="1325" spans="6:22" ht="15.75" customHeight="1">
      <c r="F1325" s="47"/>
      <c r="I1325" s="47"/>
      <c r="J1325" s="47"/>
      <c r="L1325" s="384"/>
      <c r="M1325" s="47"/>
      <c r="T1325" s="47"/>
      <c r="U1325" s="47"/>
      <c r="V1325" s="47"/>
    </row>
    <row r="1326" spans="6:22" ht="15.75" customHeight="1">
      <c r="F1326" s="47"/>
      <c r="I1326" s="47"/>
      <c r="J1326" s="47"/>
      <c r="L1326" s="384"/>
      <c r="M1326" s="47"/>
      <c r="T1326" s="47"/>
      <c r="U1326" s="47"/>
      <c r="V1326" s="47"/>
    </row>
    <row r="1327" spans="6:22" ht="15.75" customHeight="1">
      <c r="F1327" s="47"/>
      <c r="I1327" s="47"/>
      <c r="J1327" s="47"/>
      <c r="L1327" s="384"/>
      <c r="M1327" s="47"/>
      <c r="T1327" s="47"/>
      <c r="U1327" s="47"/>
      <c r="V1327" s="47"/>
    </row>
    <row r="1328" spans="6:22" ht="15.75" customHeight="1">
      <c r="F1328" s="47"/>
      <c r="I1328" s="47"/>
      <c r="J1328" s="47"/>
      <c r="L1328" s="384"/>
      <c r="M1328" s="47"/>
      <c r="T1328" s="47"/>
      <c r="U1328" s="47"/>
      <c r="V1328" s="47"/>
    </row>
    <row r="1329" spans="6:22" ht="15.75" customHeight="1">
      <c r="F1329" s="47"/>
      <c r="I1329" s="47"/>
      <c r="J1329" s="47"/>
      <c r="L1329" s="384"/>
      <c r="M1329" s="47"/>
      <c r="T1329" s="47"/>
      <c r="U1329" s="47"/>
      <c r="V1329" s="47"/>
    </row>
    <row r="1330" spans="6:22" ht="15.75" customHeight="1">
      <c r="F1330" s="47"/>
      <c r="I1330" s="47"/>
      <c r="J1330" s="47"/>
      <c r="L1330" s="384"/>
      <c r="M1330" s="47"/>
      <c r="T1330" s="47"/>
      <c r="U1330" s="47"/>
      <c r="V1330" s="47"/>
    </row>
    <row r="1331" spans="6:22" ht="15.75" customHeight="1">
      <c r="F1331" s="47"/>
      <c r="I1331" s="47"/>
      <c r="J1331" s="47"/>
      <c r="L1331" s="384"/>
      <c r="M1331" s="47"/>
      <c r="T1331" s="47"/>
      <c r="U1331" s="47"/>
      <c r="V1331" s="47"/>
    </row>
    <row r="1332" spans="6:22" ht="15.75" customHeight="1">
      <c r="F1332" s="47"/>
      <c r="I1332" s="47"/>
      <c r="J1332" s="47"/>
      <c r="L1332" s="384"/>
      <c r="M1332" s="47"/>
      <c r="T1332" s="47"/>
      <c r="U1332" s="47"/>
      <c r="V1332" s="47"/>
    </row>
    <row r="1333" spans="6:22" ht="15.75" customHeight="1">
      <c r="F1333" s="47"/>
      <c r="I1333" s="47"/>
      <c r="J1333" s="47"/>
      <c r="L1333" s="384"/>
      <c r="M1333" s="47"/>
      <c r="T1333" s="47"/>
      <c r="U1333" s="47"/>
      <c r="V1333" s="47"/>
    </row>
    <row r="1334" spans="6:22" ht="15.75" customHeight="1">
      <c r="F1334" s="47"/>
      <c r="I1334" s="47"/>
      <c r="J1334" s="47"/>
      <c r="L1334" s="384"/>
      <c r="M1334" s="47"/>
      <c r="T1334" s="47"/>
      <c r="U1334" s="47"/>
      <c r="V1334" s="47"/>
    </row>
    <row r="1335" spans="6:22" ht="15.75" customHeight="1">
      <c r="F1335" s="47"/>
      <c r="I1335" s="47"/>
      <c r="J1335" s="47"/>
      <c r="L1335" s="384"/>
      <c r="M1335" s="47"/>
      <c r="T1335" s="47"/>
      <c r="U1335" s="47"/>
      <c r="V1335" s="47"/>
    </row>
    <row r="1336" spans="6:22" ht="15.75" customHeight="1">
      <c r="F1336" s="47"/>
      <c r="I1336" s="47"/>
      <c r="J1336" s="47"/>
      <c r="L1336" s="384"/>
      <c r="M1336" s="47"/>
      <c r="T1336" s="47"/>
      <c r="U1336" s="47"/>
      <c r="V1336" s="47"/>
    </row>
    <row r="1337" spans="6:22" ht="15.75" customHeight="1">
      <c r="F1337" s="47"/>
      <c r="I1337" s="47"/>
      <c r="J1337" s="47"/>
      <c r="L1337" s="384"/>
      <c r="M1337" s="47"/>
      <c r="T1337" s="47"/>
      <c r="U1337" s="47"/>
      <c r="V1337" s="47"/>
    </row>
    <row r="1338" spans="6:22" ht="15.75" customHeight="1">
      <c r="F1338" s="47"/>
      <c r="I1338" s="47"/>
      <c r="J1338" s="47"/>
      <c r="L1338" s="384"/>
      <c r="M1338" s="47"/>
      <c r="T1338" s="47"/>
      <c r="U1338" s="47"/>
      <c r="V1338" s="47"/>
    </row>
    <row r="1339" spans="6:22" ht="15.75" customHeight="1">
      <c r="F1339" s="47"/>
      <c r="I1339" s="47"/>
      <c r="J1339" s="47"/>
      <c r="L1339" s="384"/>
      <c r="M1339" s="47"/>
      <c r="T1339" s="47"/>
      <c r="U1339" s="47"/>
      <c r="V1339" s="47"/>
    </row>
    <row r="1340" spans="6:22" ht="15.75" customHeight="1">
      <c r="F1340" s="47"/>
      <c r="I1340" s="47"/>
      <c r="J1340" s="47"/>
      <c r="L1340" s="384"/>
      <c r="M1340" s="47"/>
      <c r="T1340" s="47"/>
      <c r="U1340" s="47"/>
      <c r="V1340" s="47"/>
    </row>
    <row r="1341" spans="6:22" ht="15.75" customHeight="1">
      <c r="F1341" s="47"/>
      <c r="I1341" s="47"/>
      <c r="J1341" s="47"/>
      <c r="L1341" s="384"/>
      <c r="M1341" s="47"/>
      <c r="T1341" s="47"/>
      <c r="U1341" s="47"/>
      <c r="V1341" s="47"/>
    </row>
    <row r="1342" spans="6:22" ht="15.75" customHeight="1">
      <c r="F1342" s="47"/>
      <c r="I1342" s="47"/>
      <c r="J1342" s="47"/>
      <c r="L1342" s="384"/>
      <c r="M1342" s="47"/>
      <c r="T1342" s="47"/>
      <c r="U1342" s="47"/>
      <c r="V1342" s="47"/>
    </row>
    <row r="1343" spans="6:22" ht="15.75" customHeight="1">
      <c r="F1343" s="47"/>
      <c r="I1343" s="47"/>
      <c r="J1343" s="47"/>
      <c r="L1343" s="384"/>
      <c r="M1343" s="47"/>
      <c r="T1343" s="47"/>
      <c r="U1343" s="47"/>
      <c r="V1343" s="47"/>
    </row>
    <row r="1344" spans="6:22" ht="15.75" customHeight="1">
      <c r="F1344" s="47"/>
      <c r="I1344" s="47"/>
      <c r="J1344" s="47"/>
      <c r="L1344" s="384"/>
      <c r="M1344" s="47"/>
      <c r="T1344" s="47"/>
      <c r="U1344" s="47"/>
      <c r="V1344" s="47"/>
    </row>
    <row r="1345" spans="6:22" ht="15.75" customHeight="1">
      <c r="F1345" s="47"/>
      <c r="I1345" s="47"/>
      <c r="J1345" s="47"/>
      <c r="L1345" s="384"/>
      <c r="M1345" s="47"/>
      <c r="T1345" s="47"/>
      <c r="U1345" s="47"/>
      <c r="V1345" s="47"/>
    </row>
    <row r="1346" spans="6:22" ht="15.75" customHeight="1">
      <c r="F1346" s="47"/>
      <c r="I1346" s="47"/>
      <c r="J1346" s="47"/>
      <c r="L1346" s="384"/>
      <c r="M1346" s="47"/>
      <c r="T1346" s="47"/>
      <c r="U1346" s="47"/>
      <c r="V1346" s="47"/>
    </row>
    <row r="1347" spans="6:22" ht="15.75" customHeight="1">
      <c r="F1347" s="47"/>
      <c r="I1347" s="47"/>
      <c r="J1347" s="47"/>
      <c r="L1347" s="384"/>
      <c r="M1347" s="47"/>
      <c r="T1347" s="47"/>
      <c r="U1347" s="47"/>
      <c r="V1347" s="47"/>
    </row>
    <row r="1348" spans="6:22" ht="15.75" customHeight="1">
      <c r="F1348" s="47"/>
      <c r="I1348" s="47"/>
      <c r="J1348" s="47"/>
      <c r="L1348" s="384"/>
      <c r="M1348" s="47"/>
      <c r="T1348" s="47"/>
      <c r="U1348" s="47"/>
      <c r="V1348" s="47"/>
    </row>
    <row r="1349" spans="6:22" ht="15.75" customHeight="1">
      <c r="F1349" s="47"/>
      <c r="I1349" s="47"/>
      <c r="J1349" s="47"/>
      <c r="L1349" s="384"/>
      <c r="M1349" s="47"/>
      <c r="T1349" s="47"/>
      <c r="U1349" s="47"/>
      <c r="V1349" s="47"/>
    </row>
    <row r="1350" spans="6:22" ht="15.75" customHeight="1">
      <c r="F1350" s="47"/>
      <c r="I1350" s="47"/>
      <c r="J1350" s="47"/>
      <c r="L1350" s="384"/>
      <c r="M1350" s="47"/>
      <c r="T1350" s="47"/>
      <c r="U1350" s="47"/>
      <c r="V1350" s="47"/>
    </row>
    <row r="1351" spans="6:22" ht="15.75" customHeight="1">
      <c r="F1351" s="47"/>
      <c r="I1351" s="47"/>
      <c r="J1351" s="47"/>
      <c r="L1351" s="384"/>
      <c r="M1351" s="47"/>
      <c r="T1351" s="47"/>
      <c r="U1351" s="47"/>
      <c r="V1351" s="47"/>
    </row>
    <row r="1352" spans="6:22" ht="15.75" customHeight="1">
      <c r="F1352" s="47"/>
      <c r="I1352" s="47"/>
      <c r="J1352" s="47"/>
      <c r="L1352" s="384"/>
      <c r="M1352" s="47"/>
      <c r="T1352" s="47"/>
      <c r="U1352" s="47"/>
      <c r="V1352" s="47"/>
    </row>
    <row r="1353" spans="6:22" ht="15.75" customHeight="1">
      <c r="F1353" s="47"/>
      <c r="I1353" s="47"/>
      <c r="J1353" s="47"/>
      <c r="L1353" s="384"/>
      <c r="M1353" s="47"/>
      <c r="T1353" s="47"/>
      <c r="U1353" s="47"/>
      <c r="V1353" s="47"/>
    </row>
    <row r="1354" spans="6:22" ht="15.75" customHeight="1">
      <c r="F1354" s="47"/>
      <c r="I1354" s="47"/>
      <c r="J1354" s="47"/>
      <c r="L1354" s="384"/>
      <c r="M1354" s="47"/>
      <c r="T1354" s="47"/>
      <c r="U1354" s="47"/>
      <c r="V1354" s="47"/>
    </row>
    <row r="1355" spans="6:22" ht="15.75" customHeight="1">
      <c r="F1355" s="47"/>
      <c r="I1355" s="47"/>
      <c r="J1355" s="47"/>
      <c r="L1355" s="384"/>
      <c r="M1355" s="47"/>
      <c r="T1355" s="47"/>
      <c r="U1355" s="47"/>
      <c r="V1355" s="47"/>
    </row>
    <row r="1356" spans="6:22" ht="15.75" customHeight="1">
      <c r="F1356" s="47"/>
      <c r="I1356" s="47"/>
      <c r="J1356" s="47"/>
      <c r="L1356" s="384"/>
      <c r="M1356" s="47"/>
      <c r="T1356" s="47"/>
      <c r="U1356" s="47"/>
      <c r="V1356" s="47"/>
    </row>
    <row r="1357" spans="6:22" ht="15.75" customHeight="1">
      <c r="F1357" s="47"/>
      <c r="I1357" s="47"/>
      <c r="J1357" s="47"/>
      <c r="L1357" s="384"/>
      <c r="M1357" s="47"/>
      <c r="T1357" s="47"/>
      <c r="U1357" s="47"/>
      <c r="V1357" s="47"/>
    </row>
    <row r="1358" spans="6:22" ht="15.75" customHeight="1">
      <c r="F1358" s="47"/>
      <c r="I1358" s="47"/>
      <c r="J1358" s="47"/>
      <c r="L1358" s="384"/>
      <c r="M1358" s="47"/>
      <c r="T1358" s="47"/>
      <c r="U1358" s="47"/>
      <c r="V1358" s="47"/>
    </row>
    <row r="1359" spans="6:22" ht="15.75" customHeight="1">
      <c r="F1359" s="47"/>
      <c r="I1359" s="47"/>
      <c r="J1359" s="47"/>
      <c r="L1359" s="384"/>
      <c r="M1359" s="47"/>
      <c r="T1359" s="47"/>
      <c r="U1359" s="47"/>
      <c r="V1359" s="47"/>
    </row>
    <row r="1360" spans="6:22" ht="15.75" customHeight="1">
      <c r="F1360" s="47"/>
      <c r="I1360" s="47"/>
      <c r="J1360" s="47"/>
      <c r="L1360" s="384"/>
      <c r="M1360" s="47"/>
      <c r="T1360" s="47"/>
      <c r="U1360" s="47"/>
      <c r="V1360" s="47"/>
    </row>
    <row r="1361" spans="6:22" ht="15.75" customHeight="1">
      <c r="F1361" s="47"/>
      <c r="I1361" s="47"/>
      <c r="J1361" s="47"/>
      <c r="L1361" s="384"/>
      <c r="M1361" s="47"/>
      <c r="T1361" s="47"/>
      <c r="U1361" s="47"/>
      <c r="V1361" s="47"/>
    </row>
    <row r="1362" spans="6:22" ht="15.75" customHeight="1">
      <c r="F1362" s="47"/>
      <c r="I1362" s="47"/>
      <c r="J1362" s="47"/>
      <c r="L1362" s="384"/>
      <c r="M1362" s="47"/>
      <c r="T1362" s="47"/>
      <c r="U1362" s="47"/>
      <c r="V1362" s="47"/>
    </row>
    <row r="1363" spans="6:22" ht="15.75" customHeight="1">
      <c r="F1363" s="47"/>
      <c r="I1363" s="47"/>
      <c r="J1363" s="47"/>
      <c r="L1363" s="384"/>
      <c r="M1363" s="47"/>
      <c r="T1363" s="47"/>
      <c r="U1363" s="47"/>
      <c r="V1363" s="47"/>
    </row>
    <row r="1364" spans="6:22" ht="15.75" customHeight="1">
      <c r="F1364" s="47"/>
      <c r="I1364" s="47"/>
      <c r="J1364" s="47"/>
      <c r="L1364" s="384"/>
      <c r="M1364" s="47"/>
      <c r="T1364" s="47"/>
      <c r="U1364" s="47"/>
      <c r="V1364" s="47"/>
    </row>
    <row r="1365" spans="6:22" ht="15.75" customHeight="1">
      <c r="F1365" s="47"/>
      <c r="I1365" s="47"/>
      <c r="J1365" s="47"/>
      <c r="L1365" s="384"/>
      <c r="M1365" s="47"/>
      <c r="T1365" s="47"/>
      <c r="U1365" s="47"/>
      <c r="V1365" s="47"/>
    </row>
    <row r="1366" spans="6:22" ht="15.75" customHeight="1">
      <c r="F1366" s="47"/>
      <c r="I1366" s="47"/>
      <c r="J1366" s="47"/>
      <c r="L1366" s="384"/>
      <c r="M1366" s="47"/>
      <c r="T1366" s="47"/>
      <c r="U1366" s="47"/>
      <c r="V1366" s="47"/>
    </row>
    <row r="1367" spans="6:22" ht="15.75" customHeight="1">
      <c r="F1367" s="47"/>
      <c r="I1367" s="47"/>
      <c r="J1367" s="47"/>
      <c r="L1367" s="384"/>
      <c r="M1367" s="47"/>
      <c r="T1367" s="47"/>
      <c r="U1367" s="47"/>
      <c r="V1367" s="47"/>
    </row>
    <row r="1368" spans="6:22" ht="15.75" customHeight="1">
      <c r="F1368" s="47"/>
      <c r="I1368" s="47"/>
      <c r="J1368" s="47"/>
      <c r="L1368" s="384"/>
      <c r="M1368" s="47"/>
      <c r="T1368" s="47"/>
      <c r="U1368" s="47"/>
      <c r="V1368" s="47"/>
    </row>
    <row r="1369" spans="6:22" ht="15.75" customHeight="1">
      <c r="F1369" s="47"/>
      <c r="I1369" s="47"/>
      <c r="J1369" s="47"/>
      <c r="L1369" s="384"/>
      <c r="M1369" s="47"/>
      <c r="T1369" s="47"/>
      <c r="U1369" s="47"/>
      <c r="V1369" s="47"/>
    </row>
    <row r="1370" spans="6:22" ht="15.75" customHeight="1">
      <c r="F1370" s="47"/>
      <c r="I1370" s="47"/>
      <c r="J1370" s="47"/>
      <c r="L1370" s="384"/>
      <c r="M1370" s="47"/>
      <c r="T1370" s="47"/>
      <c r="U1370" s="47"/>
      <c r="V1370" s="47"/>
    </row>
    <row r="1371" spans="6:22" ht="15.75" customHeight="1">
      <c r="F1371" s="47"/>
      <c r="I1371" s="47"/>
      <c r="J1371" s="47"/>
      <c r="L1371" s="384"/>
      <c r="M1371" s="47"/>
      <c r="T1371" s="47"/>
      <c r="U1371" s="47"/>
      <c r="V1371" s="47"/>
    </row>
    <row r="1372" spans="6:22" ht="15.75" customHeight="1">
      <c r="F1372" s="47"/>
      <c r="I1372" s="47"/>
      <c r="J1372" s="47"/>
      <c r="L1372" s="384"/>
      <c r="M1372" s="47"/>
      <c r="T1372" s="47"/>
      <c r="U1372" s="47"/>
      <c r="V1372" s="47"/>
    </row>
    <row r="1373" spans="6:22" ht="15.75" customHeight="1">
      <c r="F1373" s="47"/>
      <c r="I1373" s="47"/>
      <c r="J1373" s="47"/>
      <c r="L1373" s="384"/>
      <c r="M1373" s="47"/>
      <c r="T1373" s="47"/>
      <c r="U1373" s="47"/>
      <c r="V1373" s="47"/>
    </row>
    <row r="1374" spans="6:22" ht="15.75" customHeight="1">
      <c r="F1374" s="47"/>
      <c r="I1374" s="47"/>
      <c r="J1374" s="47"/>
      <c r="L1374" s="384"/>
      <c r="M1374" s="47"/>
      <c r="T1374" s="47"/>
      <c r="U1374" s="47"/>
      <c r="V1374" s="47"/>
    </row>
    <row r="1375" spans="6:22" ht="15.75" customHeight="1">
      <c r="F1375" s="47"/>
      <c r="I1375" s="47"/>
      <c r="J1375" s="47"/>
      <c r="L1375" s="384"/>
      <c r="M1375" s="47"/>
      <c r="T1375" s="47"/>
      <c r="U1375" s="47"/>
      <c r="V1375" s="47"/>
    </row>
    <row r="1376" spans="6:22" ht="15.75" customHeight="1">
      <c r="F1376" s="47"/>
      <c r="I1376" s="47"/>
      <c r="J1376" s="47"/>
      <c r="L1376" s="384"/>
      <c r="M1376" s="47"/>
      <c r="T1376" s="47"/>
      <c r="U1376" s="47"/>
      <c r="V1376" s="47"/>
    </row>
    <row r="1377" spans="6:22" ht="15.75" customHeight="1">
      <c r="F1377" s="47"/>
      <c r="I1377" s="47"/>
      <c r="J1377" s="47"/>
      <c r="L1377" s="384"/>
      <c r="M1377" s="47"/>
      <c r="T1377" s="47"/>
      <c r="U1377" s="47"/>
      <c r="V1377" s="47"/>
    </row>
    <row r="1378" spans="6:22" ht="15.75" customHeight="1">
      <c r="F1378" s="47"/>
      <c r="I1378" s="47"/>
      <c r="J1378" s="47"/>
      <c r="L1378" s="384"/>
      <c r="M1378" s="47"/>
      <c r="T1378" s="47"/>
      <c r="U1378" s="47"/>
      <c r="V1378" s="47"/>
    </row>
    <row r="1379" spans="6:22" ht="15.75" customHeight="1">
      <c r="F1379" s="47"/>
      <c r="I1379" s="47"/>
      <c r="J1379" s="47"/>
      <c r="L1379" s="384"/>
      <c r="M1379" s="47"/>
      <c r="T1379" s="47"/>
      <c r="U1379" s="47"/>
      <c r="V1379" s="47"/>
    </row>
    <row r="1380" spans="6:22" ht="15.75" customHeight="1">
      <c r="F1380" s="47"/>
      <c r="I1380" s="47"/>
      <c r="J1380" s="47"/>
      <c r="L1380" s="384"/>
      <c r="M1380" s="47"/>
      <c r="T1380" s="47"/>
      <c r="U1380" s="47"/>
      <c r="V1380" s="47"/>
    </row>
    <row r="1381" spans="6:22" ht="15.75" customHeight="1">
      <c r="F1381" s="47"/>
      <c r="I1381" s="47"/>
      <c r="J1381" s="47"/>
      <c r="L1381" s="384"/>
      <c r="M1381" s="47"/>
      <c r="T1381" s="47"/>
      <c r="U1381" s="47"/>
      <c r="V1381" s="47"/>
    </row>
    <row r="1382" spans="6:22" ht="15.75" customHeight="1">
      <c r="F1382" s="47"/>
      <c r="I1382" s="47"/>
      <c r="J1382" s="47"/>
      <c r="L1382" s="384"/>
      <c r="M1382" s="47"/>
      <c r="T1382" s="47"/>
      <c r="U1382" s="47"/>
      <c r="V1382" s="47"/>
    </row>
    <row r="1383" spans="6:22" ht="15.75" customHeight="1">
      <c r="F1383" s="47"/>
      <c r="I1383" s="47"/>
      <c r="J1383" s="47"/>
      <c r="L1383" s="384"/>
      <c r="M1383" s="47"/>
      <c r="T1383" s="47"/>
      <c r="U1383" s="47"/>
      <c r="V1383" s="47"/>
    </row>
    <row r="1384" spans="6:22" ht="15.75" customHeight="1">
      <c r="F1384" s="47"/>
      <c r="I1384" s="47"/>
      <c r="J1384" s="47"/>
      <c r="L1384" s="384"/>
      <c r="M1384" s="47"/>
      <c r="T1384" s="47"/>
      <c r="U1384" s="47"/>
      <c r="V1384" s="47"/>
    </row>
    <row r="1385" spans="6:22" ht="15.75" customHeight="1">
      <c r="F1385" s="47"/>
      <c r="I1385" s="47"/>
      <c r="J1385" s="47"/>
      <c r="L1385" s="384"/>
      <c r="M1385" s="47"/>
      <c r="T1385" s="47"/>
      <c r="U1385" s="47"/>
      <c r="V1385" s="47"/>
    </row>
    <row r="1386" spans="6:22" ht="15.75" customHeight="1">
      <c r="F1386" s="47"/>
      <c r="I1386" s="47"/>
      <c r="J1386" s="47"/>
      <c r="L1386" s="384"/>
      <c r="M1386" s="47"/>
      <c r="T1386" s="47"/>
      <c r="U1386" s="47"/>
      <c r="V1386" s="47"/>
    </row>
    <row r="1387" spans="6:22" ht="15.75" customHeight="1">
      <c r="F1387" s="47"/>
      <c r="I1387" s="47"/>
      <c r="J1387" s="47"/>
      <c r="L1387" s="384"/>
      <c r="M1387" s="47"/>
      <c r="T1387" s="47"/>
      <c r="U1387" s="47"/>
      <c r="V1387" s="47"/>
    </row>
    <row r="1388" spans="6:22" ht="15.75" customHeight="1">
      <c r="F1388" s="47"/>
      <c r="I1388" s="47"/>
      <c r="J1388" s="47"/>
      <c r="L1388" s="384"/>
      <c r="M1388" s="47"/>
      <c r="T1388" s="47"/>
      <c r="U1388" s="47"/>
      <c r="V1388" s="47"/>
    </row>
    <row r="1389" spans="6:22" ht="15.75" customHeight="1">
      <c r="F1389" s="47"/>
      <c r="I1389" s="47"/>
      <c r="J1389" s="47"/>
      <c r="L1389" s="384"/>
      <c r="M1389" s="47"/>
      <c r="T1389" s="47"/>
      <c r="U1389" s="47"/>
      <c r="V1389" s="47"/>
    </row>
    <row r="1390" spans="6:22" ht="15.75" customHeight="1">
      <c r="F1390" s="47"/>
      <c r="I1390" s="47"/>
      <c r="J1390" s="47"/>
      <c r="L1390" s="384"/>
      <c r="M1390" s="47"/>
      <c r="T1390" s="47"/>
      <c r="U1390" s="47"/>
      <c r="V1390" s="47"/>
    </row>
    <row r="1391" spans="6:22" ht="15.75" customHeight="1">
      <c r="F1391" s="47"/>
      <c r="I1391" s="47"/>
      <c r="J1391" s="47"/>
      <c r="L1391" s="384"/>
      <c r="M1391" s="47"/>
      <c r="T1391" s="47"/>
      <c r="U1391" s="47"/>
      <c r="V1391" s="47"/>
    </row>
    <row r="1392" spans="6:22" ht="15.75" customHeight="1">
      <c r="F1392" s="47"/>
      <c r="I1392" s="47"/>
      <c r="J1392" s="47"/>
      <c r="L1392" s="384"/>
      <c r="M1392" s="47"/>
      <c r="T1392" s="47"/>
      <c r="U1392" s="47"/>
      <c r="V1392" s="47"/>
    </row>
    <row r="1393" spans="6:22" ht="15.75" customHeight="1">
      <c r="F1393" s="47"/>
      <c r="I1393" s="47"/>
      <c r="J1393" s="47"/>
      <c r="L1393" s="384"/>
      <c r="M1393" s="47"/>
      <c r="T1393" s="47"/>
      <c r="U1393" s="47"/>
      <c r="V1393" s="47"/>
    </row>
    <row r="1394" spans="6:22" ht="15.75" customHeight="1">
      <c r="F1394" s="47"/>
      <c r="I1394" s="47"/>
      <c r="J1394" s="47"/>
      <c r="L1394" s="384"/>
      <c r="M1394" s="47"/>
      <c r="T1394" s="47"/>
      <c r="U1394" s="47"/>
      <c r="V1394" s="47"/>
    </row>
    <row r="1395" spans="6:22" ht="15.75" customHeight="1">
      <c r="F1395" s="47"/>
      <c r="I1395" s="47"/>
      <c r="J1395" s="47"/>
      <c r="L1395" s="384"/>
      <c r="M1395" s="47"/>
      <c r="T1395" s="47"/>
      <c r="U1395" s="47"/>
      <c r="V1395" s="47"/>
    </row>
    <row r="1396" spans="6:22" ht="15.75" customHeight="1">
      <c r="F1396" s="47"/>
      <c r="I1396" s="47"/>
      <c r="J1396" s="47"/>
      <c r="L1396" s="384"/>
      <c r="M1396" s="47"/>
      <c r="T1396" s="47"/>
      <c r="U1396" s="47"/>
      <c r="V1396" s="47"/>
    </row>
    <row r="1397" spans="6:22" ht="15.75" customHeight="1">
      <c r="F1397" s="47"/>
      <c r="I1397" s="47"/>
      <c r="J1397" s="47"/>
      <c r="L1397" s="384"/>
      <c r="M1397" s="47"/>
      <c r="T1397" s="47"/>
      <c r="U1397" s="47"/>
      <c r="V1397" s="47"/>
    </row>
    <row r="1398" spans="6:22" ht="15.75" customHeight="1">
      <c r="F1398" s="47"/>
      <c r="I1398" s="47"/>
      <c r="J1398" s="47"/>
      <c r="L1398" s="384"/>
      <c r="M1398" s="47"/>
      <c r="T1398" s="47"/>
      <c r="U1398" s="47"/>
      <c r="V1398" s="47"/>
    </row>
    <row r="1399" spans="6:22" ht="15.75" customHeight="1">
      <c r="F1399" s="47"/>
      <c r="I1399" s="47"/>
      <c r="J1399" s="47"/>
      <c r="L1399" s="384"/>
      <c r="M1399" s="47"/>
      <c r="T1399" s="47"/>
      <c r="U1399" s="47"/>
      <c r="V1399" s="47"/>
    </row>
    <row r="1400" spans="6:22" ht="15.75" customHeight="1">
      <c r="F1400" s="47"/>
      <c r="I1400" s="47"/>
      <c r="J1400" s="47"/>
      <c r="L1400" s="384"/>
      <c r="M1400" s="47"/>
      <c r="T1400" s="47"/>
      <c r="U1400" s="47"/>
      <c r="V1400" s="47"/>
    </row>
    <row r="1401" spans="6:22" ht="15.75" customHeight="1">
      <c r="F1401" s="47"/>
      <c r="I1401" s="47"/>
      <c r="J1401" s="47"/>
      <c r="L1401" s="384"/>
      <c r="M1401" s="47"/>
      <c r="T1401" s="47"/>
      <c r="U1401" s="47"/>
      <c r="V1401" s="47"/>
    </row>
    <row r="1402" spans="6:22" ht="15.75" customHeight="1">
      <c r="F1402" s="47"/>
      <c r="I1402" s="47"/>
      <c r="J1402" s="47"/>
      <c r="L1402" s="384"/>
      <c r="M1402" s="47"/>
      <c r="T1402" s="47"/>
      <c r="U1402" s="47"/>
      <c r="V1402" s="47"/>
    </row>
    <row r="1403" spans="6:22" ht="15.75" customHeight="1">
      <c r="F1403" s="47"/>
      <c r="I1403" s="47"/>
      <c r="J1403" s="47"/>
      <c r="L1403" s="384"/>
      <c r="M1403" s="47"/>
      <c r="T1403" s="47"/>
      <c r="U1403" s="47"/>
      <c r="V1403" s="47"/>
    </row>
    <row r="1404" spans="6:22" ht="15.75" customHeight="1">
      <c r="F1404" s="47"/>
      <c r="I1404" s="47"/>
      <c r="J1404" s="47"/>
      <c r="L1404" s="384"/>
      <c r="M1404" s="47"/>
      <c r="T1404" s="47"/>
      <c r="U1404" s="47"/>
      <c r="V1404" s="47"/>
    </row>
    <row r="1405" spans="6:22" ht="15.75" customHeight="1">
      <c r="F1405" s="47"/>
      <c r="I1405" s="47"/>
      <c r="J1405" s="47"/>
      <c r="L1405" s="384"/>
      <c r="M1405" s="47"/>
      <c r="T1405" s="47"/>
      <c r="U1405" s="47"/>
      <c r="V1405" s="47"/>
    </row>
    <row r="1406" spans="6:22" ht="15.75" customHeight="1">
      <c r="F1406" s="47"/>
      <c r="I1406" s="47"/>
      <c r="J1406" s="47"/>
      <c r="L1406" s="384"/>
      <c r="M1406" s="47"/>
      <c r="T1406" s="47"/>
      <c r="U1406" s="47"/>
      <c r="V1406" s="47"/>
    </row>
    <row r="1407" spans="6:22" ht="15.75" customHeight="1">
      <c r="F1407" s="47"/>
      <c r="I1407" s="47"/>
      <c r="J1407" s="47"/>
      <c r="L1407" s="384"/>
      <c r="M1407" s="47"/>
      <c r="T1407" s="47"/>
      <c r="U1407" s="47"/>
      <c r="V1407" s="47"/>
    </row>
    <row r="1408" spans="6:22" ht="15.75" customHeight="1">
      <c r="F1408" s="47"/>
      <c r="I1408" s="47"/>
      <c r="J1408" s="47"/>
      <c r="L1408" s="384"/>
      <c r="M1408" s="47"/>
      <c r="T1408" s="47"/>
      <c r="U1408" s="47"/>
      <c r="V1408" s="47"/>
    </row>
    <row r="1409" spans="6:22" ht="15.75" customHeight="1">
      <c r="F1409" s="47"/>
      <c r="I1409" s="47"/>
      <c r="J1409" s="47"/>
      <c r="L1409" s="384"/>
      <c r="M1409" s="47"/>
      <c r="T1409" s="47"/>
      <c r="U1409" s="47"/>
      <c r="V1409" s="47"/>
    </row>
    <row r="1410" spans="6:22" ht="15.75" customHeight="1">
      <c r="F1410" s="47"/>
      <c r="I1410" s="47"/>
      <c r="J1410" s="47"/>
      <c r="L1410" s="384"/>
      <c r="M1410" s="47"/>
      <c r="T1410" s="47"/>
      <c r="U1410" s="47"/>
      <c r="V1410" s="47"/>
    </row>
    <row r="1411" spans="6:22" ht="15.75" customHeight="1">
      <c r="F1411" s="47"/>
      <c r="I1411" s="47"/>
      <c r="J1411" s="47"/>
      <c r="L1411" s="384"/>
      <c r="M1411" s="47"/>
      <c r="T1411" s="47"/>
      <c r="U1411" s="47"/>
      <c r="V1411" s="47"/>
    </row>
    <row r="1412" spans="6:22" ht="15.75" customHeight="1">
      <c r="F1412" s="47"/>
      <c r="I1412" s="47"/>
      <c r="J1412" s="47"/>
      <c r="L1412" s="384"/>
      <c r="M1412" s="47"/>
      <c r="T1412" s="47"/>
      <c r="U1412" s="47"/>
      <c r="V1412" s="47"/>
    </row>
    <row r="1413" spans="6:22" ht="15.75" customHeight="1">
      <c r="F1413" s="47"/>
      <c r="I1413" s="47"/>
      <c r="J1413" s="47"/>
      <c r="L1413" s="384"/>
      <c r="M1413" s="47"/>
      <c r="T1413" s="47"/>
      <c r="U1413" s="47"/>
      <c r="V1413" s="47"/>
    </row>
    <row r="1414" spans="6:22" ht="15.75" customHeight="1">
      <c r="F1414" s="47"/>
      <c r="I1414" s="47"/>
      <c r="J1414" s="47"/>
      <c r="L1414" s="384"/>
      <c r="M1414" s="47"/>
      <c r="T1414" s="47"/>
      <c r="U1414" s="47"/>
      <c r="V1414" s="47"/>
    </row>
    <row r="1415" spans="6:22" ht="15.75" customHeight="1">
      <c r="F1415" s="47"/>
      <c r="I1415" s="47"/>
      <c r="J1415" s="47"/>
      <c r="L1415" s="384"/>
      <c r="M1415" s="47"/>
      <c r="T1415" s="47"/>
      <c r="U1415" s="47"/>
      <c r="V1415" s="47"/>
    </row>
    <row r="1416" spans="6:22" ht="15.75" customHeight="1">
      <c r="F1416" s="47"/>
      <c r="I1416" s="47"/>
      <c r="J1416" s="47"/>
      <c r="L1416" s="384"/>
      <c r="M1416" s="47"/>
      <c r="T1416" s="47"/>
      <c r="U1416" s="47"/>
      <c r="V1416" s="47"/>
    </row>
    <row r="1417" spans="6:22" ht="15.75" customHeight="1">
      <c r="F1417" s="47"/>
      <c r="I1417" s="47"/>
      <c r="J1417" s="47"/>
      <c r="L1417" s="384"/>
      <c r="M1417" s="47"/>
      <c r="T1417" s="47"/>
      <c r="U1417" s="47"/>
      <c r="V1417" s="47"/>
    </row>
    <row r="1418" spans="6:22" ht="15.75" customHeight="1">
      <c r="F1418" s="47"/>
      <c r="I1418" s="47"/>
      <c r="J1418" s="47"/>
      <c r="L1418" s="384"/>
      <c r="M1418" s="47"/>
      <c r="T1418" s="47"/>
      <c r="U1418" s="47"/>
      <c r="V1418" s="47"/>
    </row>
    <row r="1419" spans="6:22" ht="15.75" customHeight="1">
      <c r="F1419" s="47"/>
      <c r="I1419" s="47"/>
      <c r="J1419" s="47"/>
      <c r="L1419" s="384"/>
      <c r="M1419" s="47"/>
      <c r="T1419" s="47"/>
      <c r="U1419" s="47"/>
      <c r="V1419" s="47"/>
    </row>
    <row r="1420" spans="6:22" ht="15.75" customHeight="1">
      <c r="F1420" s="47"/>
      <c r="I1420" s="47"/>
      <c r="J1420" s="47"/>
      <c r="L1420" s="384"/>
      <c r="M1420" s="47"/>
      <c r="T1420" s="47"/>
      <c r="U1420" s="47"/>
      <c r="V1420" s="47"/>
    </row>
    <row r="1421" spans="6:22" ht="15.75" customHeight="1">
      <c r="F1421" s="47"/>
      <c r="I1421" s="47"/>
      <c r="J1421" s="47"/>
      <c r="L1421" s="384"/>
      <c r="M1421" s="47"/>
      <c r="T1421" s="47"/>
      <c r="U1421" s="47"/>
      <c r="V1421" s="47"/>
    </row>
    <row r="1422" spans="6:22" ht="15.75" customHeight="1">
      <c r="F1422" s="47"/>
      <c r="I1422" s="47"/>
      <c r="J1422" s="47"/>
      <c r="L1422" s="384"/>
      <c r="M1422" s="47"/>
      <c r="T1422" s="47"/>
      <c r="U1422" s="47"/>
      <c r="V1422" s="47"/>
    </row>
    <row r="1423" spans="6:22" ht="15.75" customHeight="1">
      <c r="F1423" s="47"/>
      <c r="I1423" s="47"/>
      <c r="J1423" s="47"/>
      <c r="L1423" s="384"/>
      <c r="M1423" s="47"/>
      <c r="T1423" s="47"/>
      <c r="U1423" s="47"/>
      <c r="V1423" s="47"/>
    </row>
    <row r="1424" spans="6:22" ht="15.75" customHeight="1">
      <c r="F1424" s="47"/>
      <c r="I1424" s="47"/>
      <c r="J1424" s="47"/>
      <c r="L1424" s="384"/>
      <c r="M1424" s="47"/>
      <c r="T1424" s="47"/>
      <c r="U1424" s="47"/>
      <c r="V1424" s="47"/>
    </row>
    <row r="1425" spans="6:22" ht="15.75" customHeight="1">
      <c r="F1425" s="47"/>
      <c r="I1425" s="47"/>
      <c r="J1425" s="47"/>
      <c r="L1425" s="384"/>
      <c r="M1425" s="47"/>
      <c r="T1425" s="47"/>
      <c r="U1425" s="47"/>
      <c r="V1425" s="47"/>
    </row>
    <row r="1426" spans="6:22" ht="15.75" customHeight="1">
      <c r="F1426" s="47"/>
      <c r="I1426" s="47"/>
      <c r="J1426" s="47"/>
      <c r="L1426" s="384"/>
      <c r="M1426" s="47"/>
      <c r="T1426" s="47"/>
      <c r="U1426" s="47"/>
      <c r="V1426" s="47"/>
    </row>
    <row r="1427" spans="6:22" ht="15.75" customHeight="1">
      <c r="F1427" s="47"/>
      <c r="I1427" s="47"/>
      <c r="J1427" s="47"/>
      <c r="L1427" s="384"/>
      <c r="M1427" s="47"/>
      <c r="T1427" s="47"/>
      <c r="U1427" s="47"/>
      <c r="V1427" s="47"/>
    </row>
    <row r="1428" spans="6:22" ht="15.75" customHeight="1">
      <c r="F1428" s="47"/>
      <c r="I1428" s="47"/>
      <c r="J1428" s="47"/>
      <c r="L1428" s="384"/>
      <c r="M1428" s="47"/>
      <c r="T1428" s="47"/>
      <c r="U1428" s="47"/>
      <c r="V1428" s="47"/>
    </row>
    <row r="1429" spans="6:22" ht="15.75" customHeight="1">
      <c r="F1429" s="47"/>
      <c r="I1429" s="47"/>
      <c r="J1429" s="47"/>
      <c r="L1429" s="384"/>
      <c r="M1429" s="47"/>
      <c r="T1429" s="47"/>
      <c r="U1429" s="47"/>
      <c r="V1429" s="47"/>
    </row>
    <row r="1430" spans="6:22" ht="15.75" customHeight="1">
      <c r="F1430" s="47"/>
      <c r="I1430" s="47"/>
      <c r="J1430" s="47"/>
      <c r="L1430" s="384"/>
      <c r="M1430" s="47"/>
      <c r="T1430" s="47"/>
      <c r="U1430" s="47"/>
      <c r="V1430" s="47"/>
    </row>
    <row r="1431" spans="6:22" ht="15.75" customHeight="1">
      <c r="F1431" s="47"/>
      <c r="I1431" s="47"/>
      <c r="J1431" s="47"/>
      <c r="L1431" s="384"/>
      <c r="M1431" s="47"/>
      <c r="T1431" s="47"/>
      <c r="U1431" s="47"/>
      <c r="V1431" s="47"/>
    </row>
    <row r="1432" spans="6:22" ht="15.75" customHeight="1">
      <c r="F1432" s="47"/>
      <c r="I1432" s="47"/>
      <c r="J1432" s="47"/>
      <c r="L1432" s="384"/>
      <c r="M1432" s="47"/>
      <c r="T1432" s="47"/>
      <c r="U1432" s="47"/>
      <c r="V1432" s="47"/>
    </row>
    <row r="1433" spans="6:22" ht="15.75" customHeight="1">
      <c r="F1433" s="47"/>
      <c r="I1433" s="47"/>
      <c r="J1433" s="47"/>
      <c r="L1433" s="384"/>
      <c r="M1433" s="47"/>
      <c r="T1433" s="47"/>
      <c r="U1433" s="47"/>
      <c r="V1433" s="47"/>
    </row>
    <row r="1434" spans="6:22" ht="15.75" customHeight="1">
      <c r="F1434" s="47"/>
      <c r="I1434" s="47"/>
      <c r="J1434" s="47"/>
      <c r="L1434" s="384"/>
      <c r="M1434" s="47"/>
      <c r="T1434" s="47"/>
      <c r="U1434" s="47"/>
      <c r="V1434" s="47"/>
    </row>
    <row r="1435" spans="6:22" ht="15.75" customHeight="1">
      <c r="F1435" s="47"/>
      <c r="I1435" s="47"/>
      <c r="J1435" s="47"/>
      <c r="L1435" s="384"/>
      <c r="M1435" s="47"/>
      <c r="T1435" s="47"/>
      <c r="U1435" s="47"/>
      <c r="V1435" s="47"/>
    </row>
    <row r="1436" spans="6:22" ht="15.75" customHeight="1">
      <c r="F1436" s="47"/>
      <c r="I1436" s="47"/>
      <c r="J1436" s="47"/>
      <c r="L1436" s="384"/>
      <c r="M1436" s="47"/>
      <c r="T1436" s="47"/>
      <c r="U1436" s="47"/>
      <c r="V1436" s="47"/>
    </row>
    <row r="1437" spans="6:22" ht="15.75" customHeight="1">
      <c r="F1437" s="47"/>
      <c r="I1437" s="47"/>
      <c r="J1437" s="47"/>
      <c r="L1437" s="384"/>
      <c r="M1437" s="47"/>
      <c r="T1437" s="47"/>
      <c r="U1437" s="47"/>
      <c r="V1437" s="47"/>
    </row>
    <row r="1438" spans="6:22" ht="15.75" customHeight="1">
      <c r="F1438" s="47"/>
      <c r="I1438" s="47"/>
      <c r="J1438" s="47"/>
      <c r="L1438" s="384"/>
      <c r="M1438" s="47"/>
      <c r="T1438" s="47"/>
      <c r="U1438" s="47"/>
      <c r="V1438" s="47"/>
    </row>
    <row r="1439" spans="6:22" ht="15.75" customHeight="1">
      <c r="F1439" s="47"/>
      <c r="I1439" s="47"/>
      <c r="J1439" s="47"/>
      <c r="L1439" s="384"/>
      <c r="M1439" s="47"/>
      <c r="T1439" s="47"/>
      <c r="U1439" s="47"/>
      <c r="V1439" s="47"/>
    </row>
    <row r="1440" spans="6:22" ht="15.75" customHeight="1">
      <c r="F1440" s="47"/>
      <c r="I1440" s="47"/>
      <c r="J1440" s="47"/>
      <c r="L1440" s="384"/>
      <c r="M1440" s="47"/>
      <c r="T1440" s="47"/>
      <c r="U1440" s="47"/>
      <c r="V1440" s="47"/>
    </row>
    <row r="1441" spans="6:22" ht="15.75" customHeight="1">
      <c r="F1441" s="47"/>
      <c r="I1441" s="47"/>
      <c r="J1441" s="47"/>
      <c r="L1441" s="384"/>
      <c r="M1441" s="47"/>
      <c r="T1441" s="47"/>
      <c r="U1441" s="47"/>
      <c r="V1441" s="47"/>
    </row>
    <row r="1442" spans="6:22" ht="15.75" customHeight="1">
      <c r="F1442" s="47"/>
      <c r="I1442" s="47"/>
      <c r="J1442" s="47"/>
      <c r="L1442" s="384"/>
      <c r="M1442" s="47"/>
      <c r="T1442" s="47"/>
      <c r="U1442" s="47"/>
      <c r="V1442" s="47"/>
    </row>
    <row r="1443" spans="6:22" ht="15.75" customHeight="1">
      <c r="F1443" s="47"/>
      <c r="I1443" s="47"/>
      <c r="J1443" s="47"/>
      <c r="L1443" s="384"/>
      <c r="M1443" s="47"/>
      <c r="T1443" s="47"/>
      <c r="U1443" s="47"/>
      <c r="V1443" s="47"/>
    </row>
    <row r="1444" spans="6:22" ht="15.75" customHeight="1">
      <c r="F1444" s="47"/>
      <c r="I1444" s="47"/>
      <c r="J1444" s="47"/>
      <c r="L1444" s="384"/>
      <c r="M1444" s="47"/>
      <c r="T1444" s="47"/>
      <c r="U1444" s="47"/>
      <c r="V1444" s="47"/>
    </row>
    <row r="1445" spans="6:22" ht="15.75" customHeight="1">
      <c r="F1445" s="47"/>
      <c r="I1445" s="47"/>
      <c r="J1445" s="47"/>
      <c r="L1445" s="384"/>
      <c r="M1445" s="47"/>
      <c r="T1445" s="47"/>
      <c r="U1445" s="47"/>
      <c r="V1445" s="47"/>
    </row>
    <row r="1446" spans="6:22" ht="15.75" customHeight="1">
      <c r="F1446" s="47"/>
      <c r="I1446" s="47"/>
      <c r="J1446" s="47"/>
      <c r="L1446" s="384"/>
      <c r="M1446" s="47"/>
      <c r="T1446" s="47"/>
      <c r="U1446" s="47"/>
      <c r="V1446" s="47"/>
    </row>
    <row r="1447" spans="6:22" ht="15.75" customHeight="1">
      <c r="F1447" s="47"/>
      <c r="I1447" s="47"/>
      <c r="J1447" s="47"/>
      <c r="L1447" s="384"/>
      <c r="M1447" s="47"/>
      <c r="T1447" s="47"/>
      <c r="U1447" s="47"/>
      <c r="V1447" s="47"/>
    </row>
    <row r="1448" spans="6:22" ht="15.75" customHeight="1">
      <c r="F1448" s="47"/>
      <c r="I1448" s="47"/>
      <c r="J1448" s="47"/>
      <c r="L1448" s="384"/>
      <c r="M1448" s="47"/>
      <c r="T1448" s="47"/>
      <c r="U1448" s="47"/>
      <c r="V1448" s="47"/>
    </row>
    <row r="1449" spans="6:22" ht="15.75" customHeight="1">
      <c r="F1449" s="47"/>
      <c r="I1449" s="47"/>
      <c r="J1449" s="47"/>
      <c r="L1449" s="384"/>
      <c r="M1449" s="47"/>
      <c r="T1449" s="47"/>
      <c r="U1449" s="47"/>
      <c r="V1449" s="47"/>
    </row>
    <row r="1450" spans="6:22" ht="15.75" customHeight="1">
      <c r="F1450" s="47"/>
      <c r="I1450" s="47"/>
      <c r="J1450" s="47"/>
      <c r="L1450" s="384"/>
      <c r="M1450" s="47"/>
      <c r="T1450" s="47"/>
      <c r="U1450" s="47"/>
      <c r="V1450" s="47"/>
    </row>
    <row r="1451" spans="6:22" ht="15.75" customHeight="1">
      <c r="F1451" s="47"/>
      <c r="I1451" s="47"/>
      <c r="J1451" s="47"/>
      <c r="L1451" s="384"/>
      <c r="M1451" s="47"/>
      <c r="T1451" s="47"/>
      <c r="U1451" s="47"/>
      <c r="V1451" s="47"/>
    </row>
    <row r="1452" spans="6:22" ht="15.75" customHeight="1">
      <c r="F1452" s="47"/>
      <c r="I1452" s="47"/>
      <c r="J1452" s="47"/>
      <c r="L1452" s="384"/>
      <c r="M1452" s="47"/>
      <c r="T1452" s="47"/>
      <c r="U1452" s="47"/>
      <c r="V1452" s="47"/>
    </row>
    <row r="1453" spans="6:22" ht="15.75" customHeight="1">
      <c r="F1453" s="47"/>
      <c r="I1453" s="47"/>
      <c r="J1453" s="47"/>
      <c r="L1453" s="384"/>
      <c r="M1453" s="47"/>
      <c r="T1453" s="47"/>
      <c r="U1453" s="47"/>
      <c r="V1453" s="47"/>
    </row>
    <row r="1454" spans="6:22" ht="15.75" customHeight="1">
      <c r="F1454" s="47"/>
      <c r="I1454" s="47"/>
      <c r="J1454" s="47"/>
      <c r="L1454" s="384"/>
      <c r="M1454" s="47"/>
      <c r="T1454" s="47"/>
      <c r="U1454" s="47"/>
      <c r="V1454" s="47"/>
    </row>
    <row r="1455" spans="6:22" ht="15.75" customHeight="1">
      <c r="F1455" s="47"/>
      <c r="I1455" s="47"/>
      <c r="J1455" s="47"/>
      <c r="L1455" s="384"/>
      <c r="M1455" s="47"/>
      <c r="T1455" s="47"/>
      <c r="U1455" s="47"/>
      <c r="V1455" s="47"/>
    </row>
    <row r="1456" spans="6:22" ht="15.75" customHeight="1">
      <c r="F1456" s="47"/>
      <c r="I1456" s="47"/>
      <c r="J1456" s="47"/>
      <c r="L1456" s="384"/>
      <c r="M1456" s="47"/>
      <c r="T1456" s="47"/>
      <c r="U1456" s="47"/>
      <c r="V1456" s="47"/>
    </row>
    <row r="1457" spans="6:22" ht="15.75" customHeight="1">
      <c r="F1457" s="47"/>
      <c r="I1457" s="47"/>
      <c r="J1457" s="47"/>
      <c r="L1457" s="384"/>
      <c r="M1457" s="47"/>
      <c r="T1457" s="47"/>
      <c r="U1457" s="47"/>
      <c r="V1457" s="47"/>
    </row>
    <row r="1458" spans="6:22" ht="15.75" customHeight="1">
      <c r="F1458" s="47"/>
      <c r="I1458" s="47"/>
      <c r="J1458" s="47"/>
      <c r="L1458" s="384"/>
      <c r="M1458" s="47"/>
      <c r="T1458" s="47"/>
      <c r="U1458" s="47"/>
      <c r="V1458" s="47"/>
    </row>
    <row r="1459" spans="6:22" ht="15.75" customHeight="1">
      <c r="F1459" s="47"/>
      <c r="I1459" s="47"/>
      <c r="J1459" s="47"/>
      <c r="L1459" s="384"/>
      <c r="M1459" s="47"/>
      <c r="T1459" s="47"/>
      <c r="U1459" s="47"/>
      <c r="V1459" s="47"/>
    </row>
    <row r="1460" spans="6:22" ht="15.75" customHeight="1">
      <c r="F1460" s="47"/>
      <c r="I1460" s="47"/>
      <c r="J1460" s="47"/>
      <c r="L1460" s="384"/>
      <c r="M1460" s="47"/>
      <c r="T1460" s="47"/>
      <c r="U1460" s="47"/>
      <c r="V1460" s="47"/>
    </row>
    <row r="1461" spans="6:22" ht="15.75" customHeight="1">
      <c r="F1461" s="47"/>
      <c r="I1461" s="47"/>
      <c r="J1461" s="47"/>
      <c r="L1461" s="384"/>
      <c r="M1461" s="47"/>
      <c r="T1461" s="47"/>
      <c r="U1461" s="47"/>
      <c r="V1461" s="47"/>
    </row>
    <row r="1462" spans="6:22" ht="15.75" customHeight="1">
      <c r="F1462" s="47"/>
      <c r="I1462" s="47"/>
      <c r="J1462" s="47"/>
      <c r="L1462" s="384"/>
      <c r="M1462" s="47"/>
      <c r="T1462" s="47"/>
      <c r="U1462" s="47"/>
      <c r="V1462" s="47"/>
    </row>
    <row r="1463" spans="6:22" ht="15.75" customHeight="1">
      <c r="F1463" s="47"/>
      <c r="I1463" s="47"/>
      <c r="J1463" s="47"/>
      <c r="L1463" s="384"/>
      <c r="M1463" s="47"/>
      <c r="T1463" s="47"/>
      <c r="U1463" s="47"/>
      <c r="V1463" s="47"/>
    </row>
    <row r="1464" spans="6:22" ht="15.75" customHeight="1">
      <c r="F1464" s="47"/>
      <c r="I1464" s="47"/>
      <c r="J1464" s="47"/>
      <c r="L1464" s="384"/>
      <c r="M1464" s="47"/>
      <c r="T1464" s="47"/>
      <c r="U1464" s="47"/>
      <c r="V1464" s="47"/>
    </row>
    <row r="1465" spans="6:22" ht="15.75" customHeight="1">
      <c r="F1465" s="47"/>
      <c r="I1465" s="47"/>
      <c r="J1465" s="47"/>
      <c r="L1465" s="384"/>
      <c r="M1465" s="47"/>
      <c r="T1465" s="47"/>
      <c r="U1465" s="47"/>
      <c r="V1465" s="47"/>
    </row>
    <row r="1466" spans="6:22" ht="15.75" customHeight="1">
      <c r="F1466" s="47"/>
      <c r="I1466" s="47"/>
      <c r="J1466" s="47"/>
      <c r="L1466" s="384"/>
      <c r="M1466" s="47"/>
      <c r="T1466" s="47"/>
      <c r="U1466" s="47"/>
      <c r="V1466" s="47"/>
    </row>
    <row r="1467" spans="6:22" ht="15.75" customHeight="1">
      <c r="F1467" s="47"/>
      <c r="I1467" s="47"/>
      <c r="J1467" s="47"/>
      <c r="L1467" s="384"/>
      <c r="M1467" s="47"/>
      <c r="T1467" s="47"/>
      <c r="U1467" s="47"/>
      <c r="V1467" s="47"/>
    </row>
    <row r="1468" spans="6:22" ht="15.75" customHeight="1">
      <c r="F1468" s="47"/>
      <c r="I1468" s="47"/>
      <c r="J1468" s="47"/>
      <c r="L1468" s="384"/>
      <c r="M1468" s="47"/>
      <c r="T1468" s="47"/>
      <c r="U1468" s="47"/>
      <c r="V1468" s="47"/>
    </row>
    <row r="1469" spans="6:22" ht="15.75" customHeight="1">
      <c r="F1469" s="47"/>
      <c r="I1469" s="47"/>
      <c r="J1469" s="47"/>
      <c r="L1469" s="384"/>
      <c r="M1469" s="47"/>
      <c r="T1469" s="47"/>
      <c r="U1469" s="47"/>
      <c r="V1469" s="47"/>
    </row>
    <row r="1470" spans="6:22" ht="15.75" customHeight="1">
      <c r="F1470" s="47"/>
      <c r="I1470" s="47"/>
      <c r="J1470" s="47"/>
      <c r="L1470" s="384"/>
      <c r="M1470" s="47"/>
      <c r="T1470" s="47"/>
      <c r="U1470" s="47"/>
      <c r="V1470" s="47"/>
    </row>
    <row r="1471" spans="6:22" ht="15.75" customHeight="1">
      <c r="F1471" s="47"/>
      <c r="I1471" s="47"/>
      <c r="J1471" s="47"/>
      <c r="L1471" s="384"/>
      <c r="M1471" s="47"/>
      <c r="T1471" s="47"/>
      <c r="U1471" s="47"/>
      <c r="V1471" s="47"/>
    </row>
    <row r="1472" spans="6:22" ht="15.75" customHeight="1">
      <c r="F1472" s="47"/>
      <c r="I1472" s="47"/>
      <c r="J1472" s="47"/>
      <c r="L1472" s="384"/>
      <c r="M1472" s="47"/>
      <c r="T1472" s="47"/>
      <c r="U1472" s="47"/>
      <c r="V1472" s="47"/>
    </row>
    <row r="1473" spans="6:22" ht="15.75" customHeight="1">
      <c r="F1473" s="47"/>
      <c r="I1473" s="47"/>
      <c r="J1473" s="47"/>
      <c r="L1473" s="384"/>
      <c r="M1473" s="47"/>
      <c r="T1473" s="47"/>
      <c r="U1473" s="47"/>
      <c r="V1473" s="47"/>
    </row>
    <row r="1474" spans="6:22" ht="15.75" customHeight="1">
      <c r="F1474" s="47"/>
      <c r="I1474" s="47"/>
      <c r="J1474" s="47"/>
      <c r="L1474" s="384"/>
      <c r="M1474" s="47"/>
      <c r="T1474" s="47"/>
      <c r="U1474" s="47"/>
      <c r="V1474" s="47"/>
    </row>
    <row r="1475" spans="6:22" ht="15.75" customHeight="1">
      <c r="F1475" s="47"/>
      <c r="I1475" s="47"/>
      <c r="J1475" s="47"/>
      <c r="L1475" s="384"/>
      <c r="M1475" s="47"/>
      <c r="T1475" s="47"/>
      <c r="U1475" s="47"/>
      <c r="V1475" s="47"/>
    </row>
    <row r="1476" spans="6:22" ht="15.75" customHeight="1">
      <c r="F1476" s="47"/>
      <c r="I1476" s="47"/>
      <c r="J1476" s="47"/>
      <c r="L1476" s="384"/>
      <c r="M1476" s="47"/>
      <c r="T1476" s="47"/>
      <c r="U1476" s="47"/>
      <c r="V1476" s="47"/>
    </row>
    <row r="1477" spans="6:22" ht="15.75" customHeight="1">
      <c r="F1477" s="47"/>
      <c r="I1477" s="47"/>
      <c r="J1477" s="47"/>
      <c r="L1477" s="384"/>
      <c r="M1477" s="47"/>
      <c r="T1477" s="47"/>
      <c r="U1477" s="47"/>
      <c r="V1477" s="47"/>
    </row>
    <row r="1478" spans="6:22" ht="15.75" customHeight="1">
      <c r="F1478" s="47"/>
      <c r="I1478" s="47"/>
      <c r="J1478" s="47"/>
      <c r="L1478" s="384"/>
      <c r="M1478" s="47"/>
      <c r="T1478" s="47"/>
      <c r="U1478" s="47"/>
      <c r="V1478" s="47"/>
    </row>
    <row r="1479" spans="6:22" ht="15.75" customHeight="1">
      <c r="F1479" s="47"/>
      <c r="I1479" s="47"/>
      <c r="J1479" s="47"/>
      <c r="L1479" s="384"/>
      <c r="M1479" s="47"/>
      <c r="T1479" s="47"/>
      <c r="U1479" s="47"/>
      <c r="V1479" s="47"/>
    </row>
    <row r="1480" spans="6:22" ht="15.75" customHeight="1">
      <c r="F1480" s="47"/>
      <c r="I1480" s="47"/>
      <c r="J1480" s="47"/>
      <c r="L1480" s="384"/>
      <c r="M1480" s="47"/>
      <c r="T1480" s="47"/>
      <c r="U1480" s="47"/>
      <c r="V1480" s="47"/>
    </row>
    <row r="1481" spans="6:22" ht="15.75" customHeight="1">
      <c r="F1481" s="47"/>
      <c r="I1481" s="47"/>
      <c r="J1481" s="47"/>
      <c r="L1481" s="384"/>
      <c r="M1481" s="47"/>
      <c r="T1481" s="47"/>
      <c r="U1481" s="47"/>
      <c r="V1481" s="47"/>
    </row>
    <row r="1482" spans="6:22" ht="15.75" customHeight="1">
      <c r="F1482" s="47"/>
      <c r="I1482" s="47"/>
      <c r="J1482" s="47"/>
      <c r="L1482" s="384"/>
      <c r="M1482" s="47"/>
      <c r="T1482" s="47"/>
      <c r="U1482" s="47"/>
      <c r="V1482" s="47"/>
    </row>
    <row r="1483" spans="6:22" ht="15.75" customHeight="1">
      <c r="F1483" s="47"/>
      <c r="I1483" s="47"/>
      <c r="J1483" s="47"/>
      <c r="L1483" s="384"/>
      <c r="M1483" s="47"/>
      <c r="T1483" s="47"/>
      <c r="U1483" s="47"/>
      <c r="V1483" s="47"/>
    </row>
    <row r="1484" spans="6:22" ht="15.75" customHeight="1">
      <c r="F1484" s="47"/>
      <c r="I1484" s="47"/>
      <c r="J1484" s="47"/>
      <c r="L1484" s="384"/>
      <c r="M1484" s="47"/>
      <c r="T1484" s="47"/>
      <c r="U1484" s="47"/>
      <c r="V1484" s="47"/>
    </row>
    <row r="1485" spans="6:22" ht="15.75" customHeight="1">
      <c r="F1485" s="47"/>
      <c r="I1485" s="47"/>
      <c r="J1485" s="47"/>
      <c r="L1485" s="384"/>
      <c r="M1485" s="47"/>
      <c r="T1485" s="47"/>
      <c r="U1485" s="47"/>
      <c r="V1485" s="47"/>
    </row>
    <row r="1486" spans="6:22" ht="15.75" customHeight="1">
      <c r="F1486" s="47"/>
      <c r="I1486" s="47"/>
      <c r="J1486" s="47"/>
      <c r="L1486" s="384"/>
      <c r="M1486" s="47"/>
      <c r="T1486" s="47"/>
      <c r="U1486" s="47"/>
      <c r="V1486" s="47"/>
    </row>
    <row r="1487" spans="6:22" ht="15.75" customHeight="1">
      <c r="F1487" s="47"/>
      <c r="I1487" s="47"/>
      <c r="J1487" s="47"/>
      <c r="L1487" s="384"/>
      <c r="M1487" s="47"/>
      <c r="T1487" s="47"/>
      <c r="U1487" s="47"/>
      <c r="V1487" s="47"/>
    </row>
    <row r="1488" spans="6:22" ht="15.75" customHeight="1">
      <c r="F1488" s="47"/>
      <c r="I1488" s="47"/>
      <c r="J1488" s="47"/>
      <c r="L1488" s="384"/>
      <c r="M1488" s="47"/>
      <c r="T1488" s="47"/>
      <c r="U1488" s="47"/>
      <c r="V1488" s="47"/>
    </row>
    <row r="1489" spans="6:22" ht="15.75" customHeight="1">
      <c r="F1489" s="47"/>
      <c r="I1489" s="47"/>
      <c r="J1489" s="47"/>
      <c r="L1489" s="384"/>
      <c r="M1489" s="47"/>
      <c r="T1489" s="47"/>
      <c r="U1489" s="47"/>
      <c r="V1489" s="47"/>
    </row>
    <row r="1490" spans="6:22" ht="15.75" customHeight="1">
      <c r="F1490" s="47"/>
      <c r="I1490" s="47"/>
      <c r="J1490" s="47"/>
      <c r="L1490" s="384"/>
      <c r="M1490" s="47"/>
      <c r="T1490" s="47"/>
      <c r="U1490" s="47"/>
      <c r="V1490" s="47"/>
    </row>
    <row r="1491" spans="6:22" ht="15.75" customHeight="1">
      <c r="F1491" s="47"/>
      <c r="I1491" s="47"/>
      <c r="J1491" s="47"/>
      <c r="L1491" s="384"/>
      <c r="M1491" s="47"/>
      <c r="T1491" s="47"/>
      <c r="U1491" s="47"/>
      <c r="V1491" s="47"/>
    </row>
    <row r="1492" spans="6:22" ht="15.75" customHeight="1">
      <c r="F1492" s="47"/>
      <c r="I1492" s="47"/>
      <c r="J1492" s="47"/>
      <c r="L1492" s="384"/>
      <c r="M1492" s="47"/>
      <c r="T1492" s="47"/>
      <c r="U1492" s="47"/>
      <c r="V1492" s="47"/>
    </row>
    <row r="1493" spans="6:22" ht="15.75" customHeight="1">
      <c r="F1493" s="47"/>
      <c r="I1493" s="47"/>
      <c r="J1493" s="47"/>
      <c r="L1493" s="384"/>
      <c r="M1493" s="47"/>
      <c r="T1493" s="47"/>
      <c r="U1493" s="47"/>
      <c r="V1493" s="47"/>
    </row>
    <row r="1494" spans="6:22" ht="15.75" customHeight="1">
      <c r="F1494" s="47"/>
      <c r="I1494" s="47"/>
      <c r="J1494" s="47"/>
      <c r="L1494" s="384"/>
      <c r="M1494" s="47"/>
      <c r="T1494" s="47"/>
      <c r="U1494" s="47"/>
      <c r="V1494" s="47"/>
    </row>
    <row r="1495" spans="6:22" ht="15.75" customHeight="1">
      <c r="F1495" s="47"/>
      <c r="I1495" s="47"/>
      <c r="J1495" s="47"/>
      <c r="L1495" s="384"/>
      <c r="M1495" s="47"/>
      <c r="T1495" s="47"/>
      <c r="U1495" s="47"/>
      <c r="V1495" s="47"/>
    </row>
    <row r="1496" spans="6:22" ht="15.75" customHeight="1">
      <c r="F1496" s="47"/>
      <c r="I1496" s="47"/>
      <c r="J1496" s="47"/>
      <c r="L1496" s="384"/>
      <c r="M1496" s="47"/>
      <c r="T1496" s="47"/>
      <c r="U1496" s="47"/>
      <c r="V1496" s="47"/>
    </row>
    <row r="1497" spans="6:22" ht="15.75" customHeight="1">
      <c r="F1497" s="47"/>
      <c r="I1497" s="47"/>
      <c r="J1497" s="47"/>
      <c r="L1497" s="384"/>
      <c r="M1497" s="47"/>
      <c r="T1497" s="47"/>
      <c r="U1497" s="47"/>
      <c r="V1497" s="47"/>
    </row>
    <row r="1498" spans="6:22" ht="15.75" customHeight="1">
      <c r="F1498" s="47"/>
      <c r="I1498" s="47"/>
      <c r="J1498" s="47"/>
      <c r="L1498" s="384"/>
      <c r="M1498" s="47"/>
      <c r="T1498" s="47"/>
      <c r="U1498" s="47"/>
      <c r="V1498" s="47"/>
    </row>
    <row r="1499" spans="6:22" ht="15.75" customHeight="1">
      <c r="F1499" s="47"/>
      <c r="I1499" s="47"/>
      <c r="J1499" s="47"/>
      <c r="L1499" s="384"/>
      <c r="M1499" s="47"/>
      <c r="T1499" s="47"/>
      <c r="U1499" s="47"/>
      <c r="V1499" s="47"/>
    </row>
    <row r="1500" spans="6:22" ht="15.75" customHeight="1">
      <c r="F1500" s="47"/>
      <c r="I1500" s="47"/>
      <c r="J1500" s="47"/>
      <c r="L1500" s="384"/>
      <c r="M1500" s="47"/>
      <c r="T1500" s="47"/>
      <c r="U1500" s="47"/>
      <c r="V1500" s="47"/>
    </row>
    <row r="1501" spans="6:22" ht="15.75" customHeight="1">
      <c r="F1501" s="47"/>
      <c r="I1501" s="47"/>
      <c r="J1501" s="47"/>
      <c r="L1501" s="384"/>
      <c r="M1501" s="47"/>
      <c r="T1501" s="47"/>
      <c r="U1501" s="47"/>
      <c r="V1501" s="47"/>
    </row>
    <row r="1502" spans="6:22" ht="15.75" customHeight="1">
      <c r="F1502" s="47"/>
      <c r="I1502" s="47"/>
      <c r="J1502" s="47"/>
      <c r="L1502" s="384"/>
      <c r="M1502" s="47"/>
      <c r="T1502" s="47"/>
      <c r="U1502" s="47"/>
      <c r="V1502" s="47"/>
    </row>
    <row r="1503" spans="6:22" ht="15.75" customHeight="1">
      <c r="F1503" s="47"/>
      <c r="I1503" s="47"/>
      <c r="J1503" s="47"/>
      <c r="L1503" s="384"/>
      <c r="M1503" s="47"/>
      <c r="T1503" s="47"/>
      <c r="U1503" s="47"/>
      <c r="V1503" s="47"/>
    </row>
    <row r="1504" spans="6:22" ht="15.75" customHeight="1">
      <c r="F1504" s="47"/>
      <c r="I1504" s="47"/>
      <c r="J1504" s="47"/>
      <c r="L1504" s="384"/>
      <c r="M1504" s="47"/>
      <c r="T1504" s="47"/>
      <c r="U1504" s="47"/>
      <c r="V1504" s="47"/>
    </row>
    <row r="1505" spans="6:22" ht="15.75" customHeight="1">
      <c r="F1505" s="47"/>
      <c r="I1505" s="47"/>
      <c r="J1505" s="47"/>
      <c r="L1505" s="384"/>
      <c r="M1505" s="47"/>
      <c r="T1505" s="47"/>
      <c r="U1505" s="47"/>
      <c r="V1505" s="47"/>
    </row>
    <row r="1506" spans="6:22" ht="15.75" customHeight="1">
      <c r="F1506" s="47"/>
      <c r="I1506" s="47"/>
      <c r="J1506" s="47"/>
      <c r="L1506" s="384"/>
      <c r="M1506" s="47"/>
      <c r="T1506" s="47"/>
      <c r="U1506" s="47"/>
      <c r="V1506" s="47"/>
    </row>
    <row r="1507" spans="6:22" ht="15.75" customHeight="1">
      <c r="F1507" s="47"/>
      <c r="I1507" s="47"/>
      <c r="J1507" s="47"/>
      <c r="L1507" s="384"/>
      <c r="M1507" s="47"/>
      <c r="T1507" s="47"/>
      <c r="U1507" s="47"/>
      <c r="V1507" s="47"/>
    </row>
    <row r="1508" spans="6:22" ht="15.75" customHeight="1">
      <c r="F1508" s="47"/>
      <c r="I1508" s="47"/>
      <c r="J1508" s="47"/>
      <c r="L1508" s="384"/>
      <c r="M1508" s="47"/>
      <c r="T1508" s="47"/>
      <c r="U1508" s="47"/>
      <c r="V1508" s="47"/>
    </row>
    <row r="1509" spans="6:22" ht="15.75" customHeight="1">
      <c r="F1509" s="47"/>
      <c r="I1509" s="47"/>
      <c r="J1509" s="47"/>
      <c r="L1509" s="384"/>
      <c r="M1509" s="47"/>
      <c r="T1509" s="47"/>
      <c r="U1509" s="47"/>
      <c r="V1509" s="47"/>
    </row>
    <row r="1510" spans="6:22" ht="15.75" customHeight="1">
      <c r="F1510" s="47"/>
      <c r="I1510" s="47"/>
      <c r="J1510" s="47"/>
      <c r="L1510" s="384"/>
      <c r="M1510" s="47"/>
      <c r="T1510" s="47"/>
      <c r="U1510" s="47"/>
      <c r="V1510" s="47"/>
    </row>
    <row r="1511" spans="6:22" ht="15.75" customHeight="1">
      <c r="F1511" s="47"/>
      <c r="I1511" s="47"/>
      <c r="J1511" s="47"/>
      <c r="L1511" s="384"/>
      <c r="M1511" s="47"/>
      <c r="T1511" s="47"/>
      <c r="U1511" s="47"/>
      <c r="V1511" s="47"/>
    </row>
    <row r="1512" spans="6:22" ht="15.75" customHeight="1">
      <c r="F1512" s="47"/>
      <c r="I1512" s="47"/>
      <c r="J1512" s="47"/>
      <c r="L1512" s="384"/>
      <c r="M1512" s="47"/>
      <c r="T1512" s="47"/>
      <c r="U1512" s="47"/>
      <c r="V1512" s="47"/>
    </row>
    <row r="1513" spans="6:22" ht="15.75" customHeight="1">
      <c r="F1513" s="47"/>
      <c r="I1513" s="47"/>
      <c r="J1513" s="47"/>
      <c r="L1513" s="384"/>
      <c r="M1513" s="47"/>
      <c r="T1513" s="47"/>
      <c r="U1513" s="47"/>
      <c r="V1513" s="47"/>
    </row>
    <row r="1514" spans="6:22" ht="15.75" customHeight="1">
      <c r="F1514" s="47"/>
      <c r="I1514" s="47"/>
      <c r="J1514" s="47"/>
      <c r="L1514" s="384"/>
      <c r="M1514" s="47"/>
      <c r="T1514" s="47"/>
      <c r="U1514" s="47"/>
      <c r="V1514" s="47"/>
    </row>
    <row r="1515" spans="6:22" ht="15.75" customHeight="1">
      <c r="F1515" s="47"/>
      <c r="I1515" s="47"/>
      <c r="J1515" s="47"/>
      <c r="L1515" s="384"/>
      <c r="M1515" s="47"/>
      <c r="T1515" s="47"/>
      <c r="U1515" s="47"/>
      <c r="V1515" s="47"/>
    </row>
    <row r="1516" spans="6:22" ht="15.75" customHeight="1">
      <c r="F1516" s="47"/>
      <c r="I1516" s="47"/>
      <c r="J1516" s="47"/>
      <c r="L1516" s="384"/>
      <c r="M1516" s="47"/>
      <c r="T1516" s="47"/>
      <c r="U1516" s="47"/>
      <c r="V1516" s="47"/>
    </row>
    <row r="1517" spans="6:22" ht="15.75" customHeight="1">
      <c r="F1517" s="47"/>
      <c r="I1517" s="47"/>
      <c r="J1517" s="47"/>
      <c r="L1517" s="384"/>
      <c r="M1517" s="47"/>
      <c r="T1517" s="47"/>
      <c r="U1517" s="47"/>
      <c r="V1517" s="47"/>
    </row>
    <row r="1518" spans="6:22" ht="15.75" customHeight="1">
      <c r="F1518" s="47"/>
      <c r="I1518" s="47"/>
      <c r="J1518" s="47"/>
      <c r="L1518" s="384"/>
      <c r="M1518" s="47"/>
      <c r="T1518" s="47"/>
      <c r="U1518" s="47"/>
      <c r="V1518" s="47"/>
    </row>
    <row r="1519" spans="6:22" ht="15.75" customHeight="1">
      <c r="F1519" s="47"/>
      <c r="I1519" s="47"/>
      <c r="J1519" s="47"/>
      <c r="L1519" s="384"/>
      <c r="M1519" s="47"/>
      <c r="T1519" s="47"/>
      <c r="U1519" s="47"/>
      <c r="V1519" s="47"/>
    </row>
    <row r="1520" spans="6:22" ht="15.75" customHeight="1">
      <c r="F1520" s="47"/>
      <c r="I1520" s="47"/>
      <c r="J1520" s="47"/>
      <c r="L1520" s="384"/>
      <c r="M1520" s="47"/>
      <c r="T1520" s="47"/>
      <c r="U1520" s="47"/>
      <c r="V1520" s="47"/>
    </row>
    <row r="1521" spans="6:22" ht="15.75" customHeight="1">
      <c r="F1521" s="47"/>
      <c r="I1521" s="47"/>
      <c r="J1521" s="47"/>
      <c r="L1521" s="384"/>
      <c r="M1521" s="47"/>
      <c r="T1521" s="47"/>
      <c r="U1521" s="47"/>
      <c r="V1521" s="47"/>
    </row>
    <row r="1522" spans="6:22" ht="15.75" customHeight="1">
      <c r="F1522" s="47"/>
      <c r="I1522" s="47"/>
      <c r="J1522" s="47"/>
      <c r="L1522" s="384"/>
      <c r="M1522" s="47"/>
      <c r="T1522" s="47"/>
      <c r="U1522" s="47"/>
      <c r="V1522" s="47"/>
    </row>
    <row r="1523" spans="6:22" ht="15.75" customHeight="1">
      <c r="F1523" s="47"/>
      <c r="I1523" s="47"/>
      <c r="J1523" s="47"/>
      <c r="L1523" s="384"/>
      <c r="M1523" s="47"/>
      <c r="T1523" s="47"/>
      <c r="U1523" s="47"/>
      <c r="V1523" s="47"/>
    </row>
    <row r="1524" spans="6:22" ht="15.75" customHeight="1">
      <c r="F1524" s="47"/>
      <c r="I1524" s="47"/>
      <c r="J1524" s="47"/>
      <c r="L1524" s="384"/>
      <c r="M1524" s="47"/>
      <c r="T1524" s="47"/>
      <c r="U1524" s="47"/>
      <c r="V1524" s="47"/>
    </row>
    <row r="1525" spans="6:22" ht="15.75" customHeight="1">
      <c r="F1525" s="47"/>
      <c r="I1525" s="47"/>
      <c r="J1525" s="47"/>
      <c r="L1525" s="384"/>
      <c r="M1525" s="47"/>
      <c r="T1525" s="47"/>
      <c r="U1525" s="47"/>
      <c r="V1525" s="47"/>
    </row>
    <row r="1526" spans="6:22" ht="15.75" customHeight="1">
      <c r="F1526" s="47"/>
      <c r="I1526" s="47"/>
      <c r="J1526" s="47"/>
      <c r="L1526" s="384"/>
      <c r="M1526" s="47"/>
      <c r="T1526" s="47"/>
      <c r="U1526" s="47"/>
      <c r="V1526" s="47"/>
    </row>
    <row r="1527" spans="6:22" ht="15.75" customHeight="1">
      <c r="F1527" s="47"/>
      <c r="I1527" s="47"/>
      <c r="J1527" s="47"/>
      <c r="L1527" s="384"/>
      <c r="M1527" s="47"/>
      <c r="T1527" s="47"/>
      <c r="U1527" s="47"/>
      <c r="V1527" s="47"/>
    </row>
    <row r="1528" spans="6:22" ht="15.75" customHeight="1">
      <c r="F1528" s="47"/>
      <c r="I1528" s="47"/>
      <c r="J1528" s="47"/>
      <c r="L1528" s="384"/>
      <c r="M1528" s="47"/>
      <c r="T1528" s="47"/>
      <c r="U1528" s="47"/>
      <c r="V1528" s="47"/>
    </row>
    <row r="1529" spans="6:22" ht="15.75" customHeight="1">
      <c r="F1529" s="47"/>
      <c r="I1529" s="47"/>
      <c r="J1529" s="47"/>
      <c r="L1529" s="384"/>
      <c r="M1529" s="47"/>
      <c r="T1529" s="47"/>
      <c r="U1529" s="47"/>
      <c r="V1529" s="47"/>
    </row>
    <row r="1530" spans="6:22" ht="15.75" customHeight="1">
      <c r="F1530" s="47"/>
      <c r="I1530" s="47"/>
      <c r="J1530" s="47"/>
      <c r="L1530" s="384"/>
      <c r="M1530" s="47"/>
      <c r="T1530" s="47"/>
      <c r="U1530" s="47"/>
      <c r="V1530" s="47"/>
    </row>
    <row r="1531" spans="6:22" ht="15.75" customHeight="1">
      <c r="F1531" s="47"/>
      <c r="I1531" s="47"/>
      <c r="J1531" s="47"/>
      <c r="L1531" s="384"/>
      <c r="M1531" s="47"/>
      <c r="T1531" s="47"/>
      <c r="U1531" s="47"/>
      <c r="V1531" s="47"/>
    </row>
    <row r="1532" spans="6:22" ht="15.75" customHeight="1">
      <c r="F1532" s="47"/>
      <c r="I1532" s="47"/>
      <c r="J1532" s="47"/>
      <c r="L1532" s="384"/>
      <c r="M1532" s="47"/>
      <c r="T1532" s="47"/>
      <c r="U1532" s="47"/>
      <c r="V1532" s="47"/>
    </row>
    <row r="1533" spans="6:22" ht="15.75" customHeight="1">
      <c r="F1533" s="47"/>
      <c r="I1533" s="47"/>
      <c r="J1533" s="47"/>
      <c r="L1533" s="384"/>
      <c r="M1533" s="47"/>
      <c r="T1533" s="47"/>
      <c r="U1533" s="47"/>
      <c r="V1533" s="47"/>
    </row>
    <row r="1534" spans="6:22" ht="15.75" customHeight="1">
      <c r="F1534" s="47"/>
      <c r="I1534" s="47"/>
      <c r="J1534" s="47"/>
      <c r="L1534" s="384"/>
      <c r="M1534" s="47"/>
      <c r="T1534" s="47"/>
      <c r="U1534" s="47"/>
      <c r="V1534" s="47"/>
    </row>
    <row r="1535" spans="6:22" ht="15.75" customHeight="1">
      <c r="F1535" s="47"/>
      <c r="I1535" s="47"/>
      <c r="J1535" s="47"/>
      <c r="L1535" s="384"/>
      <c r="M1535" s="47"/>
      <c r="T1535" s="47"/>
      <c r="U1535" s="47"/>
      <c r="V1535" s="47"/>
    </row>
    <row r="1536" spans="6:22" ht="15.75" customHeight="1">
      <c r="F1536" s="47"/>
      <c r="I1536" s="47"/>
      <c r="J1536" s="47"/>
      <c r="L1536" s="384"/>
      <c r="M1536" s="47"/>
      <c r="T1536" s="47"/>
      <c r="U1536" s="47"/>
      <c r="V1536" s="47"/>
    </row>
    <row r="1537" spans="6:22" ht="15.75" customHeight="1">
      <c r="F1537" s="47"/>
      <c r="I1537" s="47"/>
      <c r="J1537" s="47"/>
      <c r="L1537" s="384"/>
      <c r="M1537" s="47"/>
      <c r="T1537" s="47"/>
      <c r="U1537" s="47"/>
      <c r="V1537" s="47"/>
    </row>
    <row r="1538" spans="6:22" ht="15.75" customHeight="1">
      <c r="F1538" s="47"/>
      <c r="I1538" s="47"/>
      <c r="J1538" s="47"/>
      <c r="L1538" s="384"/>
      <c r="M1538" s="47"/>
      <c r="T1538" s="47"/>
      <c r="U1538" s="47"/>
      <c r="V1538" s="47"/>
    </row>
    <row r="1539" spans="6:22" ht="15.75" customHeight="1">
      <c r="F1539" s="47"/>
      <c r="I1539" s="47"/>
      <c r="J1539" s="47"/>
      <c r="L1539" s="384"/>
      <c r="M1539" s="47"/>
      <c r="T1539" s="47"/>
      <c r="U1539" s="47"/>
      <c r="V1539" s="47"/>
    </row>
    <row r="1540" spans="6:22" ht="15.75" customHeight="1">
      <c r="F1540" s="47"/>
      <c r="I1540" s="47"/>
      <c r="J1540" s="47"/>
      <c r="L1540" s="384"/>
      <c r="M1540" s="47"/>
      <c r="T1540" s="47"/>
      <c r="U1540" s="47"/>
      <c r="V1540" s="47"/>
    </row>
    <row r="1541" spans="6:22" ht="15.75" customHeight="1">
      <c r="F1541" s="47"/>
      <c r="I1541" s="47"/>
      <c r="J1541" s="47"/>
      <c r="L1541" s="384"/>
      <c r="M1541" s="47"/>
      <c r="T1541" s="47"/>
      <c r="U1541" s="47"/>
      <c r="V1541" s="47"/>
    </row>
    <row r="1542" spans="6:22" ht="15.75" customHeight="1">
      <c r="F1542" s="47"/>
      <c r="I1542" s="47"/>
      <c r="J1542" s="47"/>
      <c r="L1542" s="384"/>
      <c r="M1542" s="47"/>
      <c r="T1542" s="47"/>
      <c r="U1542" s="47"/>
      <c r="V1542" s="47"/>
    </row>
    <row r="1543" spans="6:22" ht="15.75" customHeight="1">
      <c r="F1543" s="47"/>
      <c r="I1543" s="47"/>
      <c r="J1543" s="47"/>
      <c r="L1543" s="384"/>
      <c r="M1543" s="47"/>
      <c r="T1543" s="47"/>
      <c r="U1543" s="47"/>
      <c r="V1543" s="47"/>
    </row>
    <row r="1544" spans="6:22" ht="15.75" customHeight="1">
      <c r="F1544" s="47"/>
      <c r="I1544" s="47"/>
      <c r="J1544" s="47"/>
      <c r="L1544" s="384"/>
      <c r="M1544" s="47"/>
      <c r="T1544" s="47"/>
      <c r="U1544" s="47"/>
      <c r="V1544" s="47"/>
    </row>
    <row r="1545" spans="6:22" ht="15.75" customHeight="1">
      <c r="F1545" s="47"/>
      <c r="I1545" s="47"/>
      <c r="J1545" s="47"/>
      <c r="L1545" s="384"/>
      <c r="M1545" s="47"/>
      <c r="T1545" s="47"/>
      <c r="U1545" s="47"/>
      <c r="V1545" s="47"/>
    </row>
    <row r="1546" spans="6:22" ht="15.75" customHeight="1">
      <c r="F1546" s="47"/>
      <c r="I1546" s="47"/>
      <c r="J1546" s="47"/>
      <c r="L1546" s="384"/>
      <c r="M1546" s="47"/>
      <c r="T1546" s="47"/>
      <c r="U1546" s="47"/>
      <c r="V1546" s="47"/>
    </row>
    <row r="1547" spans="6:22" ht="15.75" customHeight="1">
      <c r="F1547" s="47"/>
      <c r="I1547" s="47"/>
      <c r="J1547" s="47"/>
      <c r="L1547" s="384"/>
      <c r="M1547" s="47"/>
      <c r="T1547" s="47"/>
      <c r="U1547" s="47"/>
      <c r="V1547" s="47"/>
    </row>
    <row r="1548" spans="6:22" ht="15.75" customHeight="1">
      <c r="F1548" s="47"/>
      <c r="I1548" s="47"/>
      <c r="J1548" s="47"/>
      <c r="L1548" s="384"/>
      <c r="M1548" s="47"/>
      <c r="T1548" s="47"/>
      <c r="U1548" s="47"/>
      <c r="V1548" s="47"/>
    </row>
    <row r="1549" spans="6:22" ht="15.75" customHeight="1">
      <c r="F1549" s="47"/>
      <c r="I1549" s="47"/>
      <c r="J1549" s="47"/>
      <c r="L1549" s="384"/>
      <c r="M1549" s="47"/>
      <c r="T1549" s="47"/>
      <c r="U1549" s="47"/>
      <c r="V1549" s="47"/>
    </row>
    <row r="1550" spans="6:22" ht="15.75" customHeight="1">
      <c r="F1550" s="47"/>
      <c r="I1550" s="47"/>
      <c r="J1550" s="47"/>
      <c r="L1550" s="384"/>
      <c r="M1550" s="47"/>
      <c r="T1550" s="47"/>
      <c r="U1550" s="47"/>
      <c r="V1550" s="47"/>
    </row>
    <row r="1551" spans="6:22" ht="15.75" customHeight="1">
      <c r="F1551" s="47"/>
      <c r="I1551" s="47"/>
      <c r="J1551" s="47"/>
      <c r="L1551" s="384"/>
      <c r="M1551" s="47"/>
      <c r="T1551" s="47"/>
      <c r="U1551" s="47"/>
      <c r="V1551" s="47"/>
    </row>
    <row r="1552" spans="6:22" ht="15.75" customHeight="1">
      <c r="F1552" s="47"/>
      <c r="I1552" s="47"/>
      <c r="J1552" s="47"/>
      <c r="L1552" s="384"/>
      <c r="M1552" s="47"/>
      <c r="T1552" s="47"/>
      <c r="U1552" s="47"/>
      <c r="V1552" s="47"/>
    </row>
    <row r="1553" spans="6:22" ht="15.75" customHeight="1">
      <c r="F1553" s="47"/>
      <c r="I1553" s="47"/>
      <c r="J1553" s="47"/>
      <c r="L1553" s="384"/>
      <c r="M1553" s="47"/>
      <c r="T1553" s="47"/>
      <c r="U1553" s="47"/>
      <c r="V1553" s="47"/>
    </row>
    <row r="1554" spans="6:22" ht="15.75" customHeight="1">
      <c r="F1554" s="47"/>
      <c r="I1554" s="47"/>
      <c r="J1554" s="47"/>
      <c r="L1554" s="384"/>
      <c r="M1554" s="47"/>
      <c r="T1554" s="47"/>
      <c r="U1554" s="47"/>
      <c r="V1554" s="47"/>
    </row>
    <row r="1555" spans="6:22" ht="15.75" customHeight="1">
      <c r="F1555" s="47"/>
      <c r="I1555" s="47"/>
      <c r="J1555" s="47"/>
      <c r="L1555" s="384"/>
      <c r="M1555" s="47"/>
      <c r="T1555" s="47"/>
      <c r="U1555" s="47"/>
      <c r="V1555" s="47"/>
    </row>
    <row r="1556" spans="6:22" ht="15.75" customHeight="1">
      <c r="F1556" s="47"/>
      <c r="I1556" s="47"/>
      <c r="J1556" s="47"/>
      <c r="L1556" s="384"/>
      <c r="M1556" s="47"/>
      <c r="T1556" s="47"/>
      <c r="U1556" s="47"/>
      <c r="V1556" s="47"/>
    </row>
    <row r="1557" spans="6:22" ht="15.75" customHeight="1">
      <c r="F1557" s="47"/>
      <c r="I1557" s="47"/>
      <c r="J1557" s="47"/>
      <c r="L1557" s="384"/>
      <c r="M1557" s="47"/>
      <c r="T1557" s="47"/>
      <c r="U1557" s="47"/>
      <c r="V1557" s="47"/>
    </row>
    <row r="1558" spans="6:22" ht="15.75" customHeight="1">
      <c r="F1558" s="47"/>
      <c r="I1558" s="47"/>
      <c r="J1558" s="47"/>
      <c r="L1558" s="384"/>
      <c r="M1558" s="47"/>
      <c r="T1558" s="47"/>
      <c r="U1558" s="47"/>
      <c r="V1558" s="47"/>
    </row>
    <row r="1559" spans="6:22" ht="15.75" customHeight="1">
      <c r="F1559" s="47"/>
      <c r="I1559" s="47"/>
      <c r="J1559" s="47"/>
      <c r="L1559" s="384"/>
      <c r="M1559" s="47"/>
      <c r="T1559" s="47"/>
      <c r="U1559" s="47"/>
      <c r="V1559" s="47"/>
    </row>
    <row r="1560" spans="6:22" ht="15.75" customHeight="1">
      <c r="F1560" s="47"/>
      <c r="I1560" s="47"/>
      <c r="J1560" s="47"/>
      <c r="L1560" s="384"/>
      <c r="M1560" s="47"/>
      <c r="T1560" s="47"/>
      <c r="U1560" s="47"/>
      <c r="V1560" s="47"/>
    </row>
    <row r="1561" spans="6:22" ht="15.75" customHeight="1">
      <c r="F1561" s="47"/>
      <c r="I1561" s="47"/>
      <c r="J1561" s="47"/>
      <c r="L1561" s="384"/>
      <c r="M1561" s="47"/>
      <c r="T1561" s="47"/>
      <c r="U1561" s="47"/>
      <c r="V1561" s="47"/>
    </row>
    <row r="1562" spans="6:22" ht="15.75" customHeight="1">
      <c r="F1562" s="47"/>
      <c r="I1562" s="47"/>
      <c r="J1562" s="47"/>
      <c r="L1562" s="384"/>
      <c r="M1562" s="47"/>
      <c r="T1562" s="47"/>
      <c r="U1562" s="47"/>
      <c r="V1562" s="47"/>
    </row>
    <row r="1563" spans="6:22" ht="15.75" customHeight="1">
      <c r="F1563" s="47"/>
      <c r="I1563" s="47"/>
      <c r="J1563" s="47"/>
      <c r="L1563" s="384"/>
      <c r="M1563" s="47"/>
      <c r="T1563" s="47"/>
      <c r="U1563" s="47"/>
      <c r="V1563" s="47"/>
    </row>
    <row r="1564" spans="6:22" ht="15.75" customHeight="1">
      <c r="F1564" s="47"/>
      <c r="I1564" s="47"/>
      <c r="J1564" s="47"/>
      <c r="L1564" s="384"/>
      <c r="M1564" s="47"/>
      <c r="T1564" s="47"/>
      <c r="U1564" s="47"/>
      <c r="V1564" s="47"/>
    </row>
    <row r="1565" spans="6:22" ht="15.75" customHeight="1">
      <c r="F1565" s="47"/>
      <c r="I1565" s="47"/>
      <c r="J1565" s="47"/>
      <c r="L1565" s="384"/>
      <c r="M1565" s="47"/>
      <c r="T1565" s="47"/>
      <c r="U1565" s="47"/>
      <c r="V1565" s="47"/>
    </row>
    <row r="1566" spans="6:22" ht="15.75" customHeight="1">
      <c r="F1566" s="47"/>
      <c r="I1566" s="47"/>
      <c r="J1566" s="47"/>
      <c r="L1566" s="384"/>
      <c r="M1566" s="47"/>
      <c r="T1566" s="47"/>
      <c r="U1566" s="47"/>
      <c r="V1566" s="47"/>
    </row>
    <row r="1567" spans="6:22" ht="15.75" customHeight="1">
      <c r="F1567" s="47"/>
      <c r="I1567" s="47"/>
      <c r="J1567" s="47"/>
      <c r="L1567" s="384"/>
      <c r="M1567" s="47"/>
      <c r="T1567" s="47"/>
      <c r="U1567" s="47"/>
      <c r="V1567" s="47"/>
    </row>
    <row r="1568" spans="6:22" ht="15.75" customHeight="1">
      <c r="F1568" s="47"/>
      <c r="I1568" s="47"/>
      <c r="J1568" s="47"/>
      <c r="L1568" s="384"/>
      <c r="M1568" s="47"/>
      <c r="T1568" s="47"/>
      <c r="U1568" s="47"/>
      <c r="V1568" s="47"/>
    </row>
    <row r="1569" spans="6:22" ht="15.75" customHeight="1">
      <c r="F1569" s="47"/>
      <c r="I1569" s="47"/>
      <c r="J1569" s="47"/>
      <c r="L1569" s="384"/>
      <c r="M1569" s="47"/>
      <c r="T1569" s="47"/>
      <c r="U1569" s="47"/>
      <c r="V1569" s="47"/>
    </row>
    <row r="1570" spans="6:22" ht="15.75" customHeight="1">
      <c r="F1570" s="47"/>
      <c r="I1570" s="47"/>
      <c r="J1570" s="47"/>
      <c r="L1570" s="384"/>
      <c r="M1570" s="47"/>
      <c r="T1570" s="47"/>
      <c r="U1570" s="47"/>
      <c r="V1570" s="47"/>
    </row>
    <row r="1571" spans="6:22" ht="15.75" customHeight="1">
      <c r="F1571" s="47"/>
      <c r="I1571" s="47"/>
      <c r="J1571" s="47"/>
      <c r="L1571" s="384"/>
      <c r="M1571" s="47"/>
      <c r="T1571" s="47"/>
      <c r="U1571" s="47"/>
      <c r="V1571" s="47"/>
    </row>
    <row r="1572" spans="6:22" ht="15.75" customHeight="1">
      <c r="F1572" s="47"/>
      <c r="I1572" s="47"/>
      <c r="J1572" s="47"/>
      <c r="L1572" s="384"/>
      <c r="M1572" s="47"/>
      <c r="T1572" s="47"/>
      <c r="U1572" s="47"/>
      <c r="V1572" s="47"/>
    </row>
    <row r="1573" spans="6:22" ht="15.75" customHeight="1">
      <c r="F1573" s="47"/>
      <c r="I1573" s="47"/>
      <c r="J1573" s="47"/>
      <c r="L1573" s="384"/>
      <c r="M1573" s="47"/>
      <c r="T1573" s="47"/>
      <c r="U1573" s="47"/>
      <c r="V1573" s="47"/>
    </row>
    <row r="1574" spans="6:22" ht="15.75" customHeight="1">
      <c r="F1574" s="47"/>
      <c r="I1574" s="47"/>
      <c r="J1574" s="47"/>
      <c r="L1574" s="384"/>
      <c r="M1574" s="47"/>
      <c r="T1574" s="47"/>
      <c r="U1574" s="47"/>
      <c r="V1574" s="47"/>
    </row>
    <row r="1575" spans="6:22" ht="15.75" customHeight="1">
      <c r="F1575" s="47"/>
      <c r="I1575" s="47"/>
      <c r="J1575" s="47"/>
      <c r="L1575" s="384"/>
      <c r="M1575" s="47"/>
      <c r="T1575" s="47"/>
      <c r="U1575" s="47"/>
      <c r="V1575" s="47"/>
    </row>
    <row r="1576" spans="6:22" ht="15.75" customHeight="1">
      <c r="F1576" s="47"/>
      <c r="I1576" s="47"/>
      <c r="J1576" s="47"/>
      <c r="L1576" s="384"/>
      <c r="M1576" s="47"/>
      <c r="T1576" s="47"/>
      <c r="U1576" s="47"/>
      <c r="V1576" s="47"/>
    </row>
    <row r="1577" spans="6:22" ht="15.75" customHeight="1">
      <c r="F1577" s="47"/>
      <c r="I1577" s="47"/>
      <c r="J1577" s="47"/>
      <c r="L1577" s="384"/>
      <c r="M1577" s="47"/>
      <c r="T1577" s="47"/>
      <c r="U1577" s="47"/>
      <c r="V1577" s="47"/>
    </row>
    <row r="1578" spans="6:22" ht="15.75" customHeight="1">
      <c r="F1578" s="47"/>
      <c r="I1578" s="47"/>
      <c r="J1578" s="47"/>
      <c r="L1578" s="384"/>
      <c r="M1578" s="47"/>
      <c r="T1578" s="47"/>
      <c r="U1578" s="47"/>
      <c r="V1578" s="47"/>
    </row>
    <row r="1579" spans="6:22" ht="15.75" customHeight="1">
      <c r="F1579" s="47"/>
      <c r="I1579" s="47"/>
      <c r="J1579" s="47"/>
      <c r="L1579" s="384"/>
      <c r="M1579" s="47"/>
      <c r="T1579" s="47"/>
      <c r="U1579" s="47"/>
      <c r="V1579" s="47"/>
    </row>
    <row r="1580" spans="6:22" ht="15.75" customHeight="1">
      <c r="F1580" s="47"/>
      <c r="I1580" s="47"/>
      <c r="J1580" s="47"/>
      <c r="L1580" s="384"/>
      <c r="M1580" s="47"/>
      <c r="T1580" s="47"/>
      <c r="U1580" s="47"/>
      <c r="V1580" s="47"/>
    </row>
    <row r="1581" spans="6:22" ht="15.75" customHeight="1">
      <c r="F1581" s="47"/>
      <c r="I1581" s="47"/>
      <c r="J1581" s="47"/>
      <c r="L1581" s="384"/>
      <c r="M1581" s="47"/>
      <c r="T1581" s="47"/>
      <c r="U1581" s="47"/>
      <c r="V1581" s="47"/>
    </row>
    <row r="1582" spans="6:22" ht="15.75" customHeight="1">
      <c r="F1582" s="47"/>
      <c r="I1582" s="47"/>
      <c r="J1582" s="47"/>
      <c r="L1582" s="384"/>
      <c r="M1582" s="47"/>
      <c r="T1582" s="47"/>
      <c r="U1582" s="47"/>
      <c r="V1582" s="47"/>
    </row>
    <row r="1583" spans="6:22" ht="15.75" customHeight="1">
      <c r="F1583" s="47"/>
      <c r="I1583" s="47"/>
      <c r="J1583" s="47"/>
      <c r="L1583" s="384"/>
      <c r="M1583" s="47"/>
      <c r="T1583" s="47"/>
      <c r="U1583" s="47"/>
      <c r="V1583" s="47"/>
    </row>
    <row r="1584" spans="6:22" ht="15.75" customHeight="1">
      <c r="F1584" s="47"/>
      <c r="I1584" s="47"/>
      <c r="J1584" s="47"/>
      <c r="L1584" s="384"/>
      <c r="M1584" s="47"/>
      <c r="T1584" s="47"/>
      <c r="U1584" s="47"/>
      <c r="V1584" s="47"/>
    </row>
    <row r="1585" spans="6:22" ht="15.75" customHeight="1">
      <c r="F1585" s="47"/>
      <c r="I1585" s="47"/>
      <c r="J1585" s="47"/>
      <c r="L1585" s="384"/>
      <c r="M1585" s="47"/>
      <c r="T1585" s="47"/>
      <c r="U1585" s="47"/>
      <c r="V1585" s="47"/>
    </row>
    <row r="1586" spans="6:22" ht="15.75" customHeight="1">
      <c r="F1586" s="47"/>
      <c r="I1586" s="47"/>
      <c r="J1586" s="47"/>
      <c r="L1586" s="384"/>
      <c r="M1586" s="47"/>
      <c r="T1586" s="47"/>
      <c r="U1586" s="47"/>
      <c r="V1586" s="47"/>
    </row>
    <row r="1587" spans="6:22" ht="15.75" customHeight="1">
      <c r="F1587" s="47"/>
      <c r="I1587" s="47"/>
      <c r="J1587" s="47"/>
      <c r="L1587" s="384"/>
      <c r="M1587" s="47"/>
      <c r="T1587" s="47"/>
      <c r="U1587" s="47"/>
      <c r="V1587" s="47"/>
    </row>
    <row r="1588" spans="6:22" ht="15.75" customHeight="1">
      <c r="F1588" s="47"/>
      <c r="I1588" s="47"/>
      <c r="J1588" s="47"/>
      <c r="L1588" s="384"/>
      <c r="M1588" s="47"/>
      <c r="T1588" s="47"/>
      <c r="U1588" s="47"/>
      <c r="V1588" s="47"/>
    </row>
    <row r="1589" spans="6:22" ht="15.75" customHeight="1">
      <c r="F1589" s="47"/>
      <c r="I1589" s="47"/>
      <c r="J1589" s="47"/>
      <c r="L1589" s="384"/>
      <c r="M1589" s="47"/>
      <c r="T1589" s="47"/>
      <c r="U1589" s="47"/>
      <c r="V1589" s="47"/>
    </row>
    <row r="1590" spans="6:22" ht="15.75" customHeight="1">
      <c r="F1590" s="47"/>
      <c r="I1590" s="47"/>
      <c r="J1590" s="47"/>
      <c r="L1590" s="384"/>
      <c r="M1590" s="47"/>
      <c r="T1590" s="47"/>
      <c r="U1590" s="47"/>
      <c r="V1590" s="47"/>
    </row>
    <row r="1591" spans="6:22" ht="15.75" customHeight="1">
      <c r="F1591" s="47"/>
      <c r="I1591" s="47"/>
      <c r="J1591" s="47"/>
      <c r="L1591" s="384"/>
      <c r="M1591" s="47"/>
      <c r="T1591" s="47"/>
      <c r="U1591" s="47"/>
      <c r="V1591" s="47"/>
    </row>
    <row r="1592" spans="6:22" ht="15.75" customHeight="1">
      <c r="F1592" s="47"/>
      <c r="I1592" s="47"/>
      <c r="J1592" s="47"/>
      <c r="L1592" s="384"/>
      <c r="M1592" s="47"/>
      <c r="T1592" s="47"/>
      <c r="U1592" s="47"/>
      <c r="V1592" s="47"/>
    </row>
    <row r="1593" spans="6:22" ht="15.75" customHeight="1">
      <c r="F1593" s="47"/>
      <c r="I1593" s="47"/>
      <c r="J1593" s="47"/>
      <c r="L1593" s="384"/>
      <c r="M1593" s="47"/>
      <c r="T1593" s="47"/>
      <c r="U1593" s="47"/>
      <c r="V1593" s="47"/>
    </row>
    <row r="1594" spans="6:22" ht="15.75" customHeight="1">
      <c r="F1594" s="47"/>
      <c r="I1594" s="47"/>
      <c r="J1594" s="47"/>
      <c r="L1594" s="384"/>
      <c r="M1594" s="47"/>
      <c r="T1594" s="47"/>
      <c r="U1594" s="47"/>
      <c r="V1594" s="47"/>
    </row>
    <row r="1595" spans="6:22" ht="15.75" customHeight="1">
      <c r="F1595" s="47"/>
      <c r="I1595" s="47"/>
      <c r="J1595" s="47"/>
      <c r="L1595" s="384"/>
      <c r="M1595" s="47"/>
      <c r="T1595" s="47"/>
      <c r="U1595" s="47"/>
      <c r="V1595" s="47"/>
    </row>
    <row r="1596" spans="6:22" ht="15.75" customHeight="1">
      <c r="F1596" s="47"/>
      <c r="I1596" s="47"/>
      <c r="J1596" s="47"/>
      <c r="L1596" s="384"/>
      <c r="M1596" s="47"/>
      <c r="T1596" s="47"/>
      <c r="U1596" s="47"/>
      <c r="V1596" s="47"/>
    </row>
    <row r="1597" spans="6:22" ht="15.75" customHeight="1">
      <c r="F1597" s="47"/>
      <c r="I1597" s="47"/>
      <c r="J1597" s="47"/>
      <c r="L1597" s="384"/>
      <c r="M1597" s="47"/>
      <c r="T1597" s="47"/>
      <c r="U1597" s="47"/>
      <c r="V1597" s="47"/>
    </row>
    <row r="1598" spans="6:22" ht="15.75" customHeight="1">
      <c r="F1598" s="47"/>
      <c r="I1598" s="47"/>
      <c r="J1598" s="47"/>
      <c r="L1598" s="384"/>
      <c r="M1598" s="47"/>
      <c r="T1598" s="47"/>
      <c r="U1598" s="47"/>
      <c r="V1598" s="47"/>
    </row>
    <row r="1599" spans="6:22" ht="15.75" customHeight="1">
      <c r="F1599" s="47"/>
      <c r="I1599" s="47"/>
      <c r="J1599" s="47"/>
      <c r="L1599" s="384"/>
      <c r="M1599" s="47"/>
      <c r="T1599" s="47"/>
      <c r="U1599" s="47"/>
      <c r="V1599" s="47"/>
    </row>
    <row r="1600" spans="6:22" ht="15.75" customHeight="1">
      <c r="F1600" s="47"/>
      <c r="I1600" s="47"/>
      <c r="J1600" s="47"/>
      <c r="L1600" s="384"/>
      <c r="M1600" s="47"/>
      <c r="T1600" s="47"/>
      <c r="U1600" s="47"/>
      <c r="V1600" s="47"/>
    </row>
    <row r="1601" spans="6:22" ht="15.75" customHeight="1">
      <c r="F1601" s="47"/>
      <c r="I1601" s="47"/>
      <c r="J1601" s="47"/>
      <c r="L1601" s="384"/>
      <c r="M1601" s="47"/>
      <c r="T1601" s="47"/>
      <c r="U1601" s="47"/>
      <c r="V1601" s="47"/>
    </row>
    <row r="1602" spans="6:22" ht="15.75" customHeight="1">
      <c r="F1602" s="47"/>
      <c r="I1602" s="47"/>
      <c r="J1602" s="47"/>
      <c r="L1602" s="384"/>
      <c r="M1602" s="47"/>
      <c r="T1602" s="47"/>
      <c r="U1602" s="47"/>
      <c r="V1602" s="47"/>
    </row>
    <row r="1603" spans="6:22" ht="15.75" customHeight="1">
      <c r="F1603" s="47"/>
      <c r="I1603" s="47"/>
      <c r="J1603" s="47"/>
      <c r="L1603" s="384"/>
      <c r="M1603" s="47"/>
      <c r="T1603" s="47"/>
      <c r="U1603" s="47"/>
      <c r="V1603" s="47"/>
    </row>
    <row r="1604" spans="6:22" ht="15.75" customHeight="1">
      <c r="F1604" s="47"/>
      <c r="I1604" s="47"/>
      <c r="J1604" s="47"/>
      <c r="L1604" s="384"/>
      <c r="M1604" s="47"/>
      <c r="T1604" s="47"/>
      <c r="U1604" s="47"/>
      <c r="V1604" s="47"/>
    </row>
    <row r="1605" spans="6:22" ht="15.75" customHeight="1">
      <c r="F1605" s="47"/>
      <c r="I1605" s="47"/>
      <c r="J1605" s="47"/>
      <c r="L1605" s="384"/>
      <c r="M1605" s="47"/>
      <c r="T1605" s="47"/>
      <c r="U1605" s="47"/>
      <c r="V1605" s="47"/>
    </row>
    <row r="1606" spans="6:22" ht="15.75" customHeight="1">
      <c r="F1606" s="47"/>
      <c r="I1606" s="47"/>
      <c r="J1606" s="47"/>
      <c r="L1606" s="384"/>
      <c r="M1606" s="47"/>
      <c r="T1606" s="47"/>
      <c r="U1606" s="47"/>
      <c r="V1606" s="47"/>
    </row>
    <row r="1607" spans="6:22" ht="15.75" customHeight="1">
      <c r="F1607" s="47"/>
      <c r="I1607" s="47"/>
      <c r="J1607" s="47"/>
      <c r="L1607" s="384"/>
      <c r="M1607" s="47"/>
      <c r="T1607" s="47"/>
      <c r="U1607" s="47"/>
      <c r="V1607" s="47"/>
    </row>
    <row r="1608" spans="6:22" ht="15.75" customHeight="1">
      <c r="F1608" s="47"/>
      <c r="I1608" s="47"/>
      <c r="J1608" s="47"/>
      <c r="L1608" s="384"/>
      <c r="M1608" s="47"/>
      <c r="T1608" s="47"/>
      <c r="U1608" s="47"/>
      <c r="V1608" s="47"/>
    </row>
    <row r="1609" spans="6:22" ht="15.75" customHeight="1">
      <c r="F1609" s="47"/>
      <c r="I1609" s="47"/>
      <c r="J1609" s="47"/>
      <c r="L1609" s="384"/>
      <c r="M1609" s="47"/>
      <c r="T1609" s="47"/>
      <c r="U1609" s="47"/>
      <c r="V1609" s="47"/>
    </row>
    <row r="1610" spans="6:22" ht="15.75" customHeight="1">
      <c r="F1610" s="47"/>
      <c r="I1610" s="47"/>
      <c r="J1610" s="47"/>
      <c r="L1610" s="384"/>
      <c r="M1610" s="47"/>
      <c r="T1610" s="47"/>
      <c r="U1610" s="47"/>
      <c r="V1610" s="47"/>
    </row>
    <row r="1611" spans="6:22" ht="15.75" customHeight="1">
      <c r="F1611" s="47"/>
      <c r="I1611" s="47"/>
      <c r="J1611" s="47"/>
      <c r="L1611" s="384"/>
      <c r="M1611" s="47"/>
      <c r="T1611" s="47"/>
      <c r="U1611" s="47"/>
      <c r="V1611" s="47"/>
    </row>
    <row r="1612" spans="6:22" ht="15.75" customHeight="1">
      <c r="F1612" s="47"/>
      <c r="I1612" s="47"/>
      <c r="J1612" s="47"/>
      <c r="L1612" s="384"/>
      <c r="M1612" s="47"/>
      <c r="T1612" s="47"/>
      <c r="U1612" s="47"/>
      <c r="V1612" s="47"/>
    </row>
    <row r="1613" spans="6:22" ht="15.75" customHeight="1">
      <c r="F1613" s="47"/>
      <c r="I1613" s="47"/>
      <c r="J1613" s="47"/>
      <c r="L1613" s="384"/>
      <c r="M1613" s="47"/>
      <c r="T1613" s="47"/>
      <c r="U1613" s="47"/>
      <c r="V1613" s="47"/>
    </row>
    <row r="1614" spans="6:22" ht="15.75" customHeight="1">
      <c r="F1614" s="47"/>
      <c r="I1614" s="47"/>
      <c r="J1614" s="47"/>
      <c r="L1614" s="384"/>
      <c r="M1614" s="47"/>
      <c r="T1614" s="47"/>
      <c r="U1614" s="47"/>
      <c r="V1614" s="47"/>
    </row>
    <row r="1615" spans="6:22" ht="15.75" customHeight="1">
      <c r="F1615" s="47"/>
      <c r="I1615" s="47"/>
      <c r="J1615" s="47"/>
      <c r="L1615" s="384"/>
      <c r="M1615" s="47"/>
      <c r="T1615" s="47"/>
      <c r="U1615" s="47"/>
      <c r="V1615" s="47"/>
    </row>
    <row r="1616" spans="6:22" ht="15.75" customHeight="1">
      <c r="F1616" s="47"/>
      <c r="I1616" s="47"/>
      <c r="J1616" s="47"/>
      <c r="L1616" s="384"/>
      <c r="M1616" s="47"/>
      <c r="T1616" s="47"/>
      <c r="U1616" s="47"/>
      <c r="V1616" s="47"/>
    </row>
    <row r="1617" spans="6:22" ht="15.75" customHeight="1">
      <c r="F1617" s="47"/>
      <c r="I1617" s="47"/>
      <c r="J1617" s="47"/>
      <c r="L1617" s="384"/>
      <c r="M1617" s="47"/>
      <c r="T1617" s="47"/>
      <c r="U1617" s="47"/>
      <c r="V1617" s="47"/>
    </row>
    <row r="1618" spans="6:22" ht="15.75" customHeight="1">
      <c r="F1618" s="47"/>
      <c r="I1618" s="47"/>
      <c r="J1618" s="47"/>
      <c r="L1618" s="384"/>
      <c r="M1618" s="47"/>
      <c r="T1618" s="47"/>
      <c r="U1618" s="47"/>
      <c r="V1618" s="47"/>
    </row>
    <row r="1619" spans="6:22" ht="15.75" customHeight="1">
      <c r="F1619" s="47"/>
      <c r="I1619" s="47"/>
      <c r="J1619" s="47"/>
      <c r="L1619" s="384"/>
      <c r="M1619" s="47"/>
      <c r="T1619" s="47"/>
      <c r="U1619" s="47"/>
      <c r="V1619" s="47"/>
    </row>
    <row r="1620" spans="6:22" ht="15.75" customHeight="1">
      <c r="F1620" s="47"/>
      <c r="I1620" s="47"/>
      <c r="J1620" s="47"/>
      <c r="L1620" s="384"/>
      <c r="M1620" s="47"/>
      <c r="T1620" s="47"/>
      <c r="U1620" s="47"/>
      <c r="V1620" s="47"/>
    </row>
    <row r="1621" spans="6:22" ht="15.75" customHeight="1">
      <c r="F1621" s="47"/>
      <c r="I1621" s="47"/>
      <c r="J1621" s="47"/>
      <c r="L1621" s="384"/>
      <c r="M1621" s="47"/>
      <c r="T1621" s="47"/>
      <c r="U1621" s="47"/>
      <c r="V1621" s="47"/>
    </row>
    <row r="1622" spans="6:22" ht="15.75" customHeight="1">
      <c r="F1622" s="47"/>
      <c r="I1622" s="47"/>
      <c r="J1622" s="47"/>
      <c r="L1622" s="384"/>
      <c r="M1622" s="47"/>
      <c r="T1622" s="47"/>
      <c r="U1622" s="47"/>
      <c r="V1622" s="47"/>
    </row>
    <row r="1623" spans="6:22" ht="15.75" customHeight="1">
      <c r="F1623" s="47"/>
      <c r="I1623" s="47"/>
      <c r="J1623" s="47"/>
      <c r="L1623" s="384"/>
      <c r="M1623" s="47"/>
      <c r="T1623" s="47"/>
      <c r="U1623" s="47"/>
      <c r="V1623" s="47"/>
    </row>
    <row r="1624" spans="6:22" ht="15.75" customHeight="1">
      <c r="F1624" s="47"/>
      <c r="I1624" s="47"/>
      <c r="J1624" s="47"/>
      <c r="L1624" s="384"/>
      <c r="M1624" s="47"/>
      <c r="T1624" s="47"/>
      <c r="U1624" s="47"/>
      <c r="V1624" s="47"/>
    </row>
    <row r="1625" spans="6:22" ht="15.75" customHeight="1">
      <c r="F1625" s="47"/>
      <c r="I1625" s="47"/>
      <c r="J1625" s="47"/>
      <c r="L1625" s="384"/>
      <c r="M1625" s="47"/>
      <c r="T1625" s="47"/>
      <c r="U1625" s="47"/>
      <c r="V1625" s="47"/>
    </row>
    <row r="1626" spans="6:22" ht="15.75" customHeight="1">
      <c r="F1626" s="47"/>
      <c r="I1626" s="47"/>
      <c r="J1626" s="47"/>
      <c r="L1626" s="384"/>
      <c r="M1626" s="47"/>
      <c r="T1626" s="47"/>
      <c r="U1626" s="47"/>
      <c r="V1626" s="47"/>
    </row>
    <row r="1627" spans="6:22" ht="15.75" customHeight="1">
      <c r="F1627" s="47"/>
      <c r="I1627" s="47"/>
      <c r="J1627" s="47"/>
      <c r="L1627" s="384"/>
      <c r="M1627" s="47"/>
      <c r="T1627" s="47"/>
      <c r="U1627" s="47"/>
      <c r="V1627" s="47"/>
    </row>
    <row r="1628" spans="6:22" ht="15.75" customHeight="1">
      <c r="F1628" s="47"/>
      <c r="I1628" s="47"/>
      <c r="J1628" s="47"/>
      <c r="L1628" s="384"/>
      <c r="M1628" s="47"/>
      <c r="T1628" s="47"/>
      <c r="U1628" s="47"/>
      <c r="V1628" s="47"/>
    </row>
    <row r="1629" spans="6:22" ht="15.75" customHeight="1">
      <c r="F1629" s="47"/>
      <c r="I1629" s="47"/>
      <c r="J1629" s="47"/>
      <c r="L1629" s="384"/>
      <c r="M1629" s="47"/>
      <c r="T1629" s="47"/>
      <c r="U1629" s="47"/>
      <c r="V1629" s="47"/>
    </row>
    <row r="1630" spans="6:22" ht="15.75" customHeight="1">
      <c r="F1630" s="47"/>
      <c r="I1630" s="47"/>
      <c r="J1630" s="47"/>
      <c r="L1630" s="384"/>
      <c r="M1630" s="47"/>
      <c r="T1630" s="47"/>
      <c r="U1630" s="47"/>
      <c r="V1630" s="47"/>
    </row>
    <row r="1631" spans="6:22" ht="15.75" customHeight="1">
      <c r="F1631" s="47"/>
      <c r="I1631" s="47"/>
      <c r="J1631" s="47"/>
      <c r="L1631" s="384"/>
      <c r="M1631" s="47"/>
      <c r="T1631" s="47"/>
      <c r="U1631" s="47"/>
      <c r="V1631" s="47"/>
    </row>
    <row r="1632" spans="6:22" ht="15.75" customHeight="1">
      <c r="F1632" s="47"/>
      <c r="I1632" s="47"/>
      <c r="J1632" s="47"/>
      <c r="L1632" s="384"/>
      <c r="M1632" s="47"/>
      <c r="T1632" s="47"/>
      <c r="U1632" s="47"/>
      <c r="V1632" s="47"/>
    </row>
    <row r="1633" spans="6:22" ht="15.75" customHeight="1">
      <c r="F1633" s="47"/>
      <c r="I1633" s="47"/>
      <c r="J1633" s="47"/>
      <c r="L1633" s="384"/>
      <c r="M1633" s="47"/>
      <c r="T1633" s="47"/>
      <c r="U1633" s="47"/>
      <c r="V1633" s="47"/>
    </row>
    <row r="1634" spans="6:22" ht="15.75" customHeight="1">
      <c r="F1634" s="47"/>
      <c r="I1634" s="47"/>
      <c r="J1634" s="47"/>
      <c r="L1634" s="384"/>
      <c r="M1634" s="47"/>
      <c r="T1634" s="47"/>
      <c r="U1634" s="47"/>
      <c r="V1634" s="47"/>
    </row>
    <row r="1635" spans="6:22" ht="15.75" customHeight="1">
      <c r="F1635" s="47"/>
      <c r="I1635" s="47"/>
      <c r="J1635" s="47"/>
      <c r="L1635" s="384"/>
      <c r="M1635" s="47"/>
      <c r="T1635" s="47"/>
      <c r="U1635" s="47"/>
      <c r="V1635" s="47"/>
    </row>
    <row r="1636" spans="6:22" ht="15.75" customHeight="1">
      <c r="F1636" s="47"/>
      <c r="I1636" s="47"/>
      <c r="J1636" s="47"/>
      <c r="L1636" s="384"/>
      <c r="M1636" s="47"/>
      <c r="T1636" s="47"/>
      <c r="U1636" s="47"/>
      <c r="V1636" s="47"/>
    </row>
    <row r="1637" spans="6:22" ht="15.75" customHeight="1">
      <c r="F1637" s="47"/>
      <c r="I1637" s="47"/>
      <c r="J1637" s="47"/>
      <c r="L1637" s="384"/>
      <c r="M1637" s="47"/>
      <c r="T1637" s="47"/>
      <c r="U1637" s="47"/>
      <c r="V1637" s="47"/>
    </row>
    <row r="1638" spans="6:22" ht="15.75" customHeight="1">
      <c r="F1638" s="47"/>
      <c r="I1638" s="47"/>
      <c r="J1638" s="47"/>
      <c r="L1638" s="384"/>
      <c r="M1638" s="47"/>
      <c r="T1638" s="47"/>
      <c r="U1638" s="47"/>
      <c r="V1638" s="47"/>
    </row>
    <row r="1639" spans="6:22" ht="15.75" customHeight="1">
      <c r="F1639" s="47"/>
      <c r="I1639" s="47"/>
      <c r="J1639" s="47"/>
      <c r="L1639" s="384"/>
      <c r="M1639" s="47"/>
      <c r="T1639" s="47"/>
      <c r="U1639" s="47"/>
      <c r="V1639" s="47"/>
    </row>
    <row r="1640" spans="6:22" ht="15.75" customHeight="1">
      <c r="F1640" s="47"/>
      <c r="I1640" s="47"/>
      <c r="J1640" s="47"/>
      <c r="L1640" s="384"/>
      <c r="M1640" s="47"/>
      <c r="T1640" s="47"/>
      <c r="U1640" s="47"/>
      <c r="V1640" s="47"/>
    </row>
    <row r="1641" spans="6:22" ht="15.75" customHeight="1">
      <c r="F1641" s="47"/>
      <c r="I1641" s="47"/>
      <c r="J1641" s="47"/>
      <c r="L1641" s="384"/>
      <c r="M1641" s="47"/>
      <c r="T1641" s="47"/>
      <c r="U1641" s="47"/>
      <c r="V1641" s="47"/>
    </row>
    <row r="1642" spans="6:22" ht="15.75" customHeight="1">
      <c r="F1642" s="47"/>
      <c r="I1642" s="47"/>
      <c r="J1642" s="47"/>
      <c r="L1642" s="384"/>
      <c r="M1642" s="47"/>
      <c r="T1642" s="47"/>
      <c r="U1642" s="47"/>
      <c r="V1642" s="47"/>
    </row>
    <row r="1643" spans="6:22" ht="15.75" customHeight="1">
      <c r="F1643" s="47"/>
      <c r="I1643" s="47"/>
      <c r="J1643" s="47"/>
      <c r="L1643" s="384"/>
      <c r="M1643" s="47"/>
      <c r="T1643" s="47"/>
      <c r="U1643" s="47"/>
      <c r="V1643" s="47"/>
    </row>
    <row r="1644" spans="6:22" ht="15.75" customHeight="1">
      <c r="F1644" s="47"/>
      <c r="I1644" s="47"/>
      <c r="J1644" s="47"/>
      <c r="L1644" s="384"/>
      <c r="M1644" s="47"/>
      <c r="T1644" s="47"/>
      <c r="U1644" s="47"/>
      <c r="V1644" s="47"/>
    </row>
    <row r="1645" spans="6:22" ht="15.75" customHeight="1">
      <c r="F1645" s="47"/>
      <c r="I1645" s="47"/>
      <c r="J1645" s="47"/>
      <c r="L1645" s="384"/>
      <c r="M1645" s="47"/>
      <c r="T1645" s="47"/>
      <c r="U1645" s="47"/>
      <c r="V1645" s="47"/>
    </row>
    <row r="1646" spans="6:22" ht="15.75" customHeight="1">
      <c r="F1646" s="47"/>
      <c r="I1646" s="47"/>
      <c r="J1646" s="47"/>
      <c r="L1646" s="384"/>
      <c r="M1646" s="47"/>
      <c r="T1646" s="47"/>
      <c r="U1646" s="47"/>
      <c r="V1646" s="47"/>
    </row>
    <row r="1647" spans="6:22" ht="15.75" customHeight="1">
      <c r="F1647" s="47"/>
      <c r="I1647" s="47"/>
      <c r="J1647" s="47"/>
      <c r="L1647" s="384"/>
      <c r="M1647" s="47"/>
      <c r="T1647" s="47"/>
      <c r="U1647" s="47"/>
      <c r="V1647" s="47"/>
    </row>
    <row r="1648" spans="6:22" ht="15.75" customHeight="1">
      <c r="F1648" s="47"/>
      <c r="I1648" s="47"/>
      <c r="J1648" s="47"/>
      <c r="L1648" s="384"/>
      <c r="M1648" s="47"/>
      <c r="T1648" s="47"/>
      <c r="U1648" s="47"/>
      <c r="V1648" s="47"/>
    </row>
    <row r="1649" spans="6:22" ht="15.75" customHeight="1">
      <c r="F1649" s="47"/>
      <c r="I1649" s="47"/>
      <c r="J1649" s="47"/>
      <c r="L1649" s="384"/>
      <c r="M1649" s="47"/>
      <c r="T1649" s="47"/>
      <c r="U1649" s="47"/>
      <c r="V1649" s="47"/>
    </row>
    <row r="1650" spans="6:22" ht="15.75" customHeight="1">
      <c r="F1650" s="47"/>
      <c r="I1650" s="47"/>
      <c r="J1650" s="47"/>
      <c r="L1650" s="384"/>
      <c r="M1650" s="47"/>
      <c r="T1650" s="47"/>
      <c r="U1650" s="47"/>
      <c r="V1650" s="47"/>
    </row>
    <row r="1651" spans="6:22" ht="15.75" customHeight="1">
      <c r="F1651" s="47"/>
      <c r="I1651" s="47"/>
      <c r="J1651" s="47"/>
      <c r="L1651" s="384"/>
      <c r="M1651" s="47"/>
      <c r="T1651" s="47"/>
      <c r="U1651" s="47"/>
      <c r="V1651" s="47"/>
    </row>
    <row r="1652" spans="6:22" ht="15.75" customHeight="1">
      <c r="F1652" s="47"/>
      <c r="I1652" s="47"/>
      <c r="J1652" s="47"/>
      <c r="L1652" s="384"/>
      <c r="M1652" s="47"/>
      <c r="T1652" s="47"/>
      <c r="U1652" s="47"/>
      <c r="V1652" s="47"/>
    </row>
    <row r="1653" spans="6:22" ht="15.75" customHeight="1">
      <c r="F1653" s="47"/>
      <c r="I1653" s="47"/>
      <c r="J1653" s="47"/>
      <c r="L1653" s="384"/>
      <c r="M1653" s="47"/>
      <c r="T1653" s="47"/>
      <c r="U1653" s="47"/>
      <c r="V1653" s="47"/>
    </row>
    <row r="1654" spans="6:22" ht="15.75" customHeight="1">
      <c r="F1654" s="47"/>
      <c r="I1654" s="47"/>
      <c r="J1654" s="47"/>
      <c r="L1654" s="384"/>
      <c r="M1654" s="47"/>
      <c r="T1654" s="47"/>
      <c r="U1654" s="47"/>
      <c r="V1654" s="47"/>
    </row>
    <row r="1655" spans="6:22" ht="15.75" customHeight="1">
      <c r="F1655" s="47"/>
      <c r="I1655" s="47"/>
      <c r="J1655" s="47"/>
      <c r="L1655" s="384"/>
      <c r="M1655" s="47"/>
      <c r="T1655" s="47"/>
      <c r="U1655" s="47"/>
      <c r="V1655" s="47"/>
    </row>
    <row r="1656" spans="6:22" ht="15.75" customHeight="1">
      <c r="F1656" s="47"/>
      <c r="I1656" s="47"/>
      <c r="J1656" s="47"/>
      <c r="L1656" s="384"/>
      <c r="M1656" s="47"/>
      <c r="T1656" s="47"/>
      <c r="U1656" s="47"/>
      <c r="V1656" s="47"/>
    </row>
    <row r="1657" spans="6:22" ht="15.75" customHeight="1">
      <c r="F1657" s="47"/>
      <c r="I1657" s="47"/>
      <c r="J1657" s="47"/>
      <c r="L1657" s="384"/>
      <c r="M1657" s="47"/>
      <c r="T1657" s="47"/>
      <c r="U1657" s="47"/>
      <c r="V1657" s="47"/>
    </row>
    <row r="1658" spans="6:22" ht="15.75" customHeight="1">
      <c r="F1658" s="47"/>
      <c r="I1658" s="47"/>
      <c r="J1658" s="47"/>
      <c r="L1658" s="384"/>
      <c r="M1658" s="47"/>
      <c r="T1658" s="47"/>
      <c r="U1658" s="47"/>
      <c r="V1658" s="47"/>
    </row>
    <row r="1659" spans="6:22" ht="15.75" customHeight="1">
      <c r="F1659" s="47"/>
      <c r="I1659" s="47"/>
      <c r="J1659" s="47"/>
      <c r="L1659" s="384"/>
      <c r="M1659" s="47"/>
      <c r="T1659" s="47"/>
      <c r="U1659" s="47"/>
      <c r="V1659" s="47"/>
    </row>
    <row r="1660" spans="6:22" ht="15.75" customHeight="1">
      <c r="F1660" s="47"/>
      <c r="I1660" s="47"/>
      <c r="J1660" s="47"/>
      <c r="L1660" s="384"/>
      <c r="M1660" s="47"/>
      <c r="T1660" s="47"/>
      <c r="U1660" s="47"/>
      <c r="V1660" s="47"/>
    </row>
    <row r="1661" spans="6:22" ht="15.75" customHeight="1">
      <c r="F1661" s="47"/>
      <c r="I1661" s="47"/>
      <c r="J1661" s="47"/>
      <c r="L1661" s="384"/>
      <c r="M1661" s="47"/>
      <c r="T1661" s="47"/>
      <c r="U1661" s="47"/>
      <c r="V1661" s="47"/>
    </row>
    <row r="1662" spans="6:22" ht="15.75" customHeight="1">
      <c r="F1662" s="47"/>
      <c r="I1662" s="47"/>
      <c r="J1662" s="47"/>
      <c r="L1662" s="384"/>
      <c r="M1662" s="47"/>
      <c r="T1662" s="47"/>
      <c r="U1662" s="47"/>
      <c r="V1662" s="47"/>
    </row>
    <row r="1663" spans="6:22" ht="15.75" customHeight="1">
      <c r="F1663" s="47"/>
      <c r="I1663" s="47"/>
      <c r="J1663" s="47"/>
      <c r="L1663" s="384"/>
      <c r="M1663" s="47"/>
      <c r="T1663" s="47"/>
      <c r="U1663" s="47"/>
      <c r="V1663" s="47"/>
    </row>
    <row r="1664" spans="6:22" ht="15.75" customHeight="1">
      <c r="F1664" s="47"/>
      <c r="I1664" s="47"/>
      <c r="J1664" s="47"/>
      <c r="L1664" s="384"/>
      <c r="M1664" s="47"/>
      <c r="T1664" s="47"/>
      <c r="U1664" s="47"/>
      <c r="V1664" s="47"/>
    </row>
    <row r="1665" spans="6:22" ht="15.75" customHeight="1">
      <c r="F1665" s="47"/>
      <c r="I1665" s="47"/>
      <c r="J1665" s="47"/>
      <c r="L1665" s="384"/>
      <c r="M1665" s="47"/>
      <c r="T1665" s="47"/>
      <c r="U1665" s="47"/>
      <c r="V1665" s="47"/>
    </row>
    <row r="1666" spans="6:22" ht="15.75" customHeight="1">
      <c r="F1666" s="47"/>
      <c r="I1666" s="47"/>
      <c r="J1666" s="47"/>
      <c r="L1666" s="384"/>
      <c r="M1666" s="47"/>
      <c r="T1666" s="47"/>
      <c r="U1666" s="47"/>
      <c r="V1666" s="47"/>
    </row>
    <row r="1667" spans="6:22" ht="15.75" customHeight="1">
      <c r="F1667" s="47"/>
      <c r="I1667" s="47"/>
      <c r="J1667" s="47"/>
      <c r="L1667" s="384"/>
      <c r="M1667" s="47"/>
      <c r="T1667" s="47"/>
      <c r="U1667" s="47"/>
      <c r="V1667" s="47"/>
    </row>
    <row r="1668" spans="6:22" ht="15.75" customHeight="1">
      <c r="F1668" s="47"/>
      <c r="I1668" s="47"/>
      <c r="J1668" s="47"/>
      <c r="L1668" s="384"/>
      <c r="M1668" s="47"/>
      <c r="T1668" s="47"/>
      <c r="U1668" s="47"/>
      <c r="V1668" s="47"/>
    </row>
    <row r="1669" spans="6:22" ht="15.75" customHeight="1">
      <c r="F1669" s="47"/>
      <c r="I1669" s="47"/>
      <c r="J1669" s="47"/>
      <c r="L1669" s="384"/>
      <c r="M1669" s="47"/>
      <c r="T1669" s="47"/>
      <c r="U1669" s="47"/>
      <c r="V1669" s="47"/>
    </row>
    <row r="1670" spans="6:22" ht="15.75" customHeight="1">
      <c r="F1670" s="47"/>
      <c r="I1670" s="47"/>
      <c r="J1670" s="47"/>
      <c r="L1670" s="384"/>
      <c r="M1670" s="47"/>
      <c r="T1670" s="47"/>
      <c r="U1670" s="47"/>
      <c r="V1670" s="47"/>
    </row>
    <row r="1671" spans="6:22" ht="15.75" customHeight="1">
      <c r="F1671" s="47"/>
      <c r="I1671" s="47"/>
      <c r="J1671" s="47"/>
      <c r="L1671" s="384"/>
      <c r="M1671" s="47"/>
      <c r="T1671" s="47"/>
      <c r="U1671" s="47"/>
      <c r="V1671" s="47"/>
    </row>
    <row r="1672" spans="6:22" ht="15.75" customHeight="1">
      <c r="F1672" s="47"/>
      <c r="I1672" s="47"/>
      <c r="J1672" s="47"/>
      <c r="L1672" s="384"/>
      <c r="M1672" s="47"/>
      <c r="T1672" s="47"/>
      <c r="U1672" s="47"/>
      <c r="V1672" s="47"/>
    </row>
    <row r="1673" spans="6:22" ht="15.75" customHeight="1">
      <c r="F1673" s="47"/>
      <c r="I1673" s="47"/>
      <c r="J1673" s="47"/>
      <c r="L1673" s="384"/>
      <c r="M1673" s="47"/>
      <c r="T1673" s="47"/>
      <c r="U1673" s="47"/>
      <c r="V1673" s="47"/>
    </row>
    <row r="1674" spans="6:22" ht="15.75" customHeight="1">
      <c r="F1674" s="47"/>
      <c r="I1674" s="47"/>
      <c r="J1674" s="47"/>
      <c r="L1674" s="384"/>
      <c r="M1674" s="47"/>
      <c r="T1674" s="47"/>
      <c r="U1674" s="47"/>
      <c r="V1674" s="47"/>
    </row>
    <row r="1675" spans="6:22" ht="15.75" customHeight="1">
      <c r="F1675" s="47"/>
      <c r="I1675" s="47"/>
      <c r="J1675" s="47"/>
      <c r="L1675" s="384"/>
      <c r="M1675" s="47"/>
      <c r="T1675" s="47"/>
      <c r="U1675" s="47"/>
      <c r="V1675" s="47"/>
    </row>
    <row r="1676" spans="6:22" ht="15.75" customHeight="1">
      <c r="F1676" s="47"/>
      <c r="I1676" s="47"/>
      <c r="J1676" s="47"/>
      <c r="L1676" s="384"/>
      <c r="M1676" s="47"/>
      <c r="T1676" s="47"/>
      <c r="U1676" s="47"/>
      <c r="V1676" s="47"/>
    </row>
    <row r="1677" spans="6:22" ht="15.75" customHeight="1">
      <c r="F1677" s="47"/>
      <c r="I1677" s="47"/>
      <c r="J1677" s="47"/>
      <c r="L1677" s="384"/>
      <c r="M1677" s="47"/>
      <c r="T1677" s="47"/>
      <c r="U1677" s="47"/>
      <c r="V1677" s="47"/>
    </row>
    <row r="1678" spans="6:22" ht="15.75" customHeight="1">
      <c r="F1678" s="47"/>
      <c r="I1678" s="47"/>
      <c r="J1678" s="47"/>
      <c r="L1678" s="384"/>
      <c r="M1678" s="47"/>
      <c r="T1678" s="47"/>
      <c r="U1678" s="47"/>
      <c r="V1678" s="47"/>
    </row>
    <row r="1679" spans="6:22" ht="15.75" customHeight="1">
      <c r="F1679" s="47"/>
      <c r="I1679" s="47"/>
      <c r="J1679" s="47"/>
      <c r="L1679" s="384"/>
      <c r="M1679" s="47"/>
      <c r="T1679" s="47"/>
      <c r="U1679" s="47"/>
      <c r="V1679" s="47"/>
    </row>
    <row r="1680" spans="6:22" ht="15.75" customHeight="1">
      <c r="F1680" s="47"/>
      <c r="I1680" s="47"/>
      <c r="J1680" s="47"/>
      <c r="L1680" s="384"/>
      <c r="M1680" s="47"/>
      <c r="T1680" s="47"/>
      <c r="U1680" s="47"/>
      <c r="V1680" s="47"/>
    </row>
    <row r="1681" spans="6:22" ht="15.75" customHeight="1">
      <c r="F1681" s="47"/>
      <c r="I1681" s="47"/>
      <c r="J1681" s="47"/>
      <c r="L1681" s="384"/>
      <c r="M1681" s="47"/>
      <c r="T1681" s="47"/>
      <c r="U1681" s="47"/>
      <c r="V1681" s="47"/>
    </row>
    <row r="1682" spans="6:22" ht="15.75" customHeight="1">
      <c r="F1682" s="47"/>
      <c r="I1682" s="47"/>
      <c r="J1682" s="47"/>
      <c r="L1682" s="384"/>
      <c r="M1682" s="47"/>
      <c r="T1682" s="47"/>
      <c r="U1682" s="47"/>
      <c r="V1682" s="47"/>
    </row>
    <row r="1683" spans="6:22" ht="15.75" customHeight="1">
      <c r="F1683" s="47"/>
      <c r="I1683" s="47"/>
      <c r="J1683" s="47"/>
      <c r="L1683" s="384"/>
      <c r="M1683" s="47"/>
      <c r="T1683" s="47"/>
      <c r="U1683" s="47"/>
      <c r="V1683" s="47"/>
    </row>
    <row r="1684" spans="6:22" ht="15.75" customHeight="1">
      <c r="F1684" s="47"/>
      <c r="I1684" s="47"/>
      <c r="J1684" s="47"/>
      <c r="L1684" s="384"/>
      <c r="M1684" s="47"/>
      <c r="T1684" s="47"/>
      <c r="U1684" s="47"/>
      <c r="V1684" s="47"/>
    </row>
    <row r="1685" spans="6:22" ht="15.75" customHeight="1">
      <c r="F1685" s="47"/>
      <c r="I1685" s="47"/>
      <c r="J1685" s="47"/>
      <c r="L1685" s="384"/>
      <c r="M1685" s="47"/>
      <c r="T1685" s="47"/>
      <c r="U1685" s="47"/>
      <c r="V1685" s="47"/>
    </row>
    <row r="1686" spans="6:22" ht="15.75" customHeight="1">
      <c r="F1686" s="47"/>
      <c r="I1686" s="47"/>
      <c r="J1686" s="47"/>
      <c r="L1686" s="384"/>
      <c r="M1686" s="47"/>
      <c r="T1686" s="47"/>
      <c r="U1686" s="47"/>
      <c r="V1686" s="47"/>
    </row>
    <row r="1687" spans="6:22" ht="15.75" customHeight="1">
      <c r="F1687" s="47"/>
      <c r="I1687" s="47"/>
      <c r="J1687" s="47"/>
      <c r="L1687" s="384"/>
      <c r="M1687" s="47"/>
      <c r="T1687" s="47"/>
      <c r="U1687" s="47"/>
      <c r="V1687" s="47"/>
    </row>
    <row r="1688" spans="6:22" ht="15.75" customHeight="1">
      <c r="F1688" s="47"/>
      <c r="I1688" s="47"/>
      <c r="J1688" s="47"/>
      <c r="L1688" s="384"/>
      <c r="M1688" s="47"/>
      <c r="T1688" s="47"/>
      <c r="U1688" s="47"/>
      <c r="V1688" s="47"/>
    </row>
    <row r="1689" spans="6:22" ht="15.75" customHeight="1">
      <c r="F1689" s="47"/>
      <c r="I1689" s="47"/>
      <c r="J1689" s="47"/>
      <c r="L1689" s="384"/>
      <c r="M1689" s="47"/>
      <c r="T1689" s="47"/>
      <c r="U1689" s="47"/>
      <c r="V1689" s="47"/>
    </row>
    <row r="1690" spans="6:22" ht="15.75" customHeight="1">
      <c r="F1690" s="47"/>
      <c r="I1690" s="47"/>
      <c r="J1690" s="47"/>
      <c r="L1690" s="384"/>
      <c r="M1690" s="47"/>
      <c r="T1690" s="47"/>
      <c r="U1690" s="47"/>
      <c r="V1690" s="47"/>
    </row>
    <row r="1691" spans="6:22" ht="15.75" customHeight="1">
      <c r="F1691" s="47"/>
      <c r="I1691" s="47"/>
      <c r="J1691" s="47"/>
      <c r="L1691" s="384"/>
      <c r="M1691" s="47"/>
      <c r="T1691" s="47"/>
      <c r="U1691" s="47"/>
      <c r="V1691" s="47"/>
    </row>
    <row r="1692" spans="6:22" ht="15.75" customHeight="1">
      <c r="F1692" s="47"/>
      <c r="I1692" s="47"/>
      <c r="J1692" s="47"/>
      <c r="L1692" s="384"/>
      <c r="M1692" s="47"/>
      <c r="T1692" s="47"/>
      <c r="U1692" s="47"/>
      <c r="V1692" s="47"/>
    </row>
    <row r="1693" spans="6:22" ht="15.75" customHeight="1">
      <c r="F1693" s="47"/>
      <c r="I1693" s="47"/>
      <c r="J1693" s="47"/>
      <c r="L1693" s="384"/>
      <c r="M1693" s="47"/>
      <c r="T1693" s="47"/>
      <c r="U1693" s="47"/>
      <c r="V1693" s="47"/>
    </row>
    <row r="1694" spans="6:22" ht="15.75" customHeight="1">
      <c r="F1694" s="47"/>
      <c r="I1694" s="47"/>
      <c r="J1694" s="47"/>
      <c r="L1694" s="384"/>
      <c r="M1694" s="47"/>
      <c r="T1694" s="47"/>
      <c r="U1694" s="47"/>
      <c r="V1694" s="47"/>
    </row>
    <row r="1695" spans="6:22" ht="15.75" customHeight="1">
      <c r="F1695" s="47"/>
      <c r="I1695" s="47"/>
      <c r="J1695" s="47"/>
      <c r="L1695" s="384"/>
      <c r="M1695" s="47"/>
      <c r="T1695" s="47"/>
      <c r="U1695" s="47"/>
      <c r="V1695" s="47"/>
    </row>
    <row r="1696" spans="6:22" ht="15.75" customHeight="1">
      <c r="F1696" s="47"/>
      <c r="I1696" s="47"/>
      <c r="J1696" s="47"/>
      <c r="L1696" s="384"/>
      <c r="M1696" s="47"/>
      <c r="T1696" s="47"/>
      <c r="U1696" s="47"/>
      <c r="V1696" s="47"/>
    </row>
    <row r="1697" spans="6:22" ht="15.75" customHeight="1">
      <c r="F1697" s="47"/>
      <c r="I1697" s="47"/>
      <c r="J1697" s="47"/>
      <c r="L1697" s="384"/>
      <c r="M1697" s="47"/>
      <c r="T1697" s="47"/>
      <c r="U1697" s="47"/>
      <c r="V1697" s="47"/>
    </row>
    <row r="1698" spans="6:22" ht="15.75" customHeight="1">
      <c r="F1698" s="47"/>
      <c r="I1698" s="47"/>
      <c r="J1698" s="47"/>
      <c r="L1698" s="384"/>
      <c r="M1698" s="47"/>
      <c r="T1698" s="47"/>
      <c r="U1698" s="47"/>
      <c r="V1698" s="47"/>
    </row>
    <row r="1699" spans="6:22" ht="15.75" customHeight="1">
      <c r="F1699" s="47"/>
      <c r="I1699" s="47"/>
      <c r="J1699" s="47"/>
      <c r="L1699" s="384"/>
      <c r="M1699" s="47"/>
      <c r="T1699" s="47"/>
      <c r="U1699" s="47"/>
      <c r="V1699" s="47"/>
    </row>
    <row r="1700" spans="6:22" ht="15.75" customHeight="1">
      <c r="F1700" s="47"/>
      <c r="I1700" s="47"/>
      <c r="J1700" s="47"/>
      <c r="L1700" s="384"/>
      <c r="M1700" s="47"/>
      <c r="T1700" s="47"/>
      <c r="U1700" s="47"/>
      <c r="V1700" s="47"/>
    </row>
    <row r="1701" spans="6:22" ht="15.75" customHeight="1">
      <c r="F1701" s="47"/>
      <c r="I1701" s="47"/>
      <c r="J1701" s="47"/>
      <c r="L1701" s="384"/>
      <c r="M1701" s="47"/>
      <c r="T1701" s="47"/>
      <c r="U1701" s="47"/>
      <c r="V1701" s="47"/>
    </row>
    <row r="1702" spans="6:22" ht="15.75" customHeight="1">
      <c r="F1702" s="47"/>
      <c r="I1702" s="47"/>
      <c r="J1702" s="47"/>
      <c r="L1702" s="384"/>
      <c r="M1702" s="47"/>
      <c r="T1702" s="47"/>
      <c r="U1702" s="47"/>
      <c r="V1702" s="47"/>
    </row>
    <row r="1703" spans="6:22" ht="15.75" customHeight="1">
      <c r="F1703" s="47"/>
      <c r="I1703" s="47"/>
      <c r="J1703" s="47"/>
      <c r="L1703" s="384"/>
      <c r="M1703" s="47"/>
      <c r="T1703" s="47"/>
      <c r="U1703" s="47"/>
      <c r="V1703" s="47"/>
    </row>
    <row r="1704" spans="6:22" ht="15.75" customHeight="1">
      <c r="F1704" s="47"/>
      <c r="I1704" s="47"/>
      <c r="J1704" s="47"/>
      <c r="L1704" s="384"/>
      <c r="M1704" s="47"/>
      <c r="T1704" s="47"/>
      <c r="U1704" s="47"/>
      <c r="V1704" s="47"/>
    </row>
    <row r="1705" spans="6:22" ht="15.75" customHeight="1">
      <c r="F1705" s="47"/>
      <c r="I1705" s="47"/>
      <c r="J1705" s="47"/>
      <c r="L1705" s="384"/>
      <c r="M1705" s="47"/>
      <c r="T1705" s="47"/>
      <c r="U1705" s="47"/>
      <c r="V1705" s="47"/>
    </row>
    <row r="1706" spans="6:22" ht="15.75" customHeight="1">
      <c r="F1706" s="47"/>
      <c r="I1706" s="47"/>
      <c r="J1706" s="47"/>
      <c r="L1706" s="384"/>
      <c r="M1706" s="47"/>
      <c r="T1706" s="47"/>
      <c r="U1706" s="47"/>
      <c r="V1706" s="47"/>
    </row>
    <row r="1707" spans="6:22" ht="15.75" customHeight="1">
      <c r="F1707" s="47"/>
      <c r="I1707" s="47"/>
      <c r="J1707" s="47"/>
      <c r="L1707" s="384"/>
      <c r="M1707" s="47"/>
      <c r="T1707" s="47"/>
      <c r="U1707" s="47"/>
      <c r="V1707" s="47"/>
    </row>
    <row r="1708" spans="6:22" ht="15.75" customHeight="1">
      <c r="F1708" s="47"/>
      <c r="I1708" s="47"/>
      <c r="J1708" s="47"/>
      <c r="L1708" s="384"/>
      <c r="M1708" s="47"/>
      <c r="T1708" s="47"/>
      <c r="U1708" s="47"/>
      <c r="V1708" s="47"/>
    </row>
    <row r="1709" spans="6:22" ht="15.75" customHeight="1">
      <c r="F1709" s="47"/>
      <c r="I1709" s="47"/>
      <c r="J1709" s="47"/>
      <c r="L1709" s="384"/>
      <c r="M1709" s="47"/>
      <c r="T1709" s="47"/>
      <c r="U1709" s="47"/>
      <c r="V1709" s="47"/>
    </row>
    <row r="1710" spans="6:22" ht="15.75" customHeight="1">
      <c r="F1710" s="47"/>
      <c r="I1710" s="47"/>
      <c r="J1710" s="47"/>
      <c r="L1710" s="384"/>
      <c r="M1710" s="47"/>
      <c r="T1710" s="47"/>
      <c r="U1710" s="47"/>
      <c r="V1710" s="47"/>
    </row>
    <row r="1711" spans="6:22" ht="15.75" customHeight="1">
      <c r="F1711" s="47"/>
      <c r="I1711" s="47"/>
      <c r="J1711" s="47"/>
      <c r="L1711" s="384"/>
      <c r="M1711" s="47"/>
      <c r="T1711" s="47"/>
      <c r="U1711" s="47"/>
      <c r="V1711" s="47"/>
    </row>
    <row r="1712" spans="6:22" ht="15.75" customHeight="1">
      <c r="F1712" s="47"/>
      <c r="I1712" s="47"/>
      <c r="J1712" s="47"/>
      <c r="L1712" s="384"/>
      <c r="M1712" s="47"/>
      <c r="T1712" s="47"/>
      <c r="U1712" s="47"/>
      <c r="V1712" s="47"/>
    </row>
    <row r="1713" spans="6:22" ht="15.75" customHeight="1">
      <c r="F1713" s="47"/>
      <c r="I1713" s="47"/>
      <c r="J1713" s="47"/>
      <c r="L1713" s="384"/>
      <c r="M1713" s="47"/>
      <c r="T1713" s="47"/>
      <c r="U1713" s="47"/>
      <c r="V1713" s="47"/>
    </row>
    <row r="1714" spans="6:22" ht="15.75" customHeight="1">
      <c r="F1714" s="47"/>
      <c r="I1714" s="47"/>
      <c r="J1714" s="47"/>
      <c r="L1714" s="384"/>
      <c r="M1714" s="47"/>
      <c r="T1714" s="47"/>
      <c r="U1714" s="47"/>
      <c r="V1714" s="47"/>
    </row>
    <row r="1715" spans="6:22" ht="15.75" customHeight="1">
      <c r="F1715" s="47"/>
      <c r="I1715" s="47"/>
      <c r="J1715" s="47"/>
      <c r="L1715" s="384"/>
      <c r="M1715" s="47"/>
      <c r="T1715" s="47"/>
      <c r="U1715" s="47"/>
      <c r="V1715" s="47"/>
    </row>
    <row r="1716" spans="6:22" ht="15.75" customHeight="1">
      <c r="F1716" s="47"/>
      <c r="I1716" s="47"/>
      <c r="J1716" s="47"/>
      <c r="L1716" s="384"/>
      <c r="M1716" s="47"/>
      <c r="T1716" s="47"/>
      <c r="U1716" s="47"/>
      <c r="V1716" s="47"/>
    </row>
    <row r="1717" spans="6:22" ht="15.75" customHeight="1">
      <c r="F1717" s="47"/>
      <c r="I1717" s="47"/>
      <c r="J1717" s="47"/>
      <c r="L1717" s="384"/>
      <c r="M1717" s="47"/>
      <c r="T1717" s="47"/>
      <c r="U1717" s="47"/>
      <c r="V1717" s="47"/>
    </row>
    <row r="1718" spans="6:22" ht="15.75" customHeight="1">
      <c r="F1718" s="47"/>
      <c r="I1718" s="47"/>
      <c r="J1718" s="47"/>
      <c r="L1718" s="384"/>
      <c r="M1718" s="47"/>
      <c r="T1718" s="47"/>
      <c r="U1718" s="47"/>
      <c r="V1718" s="47"/>
    </row>
    <row r="1719" spans="6:22" ht="15.75" customHeight="1">
      <c r="F1719" s="47"/>
      <c r="I1719" s="47"/>
      <c r="J1719" s="47"/>
      <c r="L1719" s="384"/>
      <c r="M1719" s="47"/>
      <c r="T1719" s="47"/>
      <c r="U1719" s="47"/>
      <c r="V1719" s="47"/>
    </row>
    <row r="1720" spans="6:22" ht="15.75" customHeight="1">
      <c r="F1720" s="47"/>
      <c r="I1720" s="47"/>
      <c r="J1720" s="47"/>
      <c r="L1720" s="384"/>
      <c r="M1720" s="47"/>
      <c r="T1720" s="47"/>
      <c r="U1720" s="47"/>
      <c r="V1720" s="47"/>
    </row>
    <row r="1721" spans="6:22" ht="15.75" customHeight="1">
      <c r="F1721" s="47"/>
      <c r="I1721" s="47"/>
      <c r="J1721" s="47"/>
      <c r="L1721" s="384"/>
      <c r="M1721" s="47"/>
      <c r="T1721" s="47"/>
      <c r="U1721" s="47"/>
      <c r="V1721" s="47"/>
    </row>
    <row r="1722" spans="6:22" ht="15.75" customHeight="1">
      <c r="F1722" s="47"/>
      <c r="I1722" s="47"/>
      <c r="J1722" s="47"/>
      <c r="L1722" s="384"/>
      <c r="M1722" s="47"/>
      <c r="T1722" s="47"/>
      <c r="U1722" s="47"/>
      <c r="V1722" s="47"/>
    </row>
    <row r="1723" spans="6:22" ht="15.75" customHeight="1">
      <c r="F1723" s="47"/>
      <c r="I1723" s="47"/>
      <c r="J1723" s="47"/>
      <c r="L1723" s="384"/>
      <c r="M1723" s="47"/>
      <c r="T1723" s="47"/>
      <c r="U1723" s="47"/>
      <c r="V1723" s="47"/>
    </row>
    <row r="1724" spans="6:22" ht="15.75" customHeight="1">
      <c r="F1724" s="47"/>
      <c r="I1724" s="47"/>
      <c r="J1724" s="47"/>
      <c r="L1724" s="384"/>
      <c r="M1724" s="47"/>
      <c r="T1724" s="47"/>
      <c r="U1724" s="47"/>
      <c r="V1724" s="47"/>
    </row>
    <row r="1725" spans="6:22" ht="15.75" customHeight="1">
      <c r="F1725" s="47"/>
      <c r="I1725" s="47"/>
      <c r="J1725" s="47"/>
      <c r="L1725" s="384"/>
      <c r="M1725" s="47"/>
      <c r="T1725" s="47"/>
      <c r="U1725" s="47"/>
      <c r="V1725" s="47"/>
    </row>
    <row r="1726" spans="6:22" ht="15.75" customHeight="1">
      <c r="F1726" s="47"/>
      <c r="I1726" s="47"/>
      <c r="J1726" s="47"/>
      <c r="L1726" s="384"/>
      <c r="M1726" s="47"/>
      <c r="T1726" s="47"/>
      <c r="U1726" s="47"/>
      <c r="V1726" s="47"/>
    </row>
    <row r="1727" spans="6:22" ht="15.75" customHeight="1">
      <c r="F1727" s="47"/>
      <c r="I1727" s="47"/>
      <c r="J1727" s="47"/>
      <c r="L1727" s="384"/>
      <c r="M1727" s="47"/>
      <c r="T1727" s="47"/>
      <c r="U1727" s="47"/>
      <c r="V1727" s="47"/>
    </row>
    <row r="1728" spans="6:22" ht="15.75" customHeight="1">
      <c r="F1728" s="47"/>
      <c r="I1728" s="47"/>
      <c r="J1728" s="47"/>
      <c r="L1728" s="384"/>
      <c r="M1728" s="47"/>
      <c r="T1728" s="47"/>
      <c r="U1728" s="47"/>
      <c r="V1728" s="47"/>
    </row>
    <row r="1729" spans="6:22" ht="15.75" customHeight="1">
      <c r="F1729" s="47"/>
      <c r="I1729" s="47"/>
      <c r="J1729" s="47"/>
      <c r="L1729" s="384"/>
      <c r="M1729" s="47"/>
      <c r="T1729" s="47"/>
      <c r="U1729" s="47"/>
      <c r="V1729" s="47"/>
    </row>
    <row r="1730" spans="6:22" ht="15.75" customHeight="1">
      <c r="F1730" s="47"/>
      <c r="I1730" s="47"/>
      <c r="J1730" s="47"/>
      <c r="L1730" s="384"/>
      <c r="M1730" s="47"/>
      <c r="T1730" s="47"/>
      <c r="U1730" s="47"/>
      <c r="V1730" s="47"/>
    </row>
    <row r="1731" spans="6:22" ht="15.75" customHeight="1">
      <c r="F1731" s="47"/>
      <c r="I1731" s="47"/>
      <c r="J1731" s="47"/>
      <c r="L1731" s="384"/>
      <c r="M1731" s="47"/>
      <c r="T1731" s="47"/>
      <c r="U1731" s="47"/>
      <c r="V1731" s="47"/>
    </row>
    <row r="1732" spans="6:22" ht="15.75" customHeight="1">
      <c r="F1732" s="47"/>
      <c r="I1732" s="47"/>
      <c r="J1732" s="47"/>
      <c r="L1732" s="384"/>
      <c r="M1732" s="47"/>
      <c r="T1732" s="47"/>
      <c r="U1732" s="47"/>
      <c r="V1732" s="47"/>
    </row>
    <row r="1733" spans="6:22" ht="15.75" customHeight="1">
      <c r="F1733" s="47"/>
      <c r="I1733" s="47"/>
      <c r="J1733" s="47"/>
      <c r="L1733" s="384"/>
      <c r="M1733" s="47"/>
      <c r="T1733" s="47"/>
      <c r="U1733" s="47"/>
      <c r="V1733" s="47"/>
    </row>
    <row r="1734" spans="6:22" ht="15.75" customHeight="1">
      <c r="F1734" s="47"/>
      <c r="I1734" s="47"/>
      <c r="J1734" s="47"/>
      <c r="L1734" s="384"/>
      <c r="M1734" s="47"/>
      <c r="T1734" s="47"/>
      <c r="U1734" s="47"/>
      <c r="V1734" s="47"/>
    </row>
    <row r="1735" spans="6:22" ht="15.75" customHeight="1">
      <c r="F1735" s="47"/>
      <c r="I1735" s="47"/>
      <c r="J1735" s="47"/>
      <c r="L1735" s="384"/>
      <c r="M1735" s="47"/>
      <c r="T1735" s="47"/>
      <c r="U1735" s="47"/>
      <c r="V1735" s="47"/>
    </row>
    <row r="1736" spans="6:22" ht="15.75" customHeight="1">
      <c r="F1736" s="47"/>
      <c r="I1736" s="47"/>
      <c r="J1736" s="47"/>
      <c r="L1736" s="384"/>
      <c r="M1736" s="47"/>
      <c r="T1736" s="47"/>
      <c r="U1736" s="47"/>
      <c r="V1736" s="47"/>
    </row>
    <row r="1737" spans="6:22" ht="15.75" customHeight="1">
      <c r="F1737" s="47"/>
      <c r="I1737" s="47"/>
      <c r="J1737" s="47"/>
      <c r="L1737" s="384"/>
      <c r="M1737" s="47"/>
      <c r="T1737" s="47"/>
      <c r="U1737" s="47"/>
      <c r="V1737" s="47"/>
    </row>
    <row r="1738" spans="6:22" ht="15.75" customHeight="1">
      <c r="F1738" s="47"/>
      <c r="I1738" s="47"/>
      <c r="J1738" s="47"/>
      <c r="L1738" s="384"/>
      <c r="M1738" s="47"/>
      <c r="T1738" s="47"/>
      <c r="U1738" s="47"/>
      <c r="V1738" s="47"/>
    </row>
    <row r="1739" spans="6:22" ht="15.75" customHeight="1">
      <c r="F1739" s="47"/>
      <c r="I1739" s="47"/>
      <c r="J1739" s="47"/>
      <c r="L1739" s="384"/>
      <c r="M1739" s="47"/>
      <c r="T1739" s="47"/>
      <c r="U1739" s="47"/>
      <c r="V1739" s="47"/>
    </row>
    <row r="1740" spans="6:22" ht="15.75" customHeight="1">
      <c r="F1740" s="47"/>
      <c r="I1740" s="47"/>
      <c r="J1740" s="47"/>
      <c r="L1740" s="384"/>
      <c r="M1740" s="47"/>
      <c r="T1740" s="47"/>
      <c r="U1740" s="47"/>
      <c r="V1740" s="47"/>
    </row>
    <row r="1741" spans="6:22" ht="15.75" customHeight="1">
      <c r="F1741" s="47"/>
      <c r="I1741" s="47"/>
      <c r="J1741" s="47"/>
      <c r="L1741" s="384"/>
      <c r="M1741" s="47"/>
      <c r="T1741" s="47"/>
      <c r="U1741" s="47"/>
      <c r="V1741" s="47"/>
    </row>
    <row r="1742" spans="6:22" ht="15.75" customHeight="1">
      <c r="F1742" s="47"/>
      <c r="I1742" s="47"/>
      <c r="J1742" s="47"/>
      <c r="L1742" s="384"/>
      <c r="M1742" s="47"/>
      <c r="T1742" s="47"/>
      <c r="U1742" s="47"/>
      <c r="V1742" s="47"/>
    </row>
    <row r="1743" spans="6:22" ht="15.75" customHeight="1">
      <c r="F1743" s="47"/>
      <c r="I1743" s="47"/>
      <c r="J1743" s="47"/>
      <c r="L1743" s="384"/>
      <c r="M1743" s="47"/>
      <c r="T1743" s="47"/>
      <c r="U1743" s="47"/>
      <c r="V1743" s="47"/>
    </row>
    <row r="1744" spans="6:22" ht="15.75" customHeight="1">
      <c r="F1744" s="47"/>
      <c r="I1744" s="47"/>
      <c r="J1744" s="47"/>
      <c r="L1744" s="384"/>
      <c r="M1744" s="47"/>
      <c r="T1744" s="47"/>
      <c r="U1744" s="47"/>
      <c r="V1744" s="47"/>
    </row>
    <row r="1745" spans="6:22" ht="15.75" customHeight="1">
      <c r="F1745" s="47"/>
      <c r="I1745" s="47"/>
      <c r="J1745" s="47"/>
      <c r="L1745" s="384"/>
      <c r="M1745" s="47"/>
      <c r="T1745" s="47"/>
      <c r="U1745" s="47"/>
      <c r="V1745" s="47"/>
    </row>
    <row r="1746" spans="6:22" ht="15.75" customHeight="1">
      <c r="F1746" s="47"/>
      <c r="I1746" s="47"/>
      <c r="J1746" s="47"/>
      <c r="L1746" s="384"/>
      <c r="M1746" s="47"/>
      <c r="T1746" s="47"/>
      <c r="U1746" s="47"/>
      <c r="V1746" s="47"/>
    </row>
    <row r="1747" spans="6:22" ht="15.75" customHeight="1">
      <c r="F1747" s="47"/>
      <c r="I1747" s="47"/>
      <c r="J1747" s="47"/>
      <c r="L1747" s="384"/>
      <c r="M1747" s="47"/>
      <c r="T1747" s="47"/>
      <c r="U1747" s="47"/>
      <c r="V1747" s="47"/>
    </row>
    <row r="1748" spans="6:22" ht="15.75" customHeight="1">
      <c r="F1748" s="47"/>
      <c r="I1748" s="47"/>
      <c r="J1748" s="47"/>
      <c r="L1748" s="384"/>
      <c r="M1748" s="47"/>
      <c r="T1748" s="47"/>
      <c r="U1748" s="47"/>
      <c r="V1748" s="47"/>
    </row>
    <row r="1749" spans="6:22" ht="15.75" customHeight="1">
      <c r="F1749" s="47"/>
      <c r="I1749" s="47"/>
      <c r="J1749" s="47"/>
      <c r="L1749" s="384"/>
      <c r="M1749" s="47"/>
      <c r="T1749" s="47"/>
      <c r="U1749" s="47"/>
      <c r="V1749" s="47"/>
    </row>
    <row r="1750" spans="6:22" ht="15.75" customHeight="1">
      <c r="F1750" s="47"/>
      <c r="I1750" s="47"/>
      <c r="J1750" s="47"/>
      <c r="L1750" s="384"/>
      <c r="M1750" s="47"/>
      <c r="T1750" s="47"/>
      <c r="U1750" s="47"/>
      <c r="V1750" s="47"/>
    </row>
    <row r="1751" spans="6:22" ht="15.75" customHeight="1">
      <c r="F1751" s="47"/>
      <c r="I1751" s="47"/>
      <c r="J1751" s="47"/>
      <c r="L1751" s="384"/>
      <c r="M1751" s="47"/>
      <c r="T1751" s="47"/>
      <c r="U1751" s="47"/>
      <c r="V1751" s="47"/>
    </row>
    <row r="1752" spans="6:22" ht="15.75" customHeight="1">
      <c r="F1752" s="47"/>
      <c r="I1752" s="47"/>
      <c r="J1752" s="47"/>
      <c r="L1752" s="384"/>
      <c r="M1752" s="47"/>
      <c r="T1752" s="47"/>
      <c r="U1752" s="47"/>
      <c r="V1752" s="47"/>
    </row>
    <row r="1753" spans="6:22" ht="15.75" customHeight="1">
      <c r="F1753" s="47"/>
      <c r="I1753" s="47"/>
      <c r="J1753" s="47"/>
      <c r="L1753" s="384"/>
      <c r="M1753" s="47"/>
      <c r="T1753" s="47"/>
      <c r="U1753" s="47"/>
      <c r="V1753" s="47"/>
    </row>
    <row r="1754" spans="6:22" ht="15.75" customHeight="1">
      <c r="F1754" s="47"/>
      <c r="I1754" s="47"/>
      <c r="J1754" s="47"/>
      <c r="L1754" s="384"/>
      <c r="M1754" s="47"/>
      <c r="T1754" s="47"/>
      <c r="U1754" s="47"/>
      <c r="V1754" s="47"/>
    </row>
    <row r="1755" spans="6:22" ht="15.75" customHeight="1">
      <c r="F1755" s="47"/>
      <c r="I1755" s="47"/>
      <c r="J1755" s="47"/>
      <c r="L1755" s="384"/>
      <c r="M1755" s="47"/>
      <c r="T1755" s="47"/>
      <c r="U1755" s="47"/>
      <c r="V1755" s="47"/>
    </row>
    <row r="1756" spans="6:22" ht="15.75" customHeight="1">
      <c r="F1756" s="47"/>
      <c r="I1756" s="47"/>
      <c r="J1756" s="47"/>
      <c r="L1756" s="384"/>
      <c r="M1756" s="47"/>
      <c r="T1756" s="47"/>
      <c r="U1756" s="47"/>
      <c r="V1756" s="47"/>
    </row>
    <row r="1757" spans="6:22" ht="15.75" customHeight="1">
      <c r="F1757" s="47"/>
      <c r="I1757" s="47"/>
      <c r="J1757" s="47"/>
      <c r="L1757" s="384"/>
      <c r="M1757" s="47"/>
      <c r="T1757" s="47"/>
      <c r="U1757" s="47"/>
      <c r="V1757" s="47"/>
    </row>
    <row r="1758" spans="6:22" ht="15.75" customHeight="1">
      <c r="F1758" s="47"/>
      <c r="I1758" s="47"/>
      <c r="J1758" s="47"/>
      <c r="L1758" s="384"/>
      <c r="M1758" s="47"/>
      <c r="T1758" s="47"/>
      <c r="U1758" s="47"/>
      <c r="V1758" s="47"/>
    </row>
    <row r="1759" spans="6:22" ht="15.75" customHeight="1">
      <c r="F1759" s="47"/>
      <c r="I1759" s="47"/>
      <c r="J1759" s="47"/>
      <c r="L1759" s="384"/>
      <c r="M1759" s="47"/>
      <c r="T1759" s="47"/>
      <c r="U1759" s="47"/>
      <c r="V1759" s="47"/>
    </row>
    <row r="1760" spans="6:22" ht="15.75" customHeight="1">
      <c r="F1760" s="47"/>
      <c r="I1760" s="47"/>
      <c r="J1760" s="47"/>
      <c r="L1760" s="384"/>
      <c r="M1760" s="47"/>
      <c r="T1760" s="47"/>
      <c r="U1760" s="47"/>
      <c r="V1760" s="47"/>
    </row>
    <row r="1761" spans="6:22" ht="15.75" customHeight="1">
      <c r="F1761" s="47"/>
      <c r="I1761" s="47"/>
      <c r="J1761" s="47"/>
      <c r="L1761" s="384"/>
      <c r="M1761" s="47"/>
      <c r="T1761" s="47"/>
      <c r="U1761" s="47"/>
      <c r="V1761" s="47"/>
    </row>
    <row r="1762" spans="6:22" ht="15.75" customHeight="1">
      <c r="F1762" s="47"/>
      <c r="I1762" s="47"/>
      <c r="J1762" s="47"/>
      <c r="L1762" s="384"/>
      <c r="M1762" s="47"/>
      <c r="T1762" s="47"/>
      <c r="U1762" s="47"/>
      <c r="V1762" s="47"/>
    </row>
    <row r="1763" spans="6:22" ht="15.75" customHeight="1">
      <c r="F1763" s="47"/>
      <c r="I1763" s="47"/>
      <c r="J1763" s="47"/>
      <c r="L1763" s="384"/>
      <c r="M1763" s="47"/>
      <c r="T1763" s="47"/>
      <c r="U1763" s="47"/>
      <c r="V1763" s="47"/>
    </row>
    <row r="1764" spans="6:22" ht="15.75" customHeight="1">
      <c r="F1764" s="47"/>
      <c r="I1764" s="47"/>
      <c r="J1764" s="47"/>
      <c r="L1764" s="384"/>
      <c r="M1764" s="47"/>
      <c r="T1764" s="47"/>
      <c r="U1764" s="47"/>
      <c r="V1764" s="47"/>
    </row>
    <row r="1765" spans="6:22" ht="15.75" customHeight="1">
      <c r="F1765" s="47"/>
      <c r="I1765" s="47"/>
      <c r="J1765" s="47"/>
      <c r="L1765" s="384"/>
      <c r="M1765" s="47"/>
      <c r="T1765" s="47"/>
      <c r="U1765" s="47"/>
      <c r="V1765" s="47"/>
    </row>
    <row r="1766" spans="6:22" ht="15.75" customHeight="1">
      <c r="F1766" s="47"/>
      <c r="I1766" s="47"/>
      <c r="J1766" s="47"/>
      <c r="L1766" s="384"/>
      <c r="M1766" s="47"/>
      <c r="T1766" s="47"/>
      <c r="U1766" s="47"/>
      <c r="V1766" s="47"/>
    </row>
    <row r="1767" spans="6:22" ht="15.75" customHeight="1">
      <c r="F1767" s="47"/>
      <c r="I1767" s="47"/>
      <c r="J1767" s="47"/>
      <c r="L1767" s="384"/>
      <c r="M1767" s="47"/>
      <c r="T1767" s="47"/>
      <c r="U1767" s="47"/>
      <c r="V1767" s="47"/>
    </row>
    <row r="1768" spans="6:22" ht="15.75" customHeight="1">
      <c r="F1768" s="47"/>
      <c r="I1768" s="47"/>
      <c r="J1768" s="47"/>
      <c r="L1768" s="384"/>
      <c r="M1768" s="47"/>
      <c r="T1768" s="47"/>
      <c r="U1768" s="47"/>
      <c r="V1768" s="47"/>
    </row>
    <row r="1769" spans="6:22" ht="15.75" customHeight="1">
      <c r="F1769" s="47"/>
      <c r="I1769" s="47"/>
      <c r="J1769" s="47"/>
      <c r="L1769" s="384"/>
      <c r="M1769" s="47"/>
      <c r="T1769" s="47"/>
      <c r="U1769" s="47"/>
      <c r="V1769" s="47"/>
    </row>
    <row r="1770" spans="6:22" ht="15.75" customHeight="1">
      <c r="F1770" s="47"/>
      <c r="I1770" s="47"/>
      <c r="J1770" s="47"/>
      <c r="L1770" s="384"/>
      <c r="M1770" s="47"/>
      <c r="T1770" s="47"/>
      <c r="U1770" s="47"/>
      <c r="V1770" s="47"/>
    </row>
    <row r="1771" spans="6:22" ht="15.75" customHeight="1">
      <c r="F1771" s="47"/>
      <c r="I1771" s="47"/>
      <c r="J1771" s="47"/>
      <c r="L1771" s="384"/>
      <c r="M1771" s="47"/>
      <c r="T1771" s="47"/>
      <c r="U1771" s="47"/>
      <c r="V1771" s="47"/>
    </row>
    <row r="1772" spans="6:22" ht="15.75" customHeight="1">
      <c r="F1772" s="47"/>
      <c r="I1772" s="47"/>
      <c r="J1772" s="47"/>
      <c r="L1772" s="384"/>
      <c r="M1772" s="47"/>
      <c r="T1772" s="47"/>
      <c r="U1772" s="47"/>
      <c r="V1772" s="47"/>
    </row>
    <row r="1773" spans="6:22" ht="15.75" customHeight="1">
      <c r="F1773" s="47"/>
      <c r="I1773" s="47"/>
      <c r="J1773" s="47"/>
      <c r="L1773" s="384"/>
      <c r="M1773" s="47"/>
      <c r="T1773" s="47"/>
      <c r="U1773" s="47"/>
      <c r="V1773" s="47"/>
    </row>
    <row r="1774" spans="6:22" ht="15.75" customHeight="1">
      <c r="F1774" s="47"/>
      <c r="I1774" s="47"/>
      <c r="J1774" s="47"/>
      <c r="L1774" s="384"/>
      <c r="M1774" s="47"/>
      <c r="T1774" s="47"/>
      <c r="U1774" s="47"/>
      <c r="V1774" s="47"/>
    </row>
    <row r="1775" spans="6:22" ht="15.75" customHeight="1">
      <c r="F1775" s="47"/>
      <c r="I1775" s="47"/>
      <c r="J1775" s="47"/>
      <c r="L1775" s="384"/>
      <c r="M1775" s="47"/>
      <c r="T1775" s="47"/>
      <c r="U1775" s="47"/>
      <c r="V1775" s="47"/>
    </row>
    <row r="1776" spans="6:22" ht="15.75" customHeight="1">
      <c r="F1776" s="47"/>
      <c r="I1776" s="47"/>
      <c r="J1776" s="47"/>
      <c r="L1776" s="384"/>
      <c r="M1776" s="47"/>
      <c r="T1776" s="47"/>
      <c r="U1776" s="47"/>
      <c r="V1776" s="47"/>
    </row>
    <row r="1777" spans="6:22" ht="15.75" customHeight="1">
      <c r="F1777" s="47"/>
      <c r="I1777" s="47"/>
      <c r="J1777" s="47"/>
      <c r="L1777" s="384"/>
      <c r="M1777" s="47"/>
      <c r="T1777" s="47"/>
      <c r="U1777" s="47"/>
      <c r="V1777" s="47"/>
    </row>
    <row r="1778" spans="6:22" ht="15.75" customHeight="1">
      <c r="F1778" s="47"/>
      <c r="I1778" s="47"/>
      <c r="J1778" s="47"/>
      <c r="L1778" s="384"/>
      <c r="M1778" s="47"/>
      <c r="T1778" s="47"/>
      <c r="U1778" s="47"/>
      <c r="V1778" s="47"/>
    </row>
    <row r="1779" spans="6:22" ht="15.75" customHeight="1">
      <c r="F1779" s="47"/>
      <c r="I1779" s="47"/>
      <c r="J1779" s="47"/>
      <c r="L1779" s="384"/>
      <c r="M1779" s="47"/>
      <c r="T1779" s="47"/>
      <c r="U1779" s="47"/>
      <c r="V1779" s="47"/>
    </row>
    <row r="1780" spans="6:22" ht="15.75" customHeight="1">
      <c r="F1780" s="47"/>
      <c r="I1780" s="47"/>
      <c r="J1780" s="47"/>
      <c r="L1780" s="384"/>
      <c r="M1780" s="47"/>
      <c r="T1780" s="47"/>
      <c r="U1780" s="47"/>
      <c r="V1780" s="47"/>
    </row>
    <row r="1781" spans="6:22" ht="15.75" customHeight="1">
      <c r="F1781" s="47"/>
      <c r="I1781" s="47"/>
      <c r="J1781" s="47"/>
      <c r="L1781" s="384"/>
      <c r="M1781" s="47"/>
      <c r="T1781" s="47"/>
      <c r="U1781" s="47"/>
      <c r="V1781" s="47"/>
    </row>
    <row r="1782" spans="6:22" ht="15.75" customHeight="1">
      <c r="F1782" s="47"/>
      <c r="I1782" s="47"/>
      <c r="J1782" s="47"/>
      <c r="L1782" s="384"/>
      <c r="M1782" s="47"/>
      <c r="T1782" s="47"/>
      <c r="U1782" s="47"/>
      <c r="V1782" s="47"/>
    </row>
    <row r="1783" spans="6:22" ht="15.75" customHeight="1">
      <c r="F1783" s="47"/>
      <c r="I1783" s="47"/>
      <c r="J1783" s="47"/>
      <c r="L1783" s="384"/>
      <c r="M1783" s="47"/>
      <c r="T1783" s="47"/>
      <c r="U1783" s="47"/>
      <c r="V1783" s="47"/>
    </row>
    <row r="1784" spans="6:22" ht="15.75" customHeight="1">
      <c r="F1784" s="47"/>
      <c r="I1784" s="47"/>
      <c r="J1784" s="47"/>
      <c r="L1784" s="384"/>
      <c r="M1784" s="47"/>
      <c r="T1784" s="47"/>
      <c r="U1784" s="47"/>
      <c r="V1784" s="47"/>
    </row>
    <row r="1785" spans="6:22" ht="15.75" customHeight="1">
      <c r="F1785" s="47"/>
      <c r="I1785" s="47"/>
      <c r="J1785" s="47"/>
      <c r="L1785" s="384"/>
      <c r="M1785" s="47"/>
      <c r="T1785" s="47"/>
      <c r="U1785" s="47"/>
      <c r="V1785" s="47"/>
    </row>
    <row r="1786" spans="6:22" ht="15.75" customHeight="1">
      <c r="F1786" s="47"/>
      <c r="I1786" s="47"/>
      <c r="J1786" s="47"/>
      <c r="L1786" s="384"/>
      <c r="M1786" s="47"/>
      <c r="T1786" s="47"/>
      <c r="U1786" s="47"/>
      <c r="V1786" s="47"/>
    </row>
    <row r="1787" spans="6:22" ht="15.75" customHeight="1">
      <c r="F1787" s="47"/>
      <c r="I1787" s="47"/>
      <c r="J1787" s="47"/>
      <c r="L1787" s="384"/>
      <c r="M1787" s="47"/>
      <c r="T1787" s="47"/>
      <c r="U1787" s="47"/>
      <c r="V1787" s="47"/>
    </row>
    <row r="1788" spans="6:22" ht="15.75" customHeight="1">
      <c r="F1788" s="47"/>
      <c r="I1788" s="47"/>
      <c r="J1788" s="47"/>
      <c r="L1788" s="384"/>
      <c r="M1788" s="47"/>
      <c r="T1788" s="47"/>
      <c r="U1788" s="47"/>
      <c r="V1788" s="47"/>
    </row>
    <row r="1789" spans="6:22" ht="15.75" customHeight="1">
      <c r="F1789" s="47"/>
      <c r="I1789" s="47"/>
      <c r="J1789" s="47"/>
      <c r="L1789" s="384"/>
      <c r="M1789" s="47"/>
      <c r="T1789" s="47"/>
      <c r="U1789" s="47"/>
      <c r="V1789" s="47"/>
    </row>
    <row r="1790" spans="6:22" ht="15.75" customHeight="1">
      <c r="F1790" s="47"/>
      <c r="I1790" s="47"/>
      <c r="J1790" s="47"/>
      <c r="L1790" s="384"/>
      <c r="M1790" s="47"/>
      <c r="T1790" s="47"/>
      <c r="U1790" s="47"/>
      <c r="V1790" s="47"/>
    </row>
    <row r="1791" spans="6:22" ht="15.75" customHeight="1">
      <c r="F1791" s="47"/>
      <c r="I1791" s="47"/>
      <c r="J1791" s="47"/>
      <c r="L1791" s="384"/>
      <c r="M1791" s="47"/>
      <c r="T1791" s="47"/>
      <c r="U1791" s="47"/>
      <c r="V1791" s="47"/>
    </row>
    <row r="1792" spans="6:22" ht="15.75" customHeight="1">
      <c r="F1792" s="47"/>
      <c r="I1792" s="47"/>
      <c r="J1792" s="47"/>
      <c r="L1792" s="384"/>
      <c r="M1792" s="47"/>
      <c r="T1792" s="47"/>
      <c r="U1792" s="47"/>
      <c r="V1792" s="47"/>
    </row>
    <row r="1793" spans="6:22" ht="15.75" customHeight="1">
      <c r="F1793" s="47"/>
      <c r="I1793" s="47"/>
      <c r="J1793" s="47"/>
      <c r="L1793" s="384"/>
      <c r="M1793" s="47"/>
      <c r="T1793" s="47"/>
      <c r="U1793" s="47"/>
      <c r="V1793" s="47"/>
    </row>
    <row r="1794" spans="6:22" ht="15.75" customHeight="1">
      <c r="F1794" s="47"/>
      <c r="I1794" s="47"/>
      <c r="J1794" s="47"/>
      <c r="L1794" s="384"/>
      <c r="M1794" s="47"/>
      <c r="T1794" s="47"/>
      <c r="U1794" s="47"/>
      <c r="V1794" s="47"/>
    </row>
    <row r="1795" spans="6:22" ht="15.75" customHeight="1">
      <c r="F1795" s="47"/>
      <c r="I1795" s="47"/>
      <c r="J1795" s="47"/>
      <c r="L1795" s="384"/>
      <c r="M1795" s="47"/>
      <c r="T1795" s="47"/>
      <c r="U1795" s="47"/>
      <c r="V1795" s="47"/>
    </row>
    <row r="1796" spans="6:22" ht="15.75" customHeight="1">
      <c r="F1796" s="47"/>
      <c r="I1796" s="47"/>
      <c r="J1796" s="47"/>
      <c r="L1796" s="384"/>
      <c r="M1796" s="47"/>
      <c r="T1796" s="47"/>
      <c r="U1796" s="47"/>
      <c r="V1796" s="47"/>
    </row>
    <row r="1797" spans="6:22" ht="15.75" customHeight="1">
      <c r="F1797" s="47"/>
      <c r="I1797" s="47"/>
      <c r="J1797" s="47"/>
      <c r="L1797" s="384"/>
      <c r="M1797" s="47"/>
      <c r="T1797" s="47"/>
      <c r="U1797" s="47"/>
      <c r="V1797" s="47"/>
    </row>
    <row r="1798" spans="6:22" ht="15.75" customHeight="1">
      <c r="F1798" s="47"/>
      <c r="I1798" s="47"/>
      <c r="J1798" s="47"/>
      <c r="L1798" s="384"/>
      <c r="M1798" s="47"/>
      <c r="T1798" s="47"/>
      <c r="U1798" s="47"/>
      <c r="V1798" s="47"/>
    </row>
    <row r="1799" spans="6:22" ht="15.75" customHeight="1">
      <c r="F1799" s="47"/>
      <c r="I1799" s="47"/>
      <c r="J1799" s="47"/>
      <c r="L1799" s="384"/>
      <c r="M1799" s="47"/>
      <c r="T1799" s="47"/>
      <c r="U1799" s="47"/>
      <c r="V1799" s="47"/>
    </row>
    <row r="1800" spans="6:22" ht="15.75" customHeight="1">
      <c r="F1800" s="47"/>
      <c r="I1800" s="47"/>
      <c r="J1800" s="47"/>
      <c r="L1800" s="384"/>
      <c r="M1800" s="47"/>
      <c r="T1800" s="47"/>
      <c r="U1800" s="47"/>
      <c r="V1800" s="47"/>
    </row>
    <row r="1801" spans="6:22" ht="15.75" customHeight="1">
      <c r="F1801" s="47"/>
      <c r="I1801" s="47"/>
      <c r="J1801" s="47"/>
      <c r="L1801" s="384"/>
      <c r="M1801" s="47"/>
      <c r="T1801" s="47"/>
      <c r="U1801" s="47"/>
      <c r="V1801" s="47"/>
    </row>
    <row r="1802" spans="6:22" ht="15.75" customHeight="1">
      <c r="F1802" s="47"/>
      <c r="I1802" s="47"/>
      <c r="J1802" s="47"/>
      <c r="L1802" s="384"/>
      <c r="M1802" s="47"/>
      <c r="T1802" s="47"/>
      <c r="U1802" s="47"/>
      <c r="V1802" s="47"/>
    </row>
    <row r="1803" spans="6:22" ht="15.75" customHeight="1">
      <c r="F1803" s="47"/>
      <c r="I1803" s="47"/>
      <c r="J1803" s="47"/>
      <c r="L1803" s="384"/>
      <c r="M1803" s="47"/>
      <c r="T1803" s="47"/>
      <c r="U1803" s="47"/>
      <c r="V1803" s="47"/>
    </row>
    <row r="1804" spans="6:22" ht="15.75" customHeight="1">
      <c r="F1804" s="47"/>
      <c r="I1804" s="47"/>
      <c r="J1804" s="47"/>
      <c r="L1804" s="384"/>
      <c r="M1804" s="47"/>
      <c r="T1804" s="47"/>
      <c r="U1804" s="47"/>
      <c r="V1804" s="47"/>
    </row>
    <row r="1805" spans="6:22" ht="15.75" customHeight="1">
      <c r="F1805" s="47"/>
      <c r="I1805" s="47"/>
      <c r="J1805" s="47"/>
      <c r="L1805" s="384"/>
      <c r="M1805" s="47"/>
      <c r="T1805" s="47"/>
      <c r="U1805" s="47"/>
      <c r="V1805" s="47"/>
    </row>
    <row r="1806" spans="6:22" ht="15.75" customHeight="1">
      <c r="F1806" s="47"/>
      <c r="I1806" s="47"/>
      <c r="J1806" s="47"/>
      <c r="L1806" s="384"/>
      <c r="M1806" s="47"/>
      <c r="T1806" s="47"/>
      <c r="U1806" s="47"/>
      <c r="V1806" s="47"/>
    </row>
    <row r="1807" spans="6:22" ht="15.75" customHeight="1">
      <c r="F1807" s="47"/>
      <c r="I1807" s="47"/>
      <c r="J1807" s="47"/>
      <c r="L1807" s="384"/>
      <c r="M1807" s="47"/>
      <c r="T1807" s="47"/>
      <c r="U1807" s="47"/>
      <c r="V1807" s="47"/>
    </row>
    <row r="1808" spans="6:22" ht="15.75" customHeight="1">
      <c r="F1808" s="47"/>
      <c r="I1808" s="47"/>
      <c r="J1808" s="47"/>
      <c r="L1808" s="384"/>
      <c r="M1808" s="47"/>
      <c r="T1808" s="47"/>
      <c r="U1808" s="47"/>
      <c r="V1808" s="47"/>
    </row>
    <row r="1809" spans="6:22" ht="15.75" customHeight="1">
      <c r="F1809" s="47"/>
      <c r="I1809" s="47"/>
      <c r="J1809" s="47"/>
      <c r="L1809" s="384"/>
      <c r="M1809" s="47"/>
      <c r="T1809" s="47"/>
      <c r="U1809" s="47"/>
      <c r="V1809" s="47"/>
    </row>
    <row r="1810" spans="6:22" ht="15.75" customHeight="1">
      <c r="F1810" s="47"/>
      <c r="I1810" s="47"/>
      <c r="J1810" s="47"/>
      <c r="L1810" s="384"/>
      <c r="M1810" s="47"/>
      <c r="T1810" s="47"/>
      <c r="U1810" s="47"/>
      <c r="V1810" s="47"/>
    </row>
    <row r="1811" spans="6:22" ht="15.75" customHeight="1">
      <c r="F1811" s="47"/>
      <c r="I1811" s="47"/>
      <c r="J1811" s="47"/>
      <c r="L1811" s="384"/>
      <c r="M1811" s="47"/>
      <c r="T1811" s="47"/>
      <c r="U1811" s="47"/>
      <c r="V1811" s="47"/>
    </row>
    <row r="1812" spans="6:22" ht="15.75" customHeight="1">
      <c r="F1812" s="47"/>
      <c r="I1812" s="47"/>
      <c r="J1812" s="47"/>
      <c r="L1812" s="384"/>
      <c r="M1812" s="47"/>
      <c r="T1812" s="47"/>
      <c r="U1812" s="47"/>
      <c r="V1812" s="47"/>
    </row>
    <row r="1813" spans="6:22" ht="15.75" customHeight="1">
      <c r="F1813" s="47"/>
      <c r="I1813" s="47"/>
      <c r="J1813" s="47"/>
      <c r="L1813" s="384"/>
      <c r="M1813" s="47"/>
      <c r="T1813" s="47"/>
      <c r="U1813" s="47"/>
      <c r="V1813" s="47"/>
    </row>
    <row r="1814" spans="6:22" ht="15.75" customHeight="1">
      <c r="F1814" s="47"/>
      <c r="I1814" s="47"/>
      <c r="J1814" s="47"/>
      <c r="L1814" s="384"/>
      <c r="M1814" s="47"/>
      <c r="T1814" s="47"/>
      <c r="U1814" s="47"/>
      <c r="V1814" s="47"/>
    </row>
    <row r="1815" spans="6:22" ht="15.75" customHeight="1">
      <c r="F1815" s="47"/>
      <c r="I1815" s="47"/>
      <c r="J1815" s="47"/>
      <c r="L1815" s="384"/>
      <c r="M1815" s="47"/>
      <c r="T1815" s="47"/>
      <c r="U1815" s="47"/>
      <c r="V1815" s="47"/>
    </row>
    <row r="1816" spans="6:22" ht="15.75" customHeight="1">
      <c r="F1816" s="47"/>
      <c r="I1816" s="47"/>
      <c r="J1816" s="47"/>
      <c r="L1816" s="384"/>
      <c r="M1816" s="47"/>
      <c r="T1816" s="47"/>
      <c r="U1816" s="47"/>
      <c r="V1816" s="47"/>
    </row>
    <row r="1817" spans="6:22" ht="15.75" customHeight="1">
      <c r="F1817" s="47"/>
      <c r="I1817" s="47"/>
      <c r="J1817" s="47"/>
      <c r="L1817" s="384"/>
      <c r="M1817" s="47"/>
      <c r="T1817" s="47"/>
      <c r="U1817" s="47"/>
      <c r="V1817" s="47"/>
    </row>
    <row r="1818" spans="6:22" ht="15.75" customHeight="1">
      <c r="F1818" s="47"/>
      <c r="I1818" s="47"/>
      <c r="J1818" s="47"/>
      <c r="L1818" s="384"/>
      <c r="M1818" s="47"/>
      <c r="T1818" s="47"/>
      <c r="U1818" s="47"/>
      <c r="V1818" s="47"/>
    </row>
    <row r="1819" spans="6:22" ht="15.75" customHeight="1">
      <c r="F1819" s="47"/>
      <c r="I1819" s="47"/>
      <c r="J1819" s="47"/>
      <c r="L1819" s="384"/>
      <c r="M1819" s="47"/>
      <c r="T1819" s="47"/>
      <c r="U1819" s="47"/>
      <c r="V1819" s="47"/>
    </row>
    <row r="1820" spans="6:22" ht="15.75" customHeight="1">
      <c r="F1820" s="47"/>
      <c r="I1820" s="47"/>
      <c r="J1820" s="47"/>
      <c r="L1820" s="384"/>
      <c r="M1820" s="47"/>
      <c r="T1820" s="47"/>
      <c r="U1820" s="47"/>
      <c r="V1820" s="47"/>
    </row>
    <row r="1821" spans="6:22" ht="15.75" customHeight="1">
      <c r="F1821" s="47"/>
      <c r="I1821" s="47"/>
      <c r="J1821" s="47"/>
      <c r="L1821" s="384"/>
      <c r="M1821" s="47"/>
      <c r="T1821" s="47"/>
      <c r="U1821" s="47"/>
      <c r="V1821" s="47"/>
    </row>
    <row r="1822" spans="6:22" ht="15.75" customHeight="1">
      <c r="F1822" s="47"/>
      <c r="I1822" s="47"/>
      <c r="J1822" s="47"/>
      <c r="L1822" s="384"/>
      <c r="M1822" s="47"/>
      <c r="T1822" s="47"/>
      <c r="U1822" s="47"/>
      <c r="V1822" s="47"/>
    </row>
    <row r="1823" spans="6:22" ht="15.75" customHeight="1">
      <c r="F1823" s="47"/>
      <c r="I1823" s="47"/>
      <c r="J1823" s="47"/>
      <c r="L1823" s="384"/>
      <c r="M1823" s="47"/>
      <c r="T1823" s="47"/>
      <c r="U1823" s="47"/>
      <c r="V1823" s="47"/>
    </row>
    <row r="1824" spans="6:22" ht="15.75" customHeight="1">
      <c r="F1824" s="47"/>
      <c r="I1824" s="47"/>
      <c r="J1824" s="47"/>
      <c r="L1824" s="384"/>
      <c r="M1824" s="47"/>
      <c r="T1824" s="47"/>
      <c r="U1824" s="47"/>
      <c r="V1824" s="47"/>
    </row>
    <row r="1825" spans="6:22" ht="15.75" customHeight="1">
      <c r="F1825" s="47"/>
      <c r="I1825" s="47"/>
      <c r="J1825" s="47"/>
      <c r="L1825" s="384"/>
      <c r="M1825" s="47"/>
      <c r="T1825" s="47"/>
      <c r="U1825" s="47"/>
      <c r="V1825" s="47"/>
    </row>
    <row r="1826" spans="6:22" ht="15.75" customHeight="1">
      <c r="F1826" s="47"/>
      <c r="I1826" s="47"/>
      <c r="J1826" s="47"/>
      <c r="L1826" s="384"/>
      <c r="M1826" s="47"/>
      <c r="T1826" s="47"/>
      <c r="U1826" s="47"/>
      <c r="V1826" s="47"/>
    </row>
    <row r="1827" spans="6:22" ht="15.75" customHeight="1">
      <c r="F1827" s="47"/>
      <c r="I1827" s="47"/>
      <c r="J1827" s="47"/>
      <c r="L1827" s="384"/>
      <c r="M1827" s="47"/>
      <c r="T1827" s="47"/>
      <c r="U1827" s="47"/>
      <c r="V1827" s="47"/>
    </row>
    <row r="1828" spans="6:22" ht="15.75" customHeight="1">
      <c r="F1828" s="47"/>
      <c r="I1828" s="47"/>
      <c r="J1828" s="47"/>
      <c r="L1828" s="384"/>
      <c r="M1828" s="47"/>
      <c r="T1828" s="47"/>
      <c r="U1828" s="47"/>
      <c r="V1828" s="47"/>
    </row>
    <row r="1829" spans="6:22" ht="15.75" customHeight="1">
      <c r="F1829" s="47"/>
      <c r="I1829" s="47"/>
      <c r="J1829" s="47"/>
      <c r="L1829" s="384"/>
      <c r="M1829" s="47"/>
      <c r="T1829" s="47"/>
      <c r="U1829" s="47"/>
      <c r="V1829" s="47"/>
    </row>
    <row r="1830" spans="6:22" ht="15.75" customHeight="1">
      <c r="F1830" s="47"/>
      <c r="I1830" s="47"/>
      <c r="J1830" s="47"/>
      <c r="L1830" s="384"/>
      <c r="M1830" s="47"/>
      <c r="T1830" s="47"/>
      <c r="U1830" s="47"/>
      <c r="V1830" s="47"/>
    </row>
    <row r="1831" spans="6:22" ht="15.75" customHeight="1">
      <c r="F1831" s="47"/>
      <c r="I1831" s="47"/>
      <c r="J1831" s="47"/>
      <c r="L1831" s="384"/>
      <c r="M1831" s="47"/>
      <c r="T1831" s="47"/>
      <c r="U1831" s="47"/>
      <c r="V1831" s="47"/>
    </row>
    <row r="1832" spans="6:22" ht="15.75" customHeight="1">
      <c r="F1832" s="47"/>
      <c r="I1832" s="47"/>
      <c r="J1832" s="47"/>
      <c r="L1832" s="384"/>
      <c r="M1832" s="47"/>
      <c r="T1832" s="47"/>
      <c r="U1832" s="47"/>
      <c r="V1832" s="47"/>
    </row>
    <row r="1833" spans="6:22" ht="15.75" customHeight="1">
      <c r="F1833" s="47"/>
      <c r="I1833" s="47"/>
      <c r="J1833" s="47"/>
      <c r="L1833" s="384"/>
      <c r="M1833" s="47"/>
      <c r="T1833" s="47"/>
      <c r="U1833" s="47"/>
      <c r="V1833" s="47"/>
    </row>
    <row r="1834" spans="6:22" ht="15.75" customHeight="1">
      <c r="F1834" s="47"/>
      <c r="I1834" s="47"/>
      <c r="J1834" s="47"/>
      <c r="L1834" s="384"/>
      <c r="M1834" s="47"/>
      <c r="T1834" s="47"/>
      <c r="U1834" s="47"/>
      <c r="V1834" s="47"/>
    </row>
    <row r="1835" spans="6:22" ht="15.75" customHeight="1">
      <c r="F1835" s="47"/>
      <c r="I1835" s="47"/>
      <c r="J1835" s="47"/>
      <c r="L1835" s="384"/>
      <c r="M1835" s="47"/>
      <c r="T1835" s="47"/>
      <c r="U1835" s="47"/>
      <c r="V1835" s="47"/>
    </row>
    <row r="1836" spans="6:22" ht="15.75" customHeight="1">
      <c r="F1836" s="47"/>
      <c r="I1836" s="47"/>
      <c r="J1836" s="47"/>
      <c r="L1836" s="384"/>
      <c r="M1836" s="47"/>
      <c r="T1836" s="47"/>
      <c r="U1836" s="47"/>
      <c r="V1836" s="47"/>
    </row>
    <row r="1837" spans="6:22" ht="15.75" customHeight="1">
      <c r="F1837" s="47"/>
      <c r="I1837" s="47"/>
      <c r="J1837" s="47"/>
      <c r="L1837" s="384"/>
      <c r="M1837" s="47"/>
      <c r="T1837" s="47"/>
      <c r="U1837" s="47"/>
      <c r="V1837" s="47"/>
    </row>
    <row r="1838" spans="6:22" ht="15.75" customHeight="1">
      <c r="F1838" s="47"/>
      <c r="I1838" s="47"/>
      <c r="J1838" s="47"/>
      <c r="L1838" s="384"/>
      <c r="M1838" s="47"/>
      <c r="T1838" s="47"/>
      <c r="U1838" s="47"/>
      <c r="V1838" s="47"/>
    </row>
    <row r="1839" spans="6:22" ht="15.75" customHeight="1">
      <c r="F1839" s="47"/>
      <c r="I1839" s="47"/>
      <c r="J1839" s="47"/>
      <c r="L1839" s="384"/>
      <c r="M1839" s="47"/>
      <c r="T1839" s="47"/>
      <c r="U1839" s="47"/>
      <c r="V1839" s="47"/>
    </row>
    <row r="1840" spans="6:22" ht="15.75" customHeight="1">
      <c r="F1840" s="47"/>
      <c r="I1840" s="47"/>
      <c r="J1840" s="47"/>
      <c r="L1840" s="384"/>
      <c r="M1840" s="47"/>
      <c r="T1840" s="47"/>
      <c r="U1840" s="47"/>
      <c r="V1840" s="47"/>
    </row>
    <row r="1841" spans="6:22" ht="15.75" customHeight="1">
      <c r="F1841" s="47"/>
      <c r="I1841" s="47"/>
      <c r="J1841" s="47"/>
      <c r="L1841" s="384"/>
      <c r="M1841" s="47"/>
      <c r="T1841" s="47"/>
      <c r="U1841" s="47"/>
      <c r="V1841" s="47"/>
    </row>
    <row r="1842" spans="6:22" ht="15.75" customHeight="1">
      <c r="F1842" s="47"/>
      <c r="I1842" s="47"/>
      <c r="J1842" s="47"/>
      <c r="L1842" s="384"/>
      <c r="M1842" s="47"/>
      <c r="T1842" s="47"/>
      <c r="U1842" s="47"/>
      <c r="V1842" s="47"/>
    </row>
    <row r="1843" spans="6:22" ht="15.75" customHeight="1">
      <c r="F1843" s="47"/>
      <c r="I1843" s="47"/>
      <c r="J1843" s="47"/>
      <c r="L1843" s="384"/>
      <c r="M1843" s="47"/>
      <c r="T1843" s="47"/>
      <c r="U1843" s="47"/>
      <c r="V1843" s="47"/>
    </row>
    <row r="1844" spans="6:22" ht="15.75" customHeight="1">
      <c r="F1844" s="47"/>
      <c r="I1844" s="47"/>
      <c r="J1844" s="47"/>
      <c r="L1844" s="384"/>
      <c r="M1844" s="47"/>
      <c r="T1844" s="47"/>
      <c r="U1844" s="47"/>
      <c r="V1844" s="47"/>
    </row>
    <row r="1845" spans="6:22" ht="15.75" customHeight="1">
      <c r="F1845" s="47"/>
      <c r="I1845" s="47"/>
      <c r="J1845" s="47"/>
      <c r="L1845" s="384"/>
      <c r="M1845" s="47"/>
      <c r="T1845" s="47"/>
      <c r="U1845" s="47"/>
      <c r="V1845" s="47"/>
    </row>
    <row r="1846" spans="6:22" ht="15.75" customHeight="1">
      <c r="F1846" s="47"/>
      <c r="I1846" s="47"/>
      <c r="J1846" s="47"/>
      <c r="L1846" s="384"/>
      <c r="M1846" s="47"/>
      <c r="T1846" s="47"/>
      <c r="U1846" s="47"/>
      <c r="V1846" s="47"/>
    </row>
    <row r="1847" spans="6:22" ht="15.75" customHeight="1">
      <c r="F1847" s="47"/>
      <c r="I1847" s="47"/>
      <c r="J1847" s="47"/>
      <c r="L1847" s="384"/>
      <c r="M1847" s="47"/>
      <c r="T1847" s="47"/>
      <c r="U1847" s="47"/>
      <c r="V1847" s="47"/>
    </row>
    <row r="1848" spans="6:22" ht="15.75" customHeight="1">
      <c r="F1848" s="47"/>
      <c r="I1848" s="47"/>
      <c r="J1848" s="47"/>
      <c r="L1848" s="384"/>
      <c r="M1848" s="47"/>
      <c r="T1848" s="47"/>
      <c r="U1848" s="47"/>
      <c r="V1848" s="47"/>
    </row>
    <row r="1849" spans="6:22" ht="15.75" customHeight="1">
      <c r="F1849" s="47"/>
      <c r="I1849" s="47"/>
      <c r="J1849" s="47"/>
      <c r="L1849" s="384"/>
      <c r="M1849" s="47"/>
      <c r="T1849" s="47"/>
      <c r="U1849" s="47"/>
      <c r="V1849" s="47"/>
    </row>
    <row r="1850" spans="6:22" ht="15.75" customHeight="1">
      <c r="F1850" s="47"/>
      <c r="I1850" s="47"/>
      <c r="J1850" s="47"/>
      <c r="L1850" s="384"/>
      <c r="M1850" s="47"/>
      <c r="T1850" s="47"/>
      <c r="U1850" s="47"/>
      <c r="V1850" s="47"/>
    </row>
    <row r="1851" spans="6:22" ht="15.75" customHeight="1">
      <c r="F1851" s="47"/>
      <c r="I1851" s="47"/>
      <c r="J1851" s="47"/>
      <c r="L1851" s="384"/>
      <c r="M1851" s="47"/>
      <c r="T1851" s="47"/>
      <c r="U1851" s="47"/>
      <c r="V1851" s="47"/>
    </row>
    <row r="1852" spans="6:22" ht="15.75" customHeight="1">
      <c r="F1852" s="47"/>
      <c r="I1852" s="47"/>
      <c r="J1852" s="47"/>
      <c r="L1852" s="384"/>
      <c r="M1852" s="47"/>
      <c r="T1852" s="47"/>
      <c r="U1852" s="47"/>
      <c r="V1852" s="47"/>
    </row>
    <row r="1853" spans="6:22" ht="15.75" customHeight="1">
      <c r="F1853" s="47"/>
      <c r="I1853" s="47"/>
      <c r="J1853" s="47"/>
      <c r="L1853" s="384"/>
      <c r="M1853" s="47"/>
      <c r="T1853" s="47"/>
      <c r="U1853" s="47"/>
      <c r="V1853" s="47"/>
    </row>
    <row r="1854" spans="6:22" ht="15.75" customHeight="1">
      <c r="F1854" s="47"/>
      <c r="I1854" s="47"/>
      <c r="J1854" s="47"/>
      <c r="L1854" s="384"/>
      <c r="M1854" s="47"/>
      <c r="T1854" s="47"/>
      <c r="U1854" s="47"/>
      <c r="V1854" s="47"/>
    </row>
    <row r="1855" spans="6:22" ht="15.75" customHeight="1">
      <c r="F1855" s="47"/>
      <c r="I1855" s="47"/>
      <c r="J1855" s="47"/>
      <c r="L1855" s="384"/>
      <c r="M1855" s="47"/>
      <c r="T1855" s="47"/>
      <c r="U1855" s="47"/>
      <c r="V1855" s="47"/>
    </row>
    <row r="1856" spans="6:22" ht="15.75" customHeight="1">
      <c r="F1856" s="47"/>
      <c r="I1856" s="47"/>
      <c r="J1856" s="47"/>
      <c r="L1856" s="384"/>
      <c r="M1856" s="47"/>
      <c r="T1856" s="47"/>
      <c r="U1856" s="47"/>
      <c r="V1856" s="47"/>
    </row>
    <row r="1857" spans="6:22" ht="15.75" customHeight="1">
      <c r="F1857" s="47"/>
      <c r="I1857" s="47"/>
      <c r="J1857" s="47"/>
      <c r="L1857" s="384"/>
      <c r="M1857" s="47"/>
      <c r="T1857" s="47"/>
      <c r="U1857" s="47"/>
      <c r="V1857" s="47"/>
    </row>
    <row r="1858" spans="6:22" ht="15.75" customHeight="1">
      <c r="F1858" s="47"/>
      <c r="I1858" s="47"/>
      <c r="J1858" s="47"/>
      <c r="L1858" s="384"/>
      <c r="M1858" s="47"/>
      <c r="T1858" s="47"/>
      <c r="U1858" s="47"/>
      <c r="V1858" s="47"/>
    </row>
    <row r="1859" spans="6:22" ht="15.75" customHeight="1">
      <c r="F1859" s="47"/>
      <c r="I1859" s="47"/>
      <c r="J1859" s="47"/>
      <c r="L1859" s="384"/>
      <c r="M1859" s="47"/>
      <c r="T1859" s="47"/>
      <c r="U1859" s="47"/>
      <c r="V1859" s="47"/>
    </row>
    <row r="1860" spans="6:22" ht="15.75" customHeight="1">
      <c r="F1860" s="47"/>
      <c r="I1860" s="47"/>
      <c r="J1860" s="47"/>
      <c r="L1860" s="384"/>
      <c r="M1860" s="47"/>
      <c r="T1860" s="47"/>
      <c r="U1860" s="47"/>
      <c r="V1860" s="47"/>
    </row>
    <row r="1861" spans="6:22" ht="15.75" customHeight="1">
      <c r="F1861" s="47"/>
      <c r="I1861" s="47"/>
      <c r="J1861" s="47"/>
      <c r="L1861" s="384"/>
      <c r="M1861" s="47"/>
      <c r="T1861" s="47"/>
      <c r="U1861" s="47"/>
      <c r="V1861" s="47"/>
    </row>
    <row r="1862" spans="6:22" ht="15.75" customHeight="1">
      <c r="F1862" s="47"/>
      <c r="I1862" s="47"/>
      <c r="J1862" s="47"/>
      <c r="L1862" s="384"/>
      <c r="M1862" s="47"/>
      <c r="T1862" s="47"/>
      <c r="U1862" s="47"/>
      <c r="V1862" s="47"/>
    </row>
    <row r="1863" spans="6:22" ht="15.75" customHeight="1">
      <c r="F1863" s="47"/>
      <c r="I1863" s="47"/>
      <c r="J1863" s="47"/>
      <c r="L1863" s="384"/>
      <c r="M1863" s="47"/>
      <c r="T1863" s="47"/>
      <c r="U1863" s="47"/>
      <c r="V1863" s="47"/>
    </row>
    <row r="1864" spans="6:22" ht="15.75" customHeight="1">
      <c r="F1864" s="47"/>
      <c r="I1864" s="47"/>
      <c r="J1864" s="47"/>
      <c r="L1864" s="384"/>
      <c r="M1864" s="47"/>
      <c r="T1864" s="47"/>
      <c r="U1864" s="47"/>
      <c r="V1864" s="47"/>
    </row>
    <row r="1865" spans="6:22" ht="15.75" customHeight="1">
      <c r="F1865" s="47"/>
      <c r="I1865" s="47"/>
      <c r="J1865" s="47"/>
      <c r="L1865" s="384"/>
      <c r="M1865" s="47"/>
      <c r="T1865" s="47"/>
      <c r="U1865" s="47"/>
      <c r="V1865" s="47"/>
    </row>
    <row r="1866" spans="6:22" ht="15.75" customHeight="1">
      <c r="F1866" s="47"/>
      <c r="I1866" s="47"/>
      <c r="J1866" s="47"/>
      <c r="L1866" s="384"/>
      <c r="M1866" s="47"/>
      <c r="T1866" s="47"/>
      <c r="U1866" s="47"/>
      <c r="V1866" s="47"/>
    </row>
    <row r="1867" spans="6:22" ht="15.75" customHeight="1">
      <c r="F1867" s="47"/>
      <c r="I1867" s="47"/>
      <c r="J1867" s="47"/>
      <c r="L1867" s="384"/>
      <c r="M1867" s="47"/>
      <c r="T1867" s="47"/>
      <c r="U1867" s="47"/>
      <c r="V1867" s="47"/>
    </row>
    <row r="1868" spans="6:22" ht="15.75" customHeight="1">
      <c r="F1868" s="47"/>
      <c r="I1868" s="47"/>
      <c r="J1868" s="47"/>
      <c r="L1868" s="384"/>
      <c r="M1868" s="47"/>
      <c r="T1868" s="47"/>
      <c r="U1868" s="47"/>
      <c r="V1868" s="47"/>
    </row>
    <row r="1869" spans="6:22" ht="15.75" customHeight="1">
      <c r="F1869" s="47"/>
      <c r="I1869" s="47"/>
      <c r="J1869" s="47"/>
      <c r="L1869" s="384"/>
      <c r="M1869" s="47"/>
      <c r="T1869" s="47"/>
      <c r="U1869" s="47"/>
      <c r="V1869" s="47"/>
    </row>
    <row r="1870" spans="6:22" ht="15.75" customHeight="1">
      <c r="F1870" s="47"/>
      <c r="I1870" s="47"/>
      <c r="J1870" s="47"/>
      <c r="L1870" s="384"/>
      <c r="M1870" s="47"/>
      <c r="T1870" s="47"/>
      <c r="U1870" s="47"/>
      <c r="V1870" s="47"/>
    </row>
    <row r="1871" spans="6:22" ht="15.75" customHeight="1">
      <c r="F1871" s="47"/>
      <c r="I1871" s="47"/>
      <c r="J1871" s="47"/>
      <c r="L1871" s="384"/>
      <c r="M1871" s="47"/>
      <c r="T1871" s="47"/>
      <c r="U1871" s="47"/>
      <c r="V1871" s="47"/>
    </row>
    <row r="1872" spans="6:22" ht="15.75" customHeight="1">
      <c r="F1872" s="47"/>
      <c r="I1872" s="47"/>
      <c r="J1872" s="47"/>
      <c r="L1872" s="384"/>
      <c r="M1872" s="47"/>
      <c r="T1872" s="47"/>
      <c r="U1872" s="47"/>
      <c r="V1872" s="47"/>
    </row>
    <row r="1873" spans="6:22" ht="15.75" customHeight="1">
      <c r="F1873" s="47"/>
      <c r="I1873" s="47"/>
      <c r="J1873" s="47"/>
      <c r="L1873" s="384"/>
      <c r="M1873" s="47"/>
      <c r="T1873" s="47"/>
      <c r="U1873" s="47"/>
      <c r="V1873" s="47"/>
    </row>
    <row r="1874" spans="6:22" ht="15.75" customHeight="1">
      <c r="F1874" s="47"/>
      <c r="I1874" s="47"/>
      <c r="J1874" s="47"/>
      <c r="L1874" s="384"/>
      <c r="M1874" s="47"/>
      <c r="T1874" s="47"/>
      <c r="U1874" s="47"/>
      <c r="V1874" s="47"/>
    </row>
    <row r="1875" spans="6:22" ht="15.75" customHeight="1">
      <c r="F1875" s="47"/>
      <c r="I1875" s="47"/>
      <c r="J1875" s="47"/>
      <c r="L1875" s="384"/>
      <c r="M1875" s="47"/>
      <c r="T1875" s="47"/>
      <c r="U1875" s="47"/>
      <c r="V1875" s="47"/>
    </row>
    <row r="1876" spans="6:22" ht="15.75" customHeight="1">
      <c r="F1876" s="47"/>
      <c r="I1876" s="47"/>
      <c r="J1876" s="47"/>
      <c r="L1876" s="384"/>
      <c r="M1876" s="47"/>
      <c r="T1876" s="47"/>
      <c r="U1876" s="47"/>
      <c r="V1876" s="47"/>
    </row>
    <row r="1877" spans="6:22" ht="15.75" customHeight="1">
      <c r="F1877" s="47"/>
      <c r="I1877" s="47"/>
      <c r="J1877" s="47"/>
      <c r="L1877" s="384"/>
      <c r="M1877" s="47"/>
      <c r="T1877" s="47"/>
      <c r="U1877" s="47"/>
      <c r="V1877" s="47"/>
    </row>
    <row r="1878" spans="6:22" ht="15.75" customHeight="1">
      <c r="F1878" s="47"/>
      <c r="I1878" s="47"/>
      <c r="J1878" s="47"/>
      <c r="L1878" s="384"/>
      <c r="M1878" s="47"/>
      <c r="T1878" s="47"/>
      <c r="U1878" s="47"/>
      <c r="V1878" s="47"/>
    </row>
    <row r="1879" spans="6:22" ht="15.75" customHeight="1">
      <c r="F1879" s="47"/>
      <c r="I1879" s="47"/>
      <c r="J1879" s="47"/>
      <c r="L1879" s="384"/>
      <c r="M1879" s="47"/>
      <c r="T1879" s="47"/>
      <c r="U1879" s="47"/>
      <c r="V1879" s="47"/>
    </row>
    <row r="1880" spans="6:22" ht="15.75" customHeight="1">
      <c r="F1880" s="47"/>
      <c r="I1880" s="47"/>
      <c r="J1880" s="47"/>
      <c r="L1880" s="384"/>
      <c r="M1880" s="47"/>
      <c r="T1880" s="47"/>
      <c r="U1880" s="47"/>
      <c r="V1880" s="47"/>
    </row>
    <row r="1881" spans="6:22" ht="15.75" customHeight="1">
      <c r="F1881" s="47"/>
      <c r="I1881" s="47"/>
      <c r="J1881" s="47"/>
      <c r="L1881" s="384"/>
      <c r="M1881" s="47"/>
      <c r="T1881" s="47"/>
      <c r="U1881" s="47"/>
      <c r="V1881" s="47"/>
    </row>
    <row r="1882" spans="6:22" ht="15.75" customHeight="1">
      <c r="F1882" s="47"/>
      <c r="I1882" s="47"/>
      <c r="J1882" s="47"/>
      <c r="L1882" s="384"/>
      <c r="M1882" s="47"/>
      <c r="T1882" s="47"/>
      <c r="U1882" s="47"/>
      <c r="V1882" s="47"/>
    </row>
    <row r="1883" spans="6:22" ht="15.75" customHeight="1">
      <c r="F1883" s="47"/>
      <c r="I1883" s="47"/>
      <c r="J1883" s="47"/>
      <c r="L1883" s="384"/>
      <c r="M1883" s="47"/>
      <c r="T1883" s="47"/>
      <c r="U1883" s="47"/>
      <c r="V1883" s="47"/>
    </row>
    <row r="1884" spans="6:22" ht="15.75" customHeight="1">
      <c r="F1884" s="47"/>
      <c r="I1884" s="47"/>
      <c r="J1884" s="47"/>
      <c r="L1884" s="384"/>
      <c r="M1884" s="47"/>
      <c r="T1884" s="47"/>
      <c r="U1884" s="47"/>
      <c r="V1884" s="47"/>
    </row>
    <row r="1885" spans="6:22" ht="15.75" customHeight="1">
      <c r="F1885" s="47"/>
      <c r="I1885" s="47"/>
      <c r="J1885" s="47"/>
      <c r="L1885" s="384"/>
      <c r="M1885" s="47"/>
      <c r="T1885" s="47"/>
      <c r="U1885" s="47"/>
      <c r="V1885" s="47"/>
    </row>
    <row r="1886" spans="6:22" ht="15.75" customHeight="1">
      <c r="F1886" s="47"/>
      <c r="I1886" s="47"/>
      <c r="J1886" s="47"/>
      <c r="L1886" s="384"/>
      <c r="M1886" s="47"/>
      <c r="T1886" s="47"/>
      <c r="U1886" s="47"/>
      <c r="V1886" s="47"/>
    </row>
    <row r="1887" spans="6:22" ht="15.75" customHeight="1">
      <c r="F1887" s="47"/>
      <c r="I1887" s="47"/>
      <c r="J1887" s="47"/>
      <c r="L1887" s="384"/>
      <c r="M1887" s="47"/>
      <c r="T1887" s="47"/>
      <c r="U1887" s="47"/>
      <c r="V1887" s="47"/>
    </row>
    <row r="1888" spans="6:22" ht="15.75" customHeight="1">
      <c r="F1888" s="47"/>
      <c r="I1888" s="47"/>
      <c r="J1888" s="47"/>
      <c r="L1888" s="384"/>
      <c r="M1888" s="47"/>
      <c r="T1888" s="47"/>
      <c r="U1888" s="47"/>
      <c r="V1888" s="47"/>
    </row>
    <row r="1889" spans="6:22" ht="15.75" customHeight="1">
      <c r="F1889" s="47"/>
      <c r="I1889" s="47"/>
      <c r="J1889" s="47"/>
      <c r="L1889" s="384"/>
      <c r="M1889" s="47"/>
      <c r="T1889" s="47"/>
      <c r="U1889" s="47"/>
      <c r="V1889" s="47"/>
    </row>
    <row r="1890" spans="6:22" ht="15.75" customHeight="1">
      <c r="F1890" s="47"/>
      <c r="I1890" s="47"/>
      <c r="J1890" s="47"/>
      <c r="L1890" s="384"/>
      <c r="M1890" s="47"/>
      <c r="T1890" s="47"/>
      <c r="U1890" s="47"/>
      <c r="V1890" s="47"/>
    </row>
    <row r="1891" spans="6:22" ht="15.75" customHeight="1">
      <c r="F1891" s="47"/>
      <c r="I1891" s="47"/>
      <c r="J1891" s="47"/>
      <c r="L1891" s="384"/>
      <c r="M1891" s="47"/>
      <c r="T1891" s="47"/>
      <c r="U1891" s="47"/>
      <c r="V1891" s="47"/>
    </row>
    <row r="1892" spans="6:22" ht="15.75" customHeight="1">
      <c r="F1892" s="47"/>
      <c r="I1892" s="47"/>
      <c r="J1892" s="47"/>
      <c r="L1892" s="384"/>
      <c r="M1892" s="47"/>
      <c r="T1892" s="47"/>
      <c r="U1892" s="47"/>
      <c r="V1892" s="47"/>
    </row>
    <row r="1893" spans="6:22" ht="15.75" customHeight="1">
      <c r="F1893" s="47"/>
      <c r="I1893" s="47"/>
      <c r="J1893" s="47"/>
      <c r="L1893" s="384"/>
      <c r="M1893" s="47"/>
      <c r="T1893" s="47"/>
      <c r="U1893" s="47"/>
      <c r="V1893" s="47"/>
    </row>
    <row r="1894" spans="6:22" ht="15.75" customHeight="1">
      <c r="F1894" s="47"/>
      <c r="I1894" s="47"/>
      <c r="J1894" s="47"/>
      <c r="L1894" s="384"/>
      <c r="M1894" s="47"/>
      <c r="T1894" s="47"/>
      <c r="U1894" s="47"/>
      <c r="V1894" s="47"/>
    </row>
    <row r="1895" spans="6:22" ht="15.75" customHeight="1">
      <c r="F1895" s="47"/>
      <c r="I1895" s="47"/>
      <c r="J1895" s="47"/>
      <c r="L1895" s="384"/>
      <c r="M1895" s="47"/>
      <c r="T1895" s="47"/>
      <c r="U1895" s="47"/>
      <c r="V1895" s="47"/>
    </row>
    <row r="1896" spans="6:22" ht="15.75" customHeight="1">
      <c r="F1896" s="47"/>
      <c r="I1896" s="47"/>
      <c r="J1896" s="47"/>
      <c r="L1896" s="384"/>
      <c r="M1896" s="47"/>
      <c r="T1896" s="47"/>
      <c r="U1896" s="47"/>
      <c r="V1896" s="47"/>
    </row>
    <row r="1897" spans="6:22" ht="15.75" customHeight="1">
      <c r="F1897" s="47"/>
      <c r="I1897" s="47"/>
      <c r="J1897" s="47"/>
      <c r="L1897" s="384"/>
      <c r="M1897" s="47"/>
      <c r="T1897" s="47"/>
      <c r="U1897" s="47"/>
      <c r="V1897" s="47"/>
    </row>
    <row r="1898" spans="6:22" ht="15.75" customHeight="1">
      <c r="F1898" s="47"/>
      <c r="I1898" s="47"/>
      <c r="J1898" s="47"/>
      <c r="L1898" s="384"/>
      <c r="M1898" s="47"/>
      <c r="T1898" s="47"/>
      <c r="U1898" s="47"/>
      <c r="V1898" s="47"/>
    </row>
    <row r="1899" spans="6:22" ht="15.75" customHeight="1">
      <c r="F1899" s="47"/>
      <c r="I1899" s="47"/>
      <c r="J1899" s="47"/>
      <c r="L1899" s="384"/>
      <c r="M1899" s="47"/>
      <c r="T1899" s="47"/>
      <c r="U1899" s="47"/>
      <c r="V1899" s="47"/>
    </row>
    <row r="1900" spans="6:22" ht="15.75" customHeight="1">
      <c r="F1900" s="47"/>
      <c r="I1900" s="47"/>
      <c r="J1900" s="47"/>
      <c r="L1900" s="384"/>
      <c r="M1900" s="47"/>
      <c r="T1900" s="47"/>
      <c r="U1900" s="47"/>
      <c r="V1900" s="47"/>
    </row>
    <row r="1901" spans="6:22" ht="15.75" customHeight="1">
      <c r="F1901" s="47"/>
      <c r="I1901" s="47"/>
      <c r="J1901" s="47"/>
      <c r="L1901" s="384"/>
      <c r="M1901" s="47"/>
      <c r="T1901" s="47"/>
      <c r="U1901" s="47"/>
      <c r="V1901" s="47"/>
    </row>
    <row r="1902" spans="6:22" ht="15.75" customHeight="1">
      <c r="F1902" s="47"/>
      <c r="I1902" s="47"/>
      <c r="J1902" s="47"/>
      <c r="L1902" s="384"/>
      <c r="M1902" s="47"/>
      <c r="T1902" s="47"/>
      <c r="U1902" s="47"/>
      <c r="V1902" s="47"/>
    </row>
    <row r="1903" spans="6:22" ht="15.75" customHeight="1">
      <c r="F1903" s="47"/>
      <c r="I1903" s="47"/>
      <c r="J1903" s="47"/>
      <c r="L1903" s="384"/>
      <c r="M1903" s="47"/>
      <c r="T1903" s="47"/>
      <c r="U1903" s="47"/>
      <c r="V1903" s="47"/>
    </row>
    <row r="1904" spans="6:22" ht="15.75" customHeight="1">
      <c r="F1904" s="47"/>
      <c r="I1904" s="47"/>
      <c r="J1904" s="47"/>
      <c r="L1904" s="384"/>
      <c r="M1904" s="47"/>
      <c r="T1904" s="47"/>
      <c r="U1904" s="47"/>
      <c r="V1904" s="47"/>
    </row>
    <row r="1905" spans="6:22" ht="15.75" customHeight="1">
      <c r="F1905" s="47"/>
      <c r="I1905" s="47"/>
      <c r="J1905" s="47"/>
      <c r="L1905" s="384"/>
      <c r="M1905" s="47"/>
      <c r="T1905" s="47"/>
      <c r="U1905" s="47"/>
      <c r="V1905" s="47"/>
    </row>
    <row r="1906" spans="6:22" ht="15.75" customHeight="1">
      <c r="F1906" s="47"/>
      <c r="I1906" s="47"/>
      <c r="J1906" s="47"/>
      <c r="L1906" s="384"/>
      <c r="M1906" s="47"/>
      <c r="T1906" s="47"/>
      <c r="U1906" s="47"/>
      <c r="V1906" s="47"/>
    </row>
    <row r="1907" spans="6:22" ht="15.75" customHeight="1">
      <c r="F1907" s="47"/>
      <c r="I1907" s="47"/>
      <c r="J1907" s="47"/>
      <c r="L1907" s="384"/>
      <c r="M1907" s="47"/>
      <c r="T1907" s="47"/>
      <c r="U1907" s="47"/>
      <c r="V1907" s="47"/>
    </row>
    <row r="1908" spans="6:22" ht="15.75" customHeight="1">
      <c r="F1908" s="47"/>
      <c r="I1908" s="47"/>
      <c r="J1908" s="47"/>
      <c r="L1908" s="384"/>
      <c r="M1908" s="47"/>
      <c r="T1908" s="47"/>
      <c r="U1908" s="47"/>
      <c r="V1908" s="47"/>
    </row>
    <row r="1909" spans="6:22" ht="15.75" customHeight="1">
      <c r="F1909" s="47"/>
      <c r="I1909" s="47"/>
      <c r="J1909" s="47"/>
      <c r="L1909" s="384"/>
      <c r="M1909" s="47"/>
      <c r="T1909" s="47"/>
      <c r="U1909" s="47"/>
      <c r="V1909" s="47"/>
    </row>
    <row r="1910" spans="6:22" ht="15.75" customHeight="1">
      <c r="F1910" s="47"/>
      <c r="I1910" s="47"/>
      <c r="J1910" s="47"/>
      <c r="L1910" s="384"/>
      <c r="M1910" s="47"/>
      <c r="T1910" s="47"/>
      <c r="U1910" s="47"/>
      <c r="V1910" s="47"/>
    </row>
    <row r="1911" spans="6:22" ht="15.75" customHeight="1">
      <c r="F1911" s="47"/>
      <c r="I1911" s="47"/>
      <c r="J1911" s="47"/>
      <c r="L1911" s="384"/>
      <c r="M1911" s="47"/>
      <c r="T1911" s="47"/>
      <c r="U1911" s="47"/>
      <c r="V1911" s="47"/>
    </row>
    <row r="1912" spans="6:22" ht="15.75" customHeight="1">
      <c r="F1912" s="47"/>
      <c r="I1912" s="47"/>
      <c r="J1912" s="47"/>
      <c r="L1912" s="384"/>
      <c r="M1912" s="47"/>
      <c r="T1912" s="47"/>
      <c r="U1912" s="47"/>
      <c r="V1912" s="47"/>
    </row>
    <row r="1913" spans="6:22" ht="15.75" customHeight="1">
      <c r="F1913" s="47"/>
      <c r="I1913" s="47"/>
      <c r="J1913" s="47"/>
      <c r="L1913" s="384"/>
      <c r="M1913" s="47"/>
      <c r="T1913" s="47"/>
      <c r="U1913" s="47"/>
      <c r="V1913" s="47"/>
    </row>
    <row r="1914" spans="6:22" ht="15.75" customHeight="1">
      <c r="F1914" s="47"/>
      <c r="I1914" s="47"/>
      <c r="J1914" s="47"/>
      <c r="L1914" s="384"/>
      <c r="M1914" s="47"/>
      <c r="T1914" s="47"/>
      <c r="U1914" s="47"/>
      <c r="V1914" s="47"/>
    </row>
    <row r="1915" spans="6:22" ht="15.75" customHeight="1">
      <c r="F1915" s="47"/>
      <c r="I1915" s="47"/>
      <c r="J1915" s="47"/>
      <c r="L1915" s="384"/>
      <c r="M1915" s="47"/>
      <c r="T1915" s="47"/>
      <c r="U1915" s="47"/>
      <c r="V1915" s="47"/>
    </row>
    <row r="1916" spans="6:22" ht="15.75" customHeight="1">
      <c r="F1916" s="47"/>
      <c r="I1916" s="47"/>
      <c r="J1916" s="47"/>
      <c r="L1916" s="384"/>
      <c r="M1916" s="47"/>
      <c r="T1916" s="47"/>
      <c r="U1916" s="47"/>
      <c r="V1916" s="47"/>
    </row>
    <row r="1917" spans="6:22" ht="15.75" customHeight="1">
      <c r="F1917" s="47"/>
      <c r="I1917" s="47"/>
      <c r="J1917" s="47"/>
      <c r="L1917" s="384"/>
      <c r="M1917" s="47"/>
      <c r="T1917" s="47"/>
      <c r="U1917" s="47"/>
      <c r="V1917" s="47"/>
    </row>
    <row r="1918" spans="6:22" ht="15.75" customHeight="1">
      <c r="F1918" s="47"/>
      <c r="I1918" s="47"/>
      <c r="J1918" s="47"/>
      <c r="L1918" s="384"/>
      <c r="M1918" s="47"/>
      <c r="T1918" s="47"/>
      <c r="U1918" s="47"/>
      <c r="V1918" s="47"/>
    </row>
    <row r="1919" spans="6:22" ht="15.75" customHeight="1">
      <c r="F1919" s="47"/>
      <c r="I1919" s="47"/>
      <c r="J1919" s="47"/>
      <c r="L1919" s="384"/>
      <c r="M1919" s="47"/>
      <c r="T1919" s="47"/>
      <c r="U1919" s="47"/>
      <c r="V1919" s="47"/>
    </row>
    <row r="1920" spans="6:22" ht="15.75" customHeight="1">
      <c r="F1920" s="47"/>
      <c r="I1920" s="47"/>
      <c r="J1920" s="47"/>
      <c r="L1920" s="384"/>
      <c r="M1920" s="47"/>
      <c r="T1920" s="47"/>
      <c r="U1920" s="47"/>
      <c r="V1920" s="47"/>
    </row>
    <row r="1921" spans="6:22" ht="15.75" customHeight="1">
      <c r="F1921" s="47"/>
      <c r="I1921" s="47"/>
      <c r="J1921" s="47"/>
      <c r="L1921" s="384"/>
      <c r="M1921" s="47"/>
      <c r="T1921" s="47"/>
      <c r="U1921" s="47"/>
      <c r="V1921" s="47"/>
    </row>
    <row r="1922" spans="6:22" ht="15.75" customHeight="1">
      <c r="F1922" s="47"/>
      <c r="I1922" s="47"/>
      <c r="J1922" s="47"/>
      <c r="L1922" s="384"/>
      <c r="M1922" s="47"/>
      <c r="T1922" s="47"/>
      <c r="U1922" s="47"/>
      <c r="V1922" s="47"/>
    </row>
    <row r="1923" spans="6:22" ht="15.75" customHeight="1">
      <c r="F1923" s="47"/>
      <c r="I1923" s="47"/>
      <c r="J1923" s="47"/>
      <c r="L1923" s="384"/>
      <c r="M1923" s="47"/>
      <c r="T1923" s="47"/>
      <c r="U1923" s="47"/>
      <c r="V1923" s="47"/>
    </row>
    <row r="1924" spans="6:22" ht="15.75" customHeight="1">
      <c r="F1924" s="47"/>
      <c r="I1924" s="47"/>
      <c r="J1924" s="47"/>
      <c r="L1924" s="384"/>
      <c r="M1924" s="47"/>
      <c r="T1924" s="47"/>
      <c r="U1924" s="47"/>
      <c r="V1924" s="47"/>
    </row>
    <row r="1925" spans="6:22" ht="15.75" customHeight="1">
      <c r="F1925" s="47"/>
      <c r="I1925" s="47"/>
      <c r="J1925" s="47"/>
      <c r="L1925" s="384"/>
      <c r="M1925" s="47"/>
      <c r="T1925" s="47"/>
      <c r="U1925" s="47"/>
      <c r="V1925" s="47"/>
    </row>
    <row r="1926" spans="6:22" ht="15.75" customHeight="1">
      <c r="F1926" s="47"/>
      <c r="I1926" s="47"/>
      <c r="J1926" s="47"/>
      <c r="L1926" s="384"/>
      <c r="M1926" s="47"/>
      <c r="T1926" s="47"/>
      <c r="U1926" s="47"/>
      <c r="V1926" s="47"/>
    </row>
    <row r="1927" spans="6:22" ht="15.75" customHeight="1">
      <c r="F1927" s="47"/>
      <c r="I1927" s="47"/>
      <c r="J1927" s="47"/>
      <c r="L1927" s="384"/>
      <c r="M1927" s="47"/>
      <c r="T1927" s="47"/>
      <c r="U1927" s="47"/>
      <c r="V1927" s="47"/>
    </row>
    <row r="1928" spans="6:22" ht="15.75" customHeight="1">
      <c r="F1928" s="47"/>
      <c r="I1928" s="47"/>
      <c r="J1928" s="47"/>
      <c r="L1928" s="384"/>
      <c r="M1928" s="47"/>
      <c r="T1928" s="47"/>
      <c r="U1928" s="47"/>
      <c r="V1928" s="47"/>
    </row>
    <row r="1929" spans="6:22" ht="15.75" customHeight="1">
      <c r="F1929" s="47"/>
      <c r="I1929" s="47"/>
      <c r="J1929" s="47"/>
      <c r="L1929" s="384"/>
      <c r="M1929" s="47"/>
      <c r="T1929" s="47"/>
      <c r="U1929" s="47"/>
      <c r="V1929" s="47"/>
    </row>
    <row r="1930" spans="6:22" ht="15.75" customHeight="1">
      <c r="F1930" s="47"/>
      <c r="I1930" s="47"/>
      <c r="J1930" s="47"/>
      <c r="L1930" s="384"/>
      <c r="M1930" s="47"/>
      <c r="T1930" s="47"/>
      <c r="U1930" s="47"/>
      <c r="V1930" s="47"/>
    </row>
    <row r="1931" spans="6:22" ht="15.75" customHeight="1">
      <c r="F1931" s="47"/>
      <c r="I1931" s="47"/>
      <c r="J1931" s="47"/>
      <c r="L1931" s="384"/>
      <c r="M1931" s="47"/>
      <c r="T1931" s="47"/>
      <c r="U1931" s="47"/>
      <c r="V1931" s="47"/>
    </row>
    <row r="1932" spans="6:22" ht="15.75" customHeight="1">
      <c r="F1932" s="47"/>
      <c r="I1932" s="47"/>
      <c r="J1932" s="47"/>
      <c r="L1932" s="384"/>
      <c r="M1932" s="47"/>
      <c r="T1932" s="47"/>
      <c r="U1932" s="47"/>
      <c r="V1932" s="47"/>
    </row>
    <row r="1933" spans="6:22" ht="15.75" customHeight="1">
      <c r="F1933" s="47"/>
      <c r="I1933" s="47"/>
      <c r="J1933" s="47"/>
      <c r="L1933" s="384"/>
      <c r="M1933" s="47"/>
      <c r="T1933" s="47"/>
      <c r="U1933" s="47"/>
      <c r="V1933" s="47"/>
    </row>
    <row r="1934" spans="6:22" ht="15.75" customHeight="1">
      <c r="F1934" s="47"/>
      <c r="I1934" s="47"/>
      <c r="J1934" s="47"/>
      <c r="L1934" s="384"/>
      <c r="M1934" s="47"/>
      <c r="T1934" s="47"/>
      <c r="U1934" s="47"/>
      <c r="V1934" s="47"/>
    </row>
    <row r="1935" spans="6:22" ht="15.75" customHeight="1">
      <c r="F1935" s="47"/>
      <c r="I1935" s="47"/>
      <c r="J1935" s="47"/>
      <c r="L1935" s="384"/>
      <c r="M1935" s="47"/>
      <c r="T1935" s="47"/>
      <c r="U1935" s="47"/>
      <c r="V1935" s="47"/>
    </row>
    <row r="1936" spans="6:22" ht="15.75" customHeight="1">
      <c r="F1936" s="47"/>
      <c r="I1936" s="47"/>
      <c r="J1936" s="47"/>
      <c r="L1936" s="384"/>
      <c r="M1936" s="47"/>
      <c r="T1936" s="47"/>
      <c r="U1936" s="47"/>
      <c r="V1936" s="47"/>
    </row>
    <row r="1937" spans="6:22" ht="15.75" customHeight="1">
      <c r="F1937" s="47"/>
      <c r="I1937" s="47"/>
      <c r="J1937" s="47"/>
      <c r="L1937" s="384"/>
      <c r="M1937" s="47"/>
      <c r="T1937" s="47"/>
      <c r="U1937" s="47"/>
      <c r="V1937" s="47"/>
    </row>
    <row r="1938" spans="6:22" ht="15.75" customHeight="1">
      <c r="F1938" s="47"/>
      <c r="I1938" s="47"/>
      <c r="J1938" s="47"/>
      <c r="L1938" s="384"/>
      <c r="M1938" s="47"/>
      <c r="T1938" s="47"/>
      <c r="U1938" s="47"/>
      <c r="V1938" s="47"/>
    </row>
    <row r="1939" spans="6:22" ht="15.75" customHeight="1">
      <c r="F1939" s="47"/>
      <c r="I1939" s="47"/>
      <c r="J1939" s="47"/>
      <c r="L1939" s="384"/>
      <c r="M1939" s="47"/>
      <c r="T1939" s="47"/>
      <c r="U1939" s="47"/>
      <c r="V1939" s="47"/>
    </row>
    <row r="1940" spans="6:22" ht="15.75" customHeight="1">
      <c r="F1940" s="47"/>
      <c r="I1940" s="47"/>
      <c r="J1940" s="47"/>
      <c r="L1940" s="384"/>
      <c r="M1940" s="47"/>
      <c r="T1940" s="47"/>
      <c r="U1940" s="47"/>
      <c r="V1940" s="47"/>
    </row>
    <row r="1941" spans="6:22" ht="15.75" customHeight="1">
      <c r="F1941" s="47"/>
      <c r="I1941" s="47"/>
      <c r="J1941" s="47"/>
      <c r="L1941" s="384"/>
      <c r="M1941" s="47"/>
      <c r="T1941" s="47"/>
      <c r="U1941" s="47"/>
      <c r="V1941" s="47"/>
    </row>
    <row r="1942" spans="6:22" ht="15.75" customHeight="1">
      <c r="F1942" s="47"/>
      <c r="I1942" s="47"/>
      <c r="J1942" s="47"/>
      <c r="L1942" s="384"/>
      <c r="M1942" s="47"/>
      <c r="T1942" s="47"/>
      <c r="U1942" s="47"/>
      <c r="V1942" s="47"/>
    </row>
    <row r="1943" spans="6:22" ht="15.75" customHeight="1">
      <c r="F1943" s="47"/>
      <c r="I1943" s="47"/>
      <c r="J1943" s="47"/>
      <c r="L1943" s="384"/>
      <c r="M1943" s="47"/>
      <c r="T1943" s="47"/>
      <c r="U1943" s="47"/>
      <c r="V1943" s="47"/>
    </row>
    <row r="1944" spans="6:22" ht="15.75" customHeight="1">
      <c r="F1944" s="47"/>
      <c r="I1944" s="47"/>
      <c r="J1944" s="47"/>
      <c r="L1944" s="384"/>
      <c r="M1944" s="47"/>
      <c r="T1944" s="47"/>
      <c r="U1944" s="47"/>
      <c r="V1944" s="47"/>
    </row>
    <row r="1945" spans="6:22" ht="15.75" customHeight="1">
      <c r="F1945" s="47"/>
      <c r="I1945" s="47"/>
      <c r="J1945" s="47"/>
      <c r="L1945" s="384"/>
      <c r="M1945" s="47"/>
      <c r="T1945" s="47"/>
      <c r="U1945" s="47"/>
      <c r="V1945" s="47"/>
    </row>
    <row r="1946" spans="6:22" ht="15.75" customHeight="1">
      <c r="F1946" s="47"/>
      <c r="I1946" s="47"/>
      <c r="J1946" s="47"/>
      <c r="L1946" s="384"/>
      <c r="M1946" s="47"/>
      <c r="T1946" s="47"/>
      <c r="U1946" s="47"/>
      <c r="V1946" s="47"/>
    </row>
    <row r="1947" spans="6:22" ht="15.75" customHeight="1">
      <c r="F1947" s="47"/>
      <c r="I1947" s="47"/>
      <c r="J1947" s="47"/>
      <c r="L1947" s="384"/>
      <c r="M1947" s="47"/>
      <c r="T1947" s="47"/>
      <c r="U1947" s="47"/>
      <c r="V1947" s="47"/>
    </row>
    <row r="1948" spans="6:22" ht="15.75" customHeight="1">
      <c r="F1948" s="47"/>
      <c r="I1948" s="47"/>
      <c r="J1948" s="47"/>
      <c r="L1948" s="384"/>
      <c r="M1948" s="47"/>
      <c r="T1948" s="47"/>
      <c r="U1948" s="47"/>
      <c r="V1948" s="47"/>
    </row>
    <row r="1949" spans="6:22" ht="15.75" customHeight="1">
      <c r="F1949" s="47"/>
      <c r="I1949" s="47"/>
      <c r="J1949" s="47"/>
      <c r="L1949" s="384"/>
      <c r="M1949" s="47"/>
      <c r="T1949" s="47"/>
      <c r="U1949" s="47"/>
      <c r="V1949" s="47"/>
    </row>
    <row r="1950" spans="6:22" ht="15.75" customHeight="1">
      <c r="F1950" s="47"/>
      <c r="I1950" s="47"/>
      <c r="J1950" s="47"/>
      <c r="L1950" s="384"/>
      <c r="M1950" s="47"/>
      <c r="T1950" s="47"/>
      <c r="U1950" s="47"/>
      <c r="V1950" s="47"/>
    </row>
    <row r="1951" spans="6:22" ht="15.75" customHeight="1">
      <c r="F1951" s="47"/>
      <c r="I1951" s="47"/>
      <c r="J1951" s="47"/>
      <c r="L1951" s="384"/>
      <c r="M1951" s="47"/>
      <c r="T1951" s="47"/>
      <c r="U1951" s="47"/>
      <c r="V1951" s="47"/>
    </row>
    <row r="1952" spans="6:22" ht="15.75" customHeight="1">
      <c r="F1952" s="47"/>
      <c r="I1952" s="47"/>
      <c r="J1952" s="47"/>
      <c r="L1952" s="384"/>
      <c r="M1952" s="47"/>
      <c r="T1952" s="47"/>
      <c r="U1952" s="47"/>
      <c r="V1952" s="47"/>
    </row>
    <row r="1953" spans="6:22" ht="15.75" customHeight="1">
      <c r="F1953" s="47"/>
      <c r="I1953" s="47"/>
      <c r="J1953" s="47"/>
      <c r="L1953" s="384"/>
      <c r="M1953" s="47"/>
      <c r="T1953" s="47"/>
      <c r="U1953" s="47"/>
      <c r="V1953" s="47"/>
    </row>
    <row r="1954" spans="6:22" ht="15.75" customHeight="1">
      <c r="F1954" s="47"/>
      <c r="I1954" s="47"/>
      <c r="J1954" s="47"/>
      <c r="L1954" s="384"/>
      <c r="M1954" s="47"/>
      <c r="T1954" s="47"/>
      <c r="U1954" s="47"/>
      <c r="V1954" s="47"/>
    </row>
    <row r="1955" spans="6:22" ht="15.75" customHeight="1">
      <c r="F1955" s="47"/>
      <c r="I1955" s="47"/>
      <c r="J1955" s="47"/>
      <c r="L1955" s="384"/>
      <c r="M1955" s="47"/>
      <c r="T1955" s="47"/>
      <c r="U1955" s="47"/>
      <c r="V1955" s="47"/>
    </row>
    <row r="1956" spans="6:22" ht="15.75" customHeight="1">
      <c r="F1956" s="47"/>
      <c r="I1956" s="47"/>
      <c r="J1956" s="47"/>
      <c r="L1956" s="384"/>
      <c r="M1956" s="47"/>
      <c r="T1956" s="47"/>
      <c r="U1956" s="47"/>
      <c r="V1956" s="47"/>
    </row>
    <row r="1957" spans="6:22" ht="15.75" customHeight="1">
      <c r="F1957" s="47"/>
      <c r="I1957" s="47"/>
      <c r="J1957" s="47"/>
      <c r="L1957" s="384"/>
      <c r="M1957" s="47"/>
      <c r="T1957" s="47"/>
      <c r="U1957" s="47"/>
      <c r="V1957" s="47"/>
    </row>
    <row r="1958" spans="6:22" ht="15.75" customHeight="1">
      <c r="F1958" s="47"/>
      <c r="I1958" s="47"/>
      <c r="J1958" s="47"/>
      <c r="L1958" s="384"/>
      <c r="M1958" s="47"/>
      <c r="T1958" s="47"/>
      <c r="U1958" s="47"/>
      <c r="V1958" s="47"/>
    </row>
    <row r="1959" spans="6:22" ht="15.75" customHeight="1">
      <c r="F1959" s="47"/>
      <c r="I1959" s="47"/>
      <c r="J1959" s="47"/>
      <c r="L1959" s="384"/>
      <c r="M1959" s="47"/>
      <c r="T1959" s="47"/>
      <c r="U1959" s="47"/>
      <c r="V1959" s="47"/>
    </row>
    <row r="1960" spans="6:22" ht="15.75" customHeight="1">
      <c r="F1960" s="47"/>
      <c r="I1960" s="47"/>
      <c r="J1960" s="47"/>
      <c r="L1960" s="384"/>
      <c r="M1960" s="47"/>
      <c r="T1960" s="47"/>
      <c r="U1960" s="47"/>
      <c r="V1960" s="47"/>
    </row>
    <row r="1961" spans="6:22" ht="15.75" customHeight="1">
      <c r="F1961" s="47"/>
      <c r="I1961" s="47"/>
      <c r="J1961" s="47"/>
      <c r="L1961" s="384"/>
      <c r="M1961" s="47"/>
      <c r="T1961" s="47"/>
      <c r="U1961" s="47"/>
      <c r="V1961" s="47"/>
    </row>
    <row r="1962" spans="6:22" ht="15.75" customHeight="1">
      <c r="F1962" s="47"/>
      <c r="I1962" s="47"/>
      <c r="J1962" s="47"/>
      <c r="L1962" s="384"/>
      <c r="M1962" s="47"/>
      <c r="T1962" s="47"/>
      <c r="U1962" s="47"/>
      <c r="V1962" s="47"/>
    </row>
    <row r="1963" spans="6:22" ht="15.75" customHeight="1">
      <c r="F1963" s="47"/>
      <c r="I1963" s="47"/>
      <c r="J1963" s="47"/>
      <c r="L1963" s="384"/>
      <c r="M1963" s="47"/>
      <c r="T1963" s="47"/>
      <c r="U1963" s="47"/>
      <c r="V1963" s="47"/>
    </row>
    <row r="1964" spans="6:22" ht="15.75" customHeight="1">
      <c r="F1964" s="47"/>
      <c r="I1964" s="47"/>
      <c r="J1964" s="47"/>
      <c r="L1964" s="384"/>
      <c r="M1964" s="47"/>
      <c r="T1964" s="47"/>
      <c r="U1964" s="47"/>
      <c r="V1964" s="47"/>
    </row>
    <row r="1965" spans="6:22" ht="15.75" customHeight="1">
      <c r="F1965" s="47"/>
      <c r="I1965" s="47"/>
      <c r="J1965" s="47"/>
      <c r="L1965" s="384"/>
      <c r="M1965" s="47"/>
      <c r="T1965" s="47"/>
      <c r="U1965" s="47"/>
      <c r="V1965" s="47"/>
    </row>
    <row r="1966" spans="6:22" ht="15.75" customHeight="1">
      <c r="F1966" s="47"/>
      <c r="I1966" s="47"/>
      <c r="J1966" s="47"/>
      <c r="L1966" s="384"/>
      <c r="M1966" s="47"/>
      <c r="T1966" s="47"/>
      <c r="U1966" s="47"/>
      <c r="V1966" s="47"/>
    </row>
    <row r="1967" spans="6:22" ht="15.75" customHeight="1">
      <c r="F1967" s="47"/>
      <c r="I1967" s="47"/>
      <c r="J1967" s="47"/>
      <c r="L1967" s="384"/>
      <c r="M1967" s="47"/>
      <c r="T1967" s="47"/>
      <c r="U1967" s="47"/>
      <c r="V1967" s="47"/>
    </row>
    <row r="1968" spans="6:22" ht="15.75" customHeight="1">
      <c r="F1968" s="47"/>
      <c r="I1968" s="47"/>
      <c r="J1968" s="47"/>
      <c r="L1968" s="384"/>
      <c r="M1968" s="47"/>
      <c r="T1968" s="47"/>
      <c r="U1968" s="47"/>
      <c r="V1968" s="47"/>
    </row>
    <row r="1969" spans="6:22" ht="15.75" customHeight="1">
      <c r="F1969" s="47"/>
      <c r="I1969" s="47"/>
      <c r="J1969" s="47"/>
      <c r="L1969" s="384"/>
      <c r="M1969" s="47"/>
      <c r="T1969" s="47"/>
      <c r="U1969" s="47"/>
      <c r="V1969" s="47"/>
    </row>
    <row r="1970" spans="6:22" ht="15.75" customHeight="1">
      <c r="F1970" s="47"/>
      <c r="I1970" s="47"/>
      <c r="J1970" s="47"/>
      <c r="L1970" s="384"/>
      <c r="M1970" s="47"/>
      <c r="T1970" s="47"/>
      <c r="U1970" s="47"/>
      <c r="V1970" s="47"/>
    </row>
    <row r="1971" spans="6:22" ht="15.75" customHeight="1">
      <c r="F1971" s="47"/>
      <c r="I1971" s="47"/>
      <c r="J1971" s="47"/>
      <c r="L1971" s="384"/>
      <c r="M1971" s="47"/>
      <c r="T1971" s="47"/>
      <c r="U1971" s="47"/>
      <c r="V1971" s="47"/>
    </row>
    <row r="1972" spans="6:22" ht="15.75" customHeight="1">
      <c r="F1972" s="47"/>
      <c r="I1972" s="47"/>
      <c r="J1972" s="47"/>
      <c r="L1972" s="384"/>
      <c r="M1972" s="47"/>
      <c r="T1972" s="47"/>
      <c r="U1972" s="47"/>
      <c r="V1972" s="47"/>
    </row>
    <row r="1973" spans="6:22" ht="15.75" customHeight="1">
      <c r="F1973" s="47"/>
      <c r="I1973" s="47"/>
      <c r="J1973" s="47"/>
      <c r="L1973" s="384"/>
      <c r="M1973" s="47"/>
      <c r="T1973" s="47"/>
      <c r="U1973" s="47"/>
      <c r="V1973" s="47"/>
    </row>
    <row r="1974" spans="6:22" ht="15.75" customHeight="1">
      <c r="F1974" s="47"/>
      <c r="I1974" s="47"/>
      <c r="J1974" s="47"/>
      <c r="L1974" s="384"/>
      <c r="M1974" s="47"/>
      <c r="T1974" s="47"/>
      <c r="U1974" s="47"/>
      <c r="V1974" s="47"/>
    </row>
    <row r="1975" spans="6:22" ht="15.75" customHeight="1">
      <c r="F1975" s="47"/>
      <c r="I1975" s="47"/>
      <c r="J1975" s="47"/>
      <c r="L1975" s="384"/>
      <c r="M1975" s="47"/>
      <c r="T1975" s="47"/>
      <c r="U1975" s="47"/>
      <c r="V1975" s="47"/>
    </row>
    <row r="1976" spans="6:22" ht="15.75" customHeight="1">
      <c r="F1976" s="47"/>
      <c r="I1976" s="47"/>
      <c r="J1976" s="47"/>
      <c r="L1976" s="384"/>
      <c r="M1976" s="47"/>
      <c r="T1976" s="47"/>
      <c r="U1976" s="47"/>
      <c r="V1976" s="47"/>
    </row>
    <row r="1977" spans="6:22" ht="15.75" customHeight="1">
      <c r="F1977" s="47"/>
      <c r="I1977" s="47"/>
      <c r="J1977" s="47"/>
      <c r="L1977" s="384"/>
      <c r="M1977" s="47"/>
      <c r="T1977" s="47"/>
      <c r="U1977" s="47"/>
      <c r="V1977" s="47"/>
    </row>
    <row r="1978" spans="6:22" ht="15.75" customHeight="1">
      <c r="F1978" s="47"/>
      <c r="I1978" s="47"/>
      <c r="J1978" s="47"/>
      <c r="L1978" s="384"/>
      <c r="M1978" s="47"/>
      <c r="T1978" s="47"/>
      <c r="U1978" s="47"/>
      <c r="V1978" s="47"/>
    </row>
    <row r="1979" spans="6:22" ht="15.75" customHeight="1">
      <c r="F1979" s="47"/>
      <c r="I1979" s="47"/>
      <c r="J1979" s="47"/>
      <c r="L1979" s="384"/>
      <c r="M1979" s="47"/>
      <c r="T1979" s="47"/>
      <c r="U1979" s="47"/>
      <c r="V1979" s="47"/>
    </row>
    <row r="1980" spans="6:22" ht="15.75" customHeight="1">
      <c r="F1980" s="47"/>
      <c r="I1980" s="47"/>
      <c r="J1980" s="47"/>
      <c r="L1980" s="384"/>
      <c r="M1980" s="47"/>
      <c r="T1980" s="47"/>
      <c r="U1980" s="47"/>
      <c r="V1980" s="47"/>
    </row>
    <row r="1981" spans="6:22" ht="15.75" customHeight="1">
      <c r="F1981" s="47"/>
      <c r="I1981" s="47"/>
      <c r="J1981" s="47"/>
      <c r="L1981" s="384"/>
      <c r="M1981" s="47"/>
      <c r="T1981" s="47"/>
      <c r="U1981" s="47"/>
      <c r="V1981" s="47"/>
    </row>
    <row r="1982" spans="6:22" ht="15.75" customHeight="1">
      <c r="F1982" s="47"/>
      <c r="I1982" s="47"/>
      <c r="J1982" s="47"/>
      <c r="L1982" s="384"/>
      <c r="M1982" s="47"/>
      <c r="T1982" s="47"/>
      <c r="U1982" s="47"/>
      <c r="V1982" s="47"/>
    </row>
    <row r="1983" spans="6:22" ht="15.75" customHeight="1">
      <c r="F1983" s="47"/>
      <c r="I1983" s="47"/>
      <c r="J1983" s="47"/>
      <c r="L1983" s="384"/>
      <c r="M1983" s="47"/>
      <c r="T1983" s="47"/>
      <c r="U1983" s="47"/>
      <c r="V1983" s="47"/>
    </row>
    <row r="1984" spans="6:22" ht="15.75" customHeight="1">
      <c r="F1984" s="47"/>
      <c r="I1984" s="47"/>
      <c r="J1984" s="47"/>
      <c r="L1984" s="384"/>
      <c r="M1984" s="47"/>
      <c r="T1984" s="47"/>
      <c r="U1984" s="47"/>
      <c r="V1984" s="47"/>
    </row>
    <row r="1985" spans="6:22" ht="15.75" customHeight="1">
      <c r="F1985" s="47"/>
      <c r="I1985" s="47"/>
      <c r="J1985" s="47"/>
      <c r="L1985" s="384"/>
      <c r="M1985" s="47"/>
      <c r="T1985" s="47"/>
      <c r="U1985" s="47"/>
      <c r="V1985" s="47"/>
    </row>
    <row r="1986" spans="6:22" ht="15.75" customHeight="1">
      <c r="F1986" s="47"/>
      <c r="I1986" s="47"/>
      <c r="J1986" s="47"/>
      <c r="L1986" s="384"/>
      <c r="M1986" s="47"/>
      <c r="T1986" s="47"/>
      <c r="U1986" s="47"/>
      <c r="V1986" s="47"/>
    </row>
    <row r="1987" spans="6:22" ht="15.75" customHeight="1">
      <c r="F1987" s="47"/>
      <c r="I1987" s="47"/>
      <c r="J1987" s="47"/>
      <c r="L1987" s="384"/>
      <c r="M1987" s="47"/>
      <c r="T1987" s="47"/>
      <c r="U1987" s="47"/>
      <c r="V1987" s="47"/>
    </row>
    <row r="1988" spans="6:22" ht="15.75" customHeight="1">
      <c r="F1988" s="47"/>
      <c r="I1988" s="47"/>
      <c r="J1988" s="47"/>
      <c r="L1988" s="384"/>
      <c r="M1988" s="47"/>
      <c r="T1988" s="47"/>
      <c r="U1988" s="47"/>
      <c r="V1988" s="47"/>
    </row>
    <row r="1989" spans="6:22" ht="15.75" customHeight="1">
      <c r="F1989" s="47"/>
      <c r="I1989" s="47"/>
      <c r="J1989" s="47"/>
      <c r="L1989" s="384"/>
      <c r="M1989" s="47"/>
      <c r="T1989" s="47"/>
      <c r="U1989" s="47"/>
      <c r="V1989" s="47"/>
    </row>
    <row r="1990" spans="6:22" ht="15.75" customHeight="1">
      <c r="F1990" s="47"/>
      <c r="I1990" s="47"/>
      <c r="J1990" s="47"/>
      <c r="L1990" s="384"/>
      <c r="M1990" s="47"/>
      <c r="T1990" s="47"/>
      <c r="U1990" s="47"/>
      <c r="V1990" s="47"/>
    </row>
    <row r="1991" spans="6:22" ht="15.75" customHeight="1">
      <c r="F1991" s="47"/>
      <c r="I1991" s="47"/>
      <c r="J1991" s="47"/>
      <c r="L1991" s="384"/>
      <c r="M1991" s="47"/>
      <c r="T1991" s="47"/>
      <c r="U1991" s="47"/>
      <c r="V1991" s="47"/>
    </row>
    <row r="1992" spans="6:22" ht="15.75" customHeight="1">
      <c r="F1992" s="47"/>
      <c r="I1992" s="47"/>
      <c r="J1992" s="47"/>
      <c r="L1992" s="384"/>
      <c r="M1992" s="47"/>
      <c r="T1992" s="47"/>
      <c r="U1992" s="47"/>
      <c r="V1992" s="47"/>
    </row>
    <row r="1993" spans="6:22" ht="15.75" customHeight="1">
      <c r="F1993" s="47"/>
      <c r="I1993" s="47"/>
      <c r="J1993" s="47"/>
      <c r="L1993" s="384"/>
      <c r="M1993" s="47"/>
      <c r="T1993" s="47"/>
      <c r="U1993" s="47"/>
      <c r="V1993" s="47"/>
    </row>
    <row r="1994" spans="6:22" ht="15.75" customHeight="1">
      <c r="F1994" s="47"/>
      <c r="I1994" s="47"/>
      <c r="J1994" s="47"/>
      <c r="L1994" s="384"/>
      <c r="M1994" s="47"/>
      <c r="T1994" s="47"/>
      <c r="U1994" s="47"/>
      <c r="V1994" s="47"/>
    </row>
    <row r="1995" spans="6:22" ht="15.75" customHeight="1">
      <c r="F1995" s="47"/>
      <c r="I1995" s="47"/>
      <c r="J1995" s="47"/>
      <c r="L1995" s="384"/>
      <c r="M1995" s="47"/>
      <c r="T1995" s="47"/>
      <c r="U1995" s="47"/>
      <c r="V1995" s="47"/>
    </row>
    <row r="1996" spans="6:22" ht="15.75" customHeight="1">
      <c r="F1996" s="47"/>
      <c r="I1996" s="47"/>
      <c r="J1996" s="47"/>
      <c r="L1996" s="384"/>
      <c r="M1996" s="47"/>
      <c r="T1996" s="47"/>
      <c r="U1996" s="47"/>
      <c r="V1996" s="47"/>
    </row>
    <row r="1997" spans="6:22" ht="15.75" customHeight="1">
      <c r="F1997" s="47"/>
      <c r="I1997" s="47"/>
      <c r="J1997" s="47"/>
      <c r="L1997" s="384"/>
      <c r="M1997" s="47"/>
      <c r="T1997" s="47"/>
      <c r="U1997" s="47"/>
      <c r="V1997" s="47"/>
    </row>
    <row r="1998" spans="6:22" ht="15.75" customHeight="1">
      <c r="F1998" s="47"/>
      <c r="I1998" s="47"/>
      <c r="J1998" s="47"/>
      <c r="L1998" s="384"/>
      <c r="M1998" s="47"/>
      <c r="T1998" s="47"/>
      <c r="U1998" s="47"/>
      <c r="V1998" s="47"/>
    </row>
    <row r="1999" spans="6:22" ht="15.75" customHeight="1">
      <c r="F1999" s="47"/>
      <c r="I1999" s="47"/>
      <c r="J1999" s="47"/>
      <c r="L1999" s="384"/>
      <c r="M1999" s="47"/>
      <c r="T1999" s="47"/>
      <c r="U1999" s="47"/>
      <c r="V1999" s="47"/>
    </row>
    <row r="2000" spans="6:22" ht="15.75" customHeight="1">
      <c r="F2000" s="47"/>
      <c r="I2000" s="47"/>
      <c r="J2000" s="47"/>
      <c r="L2000" s="384"/>
      <c r="M2000" s="47"/>
      <c r="T2000" s="47"/>
      <c r="U2000" s="47"/>
      <c r="V2000" s="47"/>
    </row>
    <row r="2001" spans="6:22" ht="15.75" customHeight="1">
      <c r="F2001" s="47"/>
      <c r="I2001" s="47"/>
      <c r="J2001" s="47"/>
      <c r="L2001" s="384"/>
      <c r="M2001" s="47"/>
      <c r="T2001" s="47"/>
      <c r="U2001" s="47"/>
      <c r="V2001" s="47"/>
    </row>
    <row r="2002" spans="6:22" ht="15.75" customHeight="1">
      <c r="F2002" s="47"/>
      <c r="I2002" s="47"/>
      <c r="J2002" s="47"/>
      <c r="L2002" s="384"/>
      <c r="M2002" s="47"/>
      <c r="T2002" s="47"/>
      <c r="U2002" s="47"/>
      <c r="V2002" s="47"/>
    </row>
    <row r="2003" spans="6:22" ht="15.75" customHeight="1">
      <c r="F2003" s="47"/>
      <c r="I2003" s="47"/>
      <c r="J2003" s="47"/>
      <c r="L2003" s="384"/>
      <c r="M2003" s="47"/>
      <c r="T2003" s="47"/>
      <c r="U2003" s="47"/>
      <c r="V2003" s="47"/>
    </row>
    <row r="2004" spans="6:22" ht="15.75" customHeight="1">
      <c r="F2004" s="47"/>
      <c r="I2004" s="47"/>
      <c r="J2004" s="47"/>
      <c r="L2004" s="384"/>
      <c r="M2004" s="47"/>
      <c r="T2004" s="47"/>
      <c r="U2004" s="47"/>
      <c r="V2004" s="47"/>
    </row>
    <row r="2005" spans="6:22" ht="15.75" customHeight="1">
      <c r="F2005" s="47"/>
      <c r="I2005" s="47"/>
      <c r="J2005" s="47"/>
      <c r="L2005" s="384"/>
      <c r="M2005" s="47"/>
      <c r="T2005" s="47"/>
      <c r="U2005" s="47"/>
      <c r="V2005" s="47"/>
    </row>
    <row r="2006" spans="6:22" ht="15.75" customHeight="1">
      <c r="F2006" s="47"/>
      <c r="I2006" s="47"/>
      <c r="J2006" s="47"/>
      <c r="L2006" s="384"/>
      <c r="M2006" s="47"/>
      <c r="T2006" s="47"/>
      <c r="U2006" s="47"/>
      <c r="V2006" s="47"/>
    </row>
    <row r="2007" spans="6:22" ht="15.75" customHeight="1">
      <c r="F2007" s="47"/>
      <c r="I2007" s="47"/>
      <c r="J2007" s="47"/>
      <c r="L2007" s="384"/>
      <c r="M2007" s="47"/>
      <c r="T2007" s="47"/>
      <c r="U2007" s="47"/>
      <c r="V2007" s="47"/>
    </row>
    <row r="2008" spans="6:22" ht="15.75" customHeight="1">
      <c r="F2008" s="47"/>
      <c r="I2008" s="47"/>
      <c r="J2008" s="47"/>
      <c r="L2008" s="384"/>
      <c r="M2008" s="47"/>
      <c r="T2008" s="47"/>
      <c r="U2008" s="47"/>
      <c r="V2008" s="47"/>
    </row>
    <row r="2009" spans="6:22" ht="15.75" customHeight="1">
      <c r="F2009" s="47"/>
      <c r="I2009" s="47"/>
      <c r="J2009" s="47"/>
      <c r="L2009" s="384"/>
      <c r="M2009" s="47"/>
      <c r="T2009" s="47"/>
      <c r="U2009" s="47"/>
      <c r="V2009" s="47"/>
    </row>
    <row r="2010" spans="6:22" ht="15.75" customHeight="1">
      <c r="F2010" s="47"/>
      <c r="I2010" s="47"/>
      <c r="J2010" s="47"/>
      <c r="L2010" s="384"/>
      <c r="M2010" s="47"/>
      <c r="T2010" s="47"/>
      <c r="U2010" s="47"/>
      <c r="V2010" s="47"/>
    </row>
    <row r="2011" spans="6:22" ht="15.75" customHeight="1">
      <c r="F2011" s="47"/>
      <c r="I2011" s="47"/>
      <c r="J2011" s="47"/>
      <c r="L2011" s="384"/>
      <c r="M2011" s="47"/>
      <c r="T2011" s="47"/>
      <c r="U2011" s="47"/>
      <c r="V2011" s="47"/>
    </row>
    <row r="2012" spans="6:22" ht="15.75" customHeight="1">
      <c r="F2012" s="47"/>
      <c r="I2012" s="47"/>
      <c r="J2012" s="47"/>
      <c r="L2012" s="384"/>
      <c r="M2012" s="47"/>
      <c r="T2012" s="47"/>
      <c r="U2012" s="47"/>
      <c r="V2012" s="47"/>
    </row>
    <row r="2013" spans="6:22" ht="15.75" customHeight="1">
      <c r="F2013" s="47"/>
      <c r="I2013" s="47"/>
      <c r="J2013" s="47"/>
      <c r="L2013" s="384"/>
      <c r="M2013" s="47"/>
      <c r="T2013" s="47"/>
      <c r="U2013" s="47"/>
      <c r="V2013" s="47"/>
    </row>
    <row r="2014" spans="6:22" ht="15.75" customHeight="1">
      <c r="F2014" s="47"/>
      <c r="I2014" s="47"/>
      <c r="J2014" s="47"/>
      <c r="L2014" s="384"/>
      <c r="M2014" s="47"/>
      <c r="T2014" s="47"/>
      <c r="U2014" s="47"/>
      <c r="V2014" s="47"/>
    </row>
    <row r="2015" spans="6:22" ht="15.75" customHeight="1">
      <c r="F2015" s="47"/>
      <c r="I2015" s="47"/>
      <c r="J2015" s="47"/>
      <c r="L2015" s="384"/>
      <c r="M2015" s="47"/>
      <c r="T2015" s="47"/>
      <c r="U2015" s="47"/>
      <c r="V2015" s="47"/>
    </row>
    <row r="2016" spans="6:22" ht="15.75" customHeight="1">
      <c r="F2016" s="47"/>
      <c r="I2016" s="47"/>
      <c r="J2016" s="47"/>
      <c r="L2016" s="384"/>
      <c r="M2016" s="47"/>
      <c r="T2016" s="47"/>
      <c r="U2016" s="47"/>
      <c r="V2016" s="47"/>
    </row>
    <row r="2017" spans="6:22" ht="15.75" customHeight="1">
      <c r="F2017" s="47"/>
      <c r="I2017" s="47"/>
      <c r="J2017" s="47"/>
      <c r="L2017" s="384"/>
      <c r="M2017" s="47"/>
      <c r="T2017" s="47"/>
      <c r="U2017" s="47"/>
      <c r="V2017" s="47"/>
    </row>
    <row r="2018" spans="6:22" ht="15.75" customHeight="1">
      <c r="F2018" s="47"/>
      <c r="I2018" s="47"/>
      <c r="J2018" s="47"/>
      <c r="L2018" s="384"/>
      <c r="M2018" s="47"/>
      <c r="T2018" s="47"/>
      <c r="U2018" s="47"/>
      <c r="V2018" s="47"/>
    </row>
    <row r="2019" spans="6:22" ht="15.75" customHeight="1">
      <c r="F2019" s="47"/>
      <c r="I2019" s="47"/>
      <c r="J2019" s="47"/>
      <c r="L2019" s="384"/>
      <c r="M2019" s="47"/>
      <c r="T2019" s="47"/>
      <c r="U2019" s="47"/>
      <c r="V2019" s="47"/>
    </row>
    <row r="2020" spans="6:22" ht="15.75" customHeight="1">
      <c r="F2020" s="47"/>
      <c r="I2020" s="47"/>
      <c r="J2020" s="47"/>
      <c r="L2020" s="384"/>
      <c r="M2020" s="47"/>
      <c r="T2020" s="47"/>
      <c r="U2020" s="47"/>
      <c r="V2020" s="47"/>
    </row>
    <row r="2021" spans="6:22" ht="15.75" customHeight="1">
      <c r="F2021" s="47"/>
      <c r="I2021" s="47"/>
      <c r="J2021" s="47"/>
      <c r="L2021" s="384"/>
      <c r="M2021" s="47"/>
      <c r="T2021" s="47"/>
      <c r="U2021" s="47"/>
      <c r="V2021" s="47"/>
    </row>
    <row r="2022" spans="6:22" ht="15.75" customHeight="1">
      <c r="F2022" s="47"/>
      <c r="I2022" s="47"/>
      <c r="J2022" s="47"/>
      <c r="L2022" s="384"/>
      <c r="M2022" s="47"/>
      <c r="T2022" s="47"/>
      <c r="U2022" s="47"/>
      <c r="V2022" s="47"/>
    </row>
    <row r="2023" spans="6:22" ht="15.75" customHeight="1">
      <c r="F2023" s="47"/>
      <c r="I2023" s="47"/>
      <c r="J2023" s="47"/>
      <c r="L2023" s="384"/>
      <c r="M2023" s="47"/>
      <c r="T2023" s="47"/>
      <c r="U2023" s="47"/>
      <c r="V2023" s="47"/>
    </row>
    <row r="2024" spans="6:22" ht="15.75" customHeight="1">
      <c r="F2024" s="47"/>
      <c r="I2024" s="47"/>
      <c r="J2024" s="47"/>
      <c r="L2024" s="384"/>
      <c r="M2024" s="47"/>
      <c r="T2024" s="47"/>
      <c r="U2024" s="47"/>
      <c r="V2024" s="47"/>
    </row>
    <row r="2025" spans="6:22" ht="15.75" customHeight="1">
      <c r="F2025" s="47"/>
      <c r="I2025" s="47"/>
      <c r="J2025" s="47"/>
      <c r="L2025" s="384"/>
      <c r="M2025" s="47"/>
      <c r="T2025" s="47"/>
      <c r="U2025" s="47"/>
      <c r="V2025" s="47"/>
    </row>
    <row r="2026" spans="6:22" ht="15.75" customHeight="1">
      <c r="F2026" s="47"/>
      <c r="I2026" s="47"/>
      <c r="J2026" s="47"/>
      <c r="L2026" s="384"/>
      <c r="M2026" s="47"/>
      <c r="T2026" s="47"/>
      <c r="U2026" s="47"/>
      <c r="V2026" s="47"/>
    </row>
    <row r="2027" spans="6:22" ht="15.75" customHeight="1">
      <c r="F2027" s="47"/>
      <c r="I2027" s="47"/>
      <c r="J2027" s="47"/>
      <c r="L2027" s="384"/>
      <c r="M2027" s="47"/>
      <c r="T2027" s="47"/>
      <c r="U2027" s="47"/>
      <c r="V2027" s="47"/>
    </row>
    <row r="2028" spans="6:22" ht="15.75" customHeight="1">
      <c r="F2028" s="47"/>
      <c r="I2028" s="47"/>
      <c r="J2028" s="47"/>
      <c r="L2028" s="384"/>
      <c r="M2028" s="47"/>
      <c r="T2028" s="47"/>
      <c r="U2028" s="47"/>
      <c r="V2028" s="47"/>
    </row>
    <row r="2029" spans="6:22" ht="15.75" customHeight="1">
      <c r="F2029" s="47"/>
      <c r="I2029" s="47"/>
      <c r="J2029" s="47"/>
      <c r="L2029" s="384"/>
      <c r="M2029" s="47"/>
      <c r="T2029" s="47"/>
      <c r="U2029" s="47"/>
      <c r="V2029" s="47"/>
    </row>
    <row r="2030" spans="6:22" ht="15.75" customHeight="1">
      <c r="F2030" s="47"/>
      <c r="I2030" s="47"/>
      <c r="J2030" s="47"/>
      <c r="L2030" s="384"/>
      <c r="M2030" s="47"/>
      <c r="T2030" s="47"/>
      <c r="U2030" s="47"/>
      <c r="V2030" s="47"/>
    </row>
    <row r="2031" spans="6:22" ht="15.75" customHeight="1">
      <c r="F2031" s="47"/>
      <c r="I2031" s="47"/>
      <c r="J2031" s="47"/>
      <c r="L2031" s="384"/>
      <c r="M2031" s="47"/>
      <c r="T2031" s="47"/>
      <c r="U2031" s="47"/>
      <c r="V2031" s="47"/>
    </row>
    <row r="2032" spans="6:22" ht="15.75" customHeight="1">
      <c r="F2032" s="47"/>
      <c r="I2032" s="47"/>
      <c r="J2032" s="47"/>
      <c r="L2032" s="384"/>
      <c r="M2032" s="47"/>
      <c r="T2032" s="47"/>
      <c r="U2032" s="47"/>
      <c r="V2032" s="47"/>
    </row>
    <row r="2033" spans="6:22" ht="15.75" customHeight="1">
      <c r="F2033" s="47"/>
      <c r="I2033" s="47"/>
      <c r="J2033" s="47"/>
      <c r="L2033" s="384"/>
      <c r="M2033" s="47"/>
      <c r="T2033" s="47"/>
      <c r="U2033" s="47"/>
      <c r="V2033" s="47"/>
    </row>
    <row r="2034" spans="6:22" ht="15.75" customHeight="1">
      <c r="F2034" s="47"/>
      <c r="I2034" s="47"/>
      <c r="J2034" s="47"/>
      <c r="L2034" s="384"/>
      <c r="M2034" s="47"/>
      <c r="T2034" s="47"/>
      <c r="U2034" s="47"/>
      <c r="V2034" s="47"/>
    </row>
    <row r="2035" spans="6:22" ht="15.75" customHeight="1">
      <c r="F2035" s="47"/>
      <c r="I2035" s="47"/>
      <c r="J2035" s="47"/>
      <c r="L2035" s="384"/>
      <c r="M2035" s="47"/>
      <c r="T2035" s="47"/>
      <c r="U2035" s="47"/>
      <c r="V2035" s="47"/>
    </row>
    <row r="2036" spans="6:22" ht="15.75" customHeight="1">
      <c r="F2036" s="47"/>
      <c r="I2036" s="47"/>
      <c r="J2036" s="47"/>
      <c r="L2036" s="384"/>
      <c r="M2036" s="47"/>
      <c r="T2036" s="47"/>
      <c r="U2036" s="47"/>
      <c r="V2036" s="47"/>
    </row>
  </sheetData>
  <customSheetViews>
    <customSheetView guid="{CE2E5299-57A3-4735-9600-CE5465D3CF87}" filter="1" showAutoFilter="1">
      <pageMargins left="0.7" right="0.7" top="0.75" bottom="0.75" header="0.3" footer="0.3"/>
      <autoFilter ref="A1:X158"/>
      <extLst>
        <ext uri="GoogleSheetsCustomDataVersion1">
          <go:sheetsCustomData xmlns:go="http://customooxmlschemas.google.com/" filterViewId="902611396"/>
        </ext>
      </extLst>
    </customSheetView>
  </customSheetViews>
  <dataValidations count="1">
    <dataValidation type="list" allowBlank="1" showErrorMessage="1" sqref="E2:E126 E129:E140 E143 E151:E164 E167:E174">
      <formula1>#REF!</formula1>
    </dataValidation>
  </dataValidations>
  <hyperlinks>
    <hyperlink ref="M2" r:id="rId1"/>
    <hyperlink ref="R2" r:id="rId2"/>
    <hyperlink ref="S2" r:id="rId3"/>
    <hyperlink ref="V3" r:id="rId4"/>
    <hyperlink ref="V4" r:id="rId5"/>
    <hyperlink ref="V5" r:id="rId6"/>
    <hyperlink ref="V6" r:id="rId7"/>
    <hyperlink ref="V7" r:id="rId8"/>
    <hyperlink ref="V8" r:id="rId9"/>
    <hyperlink ref="T9" r:id="rId10"/>
    <hyperlink ref="V9" r:id="rId11"/>
    <hyperlink ref="R10" r:id="rId12"/>
    <hyperlink ref="S10" r:id="rId13"/>
    <hyperlink ref="T10" r:id="rId14"/>
    <hyperlink ref="U10" r:id="rId15"/>
    <hyperlink ref="V10" r:id="rId16"/>
    <hyperlink ref="U12" r:id="rId17"/>
    <hyperlink ref="U13" r:id="rId18"/>
    <hyperlink ref="R14" r:id="rId19"/>
    <hyperlink ref="U14" r:id="rId20"/>
    <hyperlink ref="U15" r:id="rId21"/>
    <hyperlink ref="U16" r:id="rId22"/>
    <hyperlink ref="S17" r:id="rId23"/>
    <hyperlink ref="T17" r:id="rId24"/>
    <hyperlink ref="U17" r:id="rId25"/>
    <hyperlink ref="S18" r:id="rId26"/>
    <hyperlink ref="U18" r:id="rId27"/>
    <hyperlink ref="S19" r:id="rId28"/>
    <hyperlink ref="U19" r:id="rId29"/>
    <hyperlink ref="S20" r:id="rId30"/>
    <hyperlink ref="U20" r:id="rId31"/>
    <hyperlink ref="V21" r:id="rId32"/>
    <hyperlink ref="T22" r:id="rId33"/>
    <hyperlink ref="R23" r:id="rId34"/>
    <hyperlink ref="S23" r:id="rId35"/>
    <hyperlink ref="T23" r:id="rId36"/>
    <hyperlink ref="U23" r:id="rId37"/>
    <hyperlink ref="T24" r:id="rId38"/>
    <hyperlink ref="T25" r:id="rId39"/>
    <hyperlink ref="T26" r:id="rId40"/>
    <hyperlink ref="T27" r:id="rId41"/>
    <hyperlink ref="T28" r:id="rId42"/>
    <hyperlink ref="T29" r:id="rId43"/>
    <hyperlink ref="T30" r:id="rId44"/>
    <hyperlink ref="T31" r:id="rId45"/>
    <hyperlink ref="R32" r:id="rId46"/>
    <hyperlink ref="S32" r:id="rId47"/>
    <hyperlink ref="T32" r:id="rId48"/>
    <hyperlink ref="R33" r:id="rId49"/>
    <hyperlink ref="S33" r:id="rId50"/>
    <hyperlink ref="T33" r:id="rId51"/>
    <hyperlink ref="U33" r:id="rId52"/>
    <hyperlink ref="R35" r:id="rId53"/>
    <hyperlink ref="S35" r:id="rId54"/>
    <hyperlink ref="U35" r:id="rId55"/>
    <hyperlink ref="R36" r:id="rId56"/>
    <hyperlink ref="S36" r:id="rId57"/>
    <hyperlink ref="U36" r:id="rId58"/>
    <hyperlink ref="R37" r:id="rId59"/>
    <hyperlink ref="S37" r:id="rId60"/>
    <hyperlink ref="U37" r:id="rId61"/>
    <hyperlink ref="R38" r:id="rId62"/>
    <hyperlink ref="S38" r:id="rId63"/>
    <hyperlink ref="T38" r:id="rId64"/>
    <hyperlink ref="U38" r:id="rId65"/>
    <hyperlink ref="T39" r:id="rId66"/>
    <hyperlink ref="R40" r:id="rId67"/>
    <hyperlink ref="S40" r:id="rId68"/>
    <hyperlink ref="S41" r:id="rId69"/>
    <hyperlink ref="S42" r:id="rId70"/>
    <hyperlink ref="S43" r:id="rId71"/>
    <hyperlink ref="S44" r:id="rId72"/>
    <hyperlink ref="S45" r:id="rId73"/>
    <hyperlink ref="R46" r:id="rId74"/>
    <hyperlink ref="R47" r:id="rId75"/>
    <hyperlink ref="S47" r:id="rId76" location="authors"/>
    <hyperlink ref="R48" r:id="rId77"/>
    <hyperlink ref="S48" r:id="rId78"/>
    <hyperlink ref="V49" r:id="rId79"/>
    <hyperlink ref="V50" r:id="rId80"/>
    <hyperlink ref="R51" r:id="rId81"/>
    <hyperlink ref="S51" r:id="rId82"/>
    <hyperlink ref="T52" r:id="rId83"/>
    <hyperlink ref="S53" r:id="rId84"/>
    <hyperlink ref="T53" r:id="rId85"/>
    <hyperlink ref="U53" r:id="rId86"/>
    <hyperlink ref="V53" r:id="rId87"/>
    <hyperlink ref="S54" r:id="rId88"/>
    <hyperlink ref="T54" r:id="rId89"/>
    <hyperlink ref="U54" r:id="rId90"/>
    <hyperlink ref="V54" r:id="rId91"/>
    <hyperlink ref="S55" r:id="rId92"/>
    <hyperlink ref="T55" r:id="rId93"/>
    <hyperlink ref="U55" r:id="rId94"/>
    <hyperlink ref="V55" r:id="rId95"/>
    <hyperlink ref="T57" r:id="rId96"/>
    <hyperlink ref="V57" r:id="rId97"/>
    <hyperlink ref="R58" r:id="rId98"/>
    <hyperlink ref="S58" r:id="rId99"/>
    <hyperlink ref="T58" r:id="rId100"/>
    <hyperlink ref="R59" r:id="rId101"/>
    <hyperlink ref="S59" r:id="rId102"/>
    <hyperlink ref="T59" r:id="rId103"/>
    <hyperlink ref="J60" r:id="rId104"/>
    <hyperlink ref="V61" r:id="rId105"/>
    <hyperlink ref="V62" r:id="rId106"/>
    <hyperlink ref="V63" r:id="rId107"/>
    <hyperlink ref="V64" r:id="rId108"/>
    <hyperlink ref="V65" r:id="rId109"/>
    <hyperlink ref="V66" r:id="rId110"/>
    <hyperlink ref="R67" r:id="rId111"/>
    <hyperlink ref="S67" r:id="rId112"/>
    <hyperlink ref="T67" r:id="rId113"/>
    <hyperlink ref="U67" r:id="rId114"/>
    <hyperlink ref="R68" r:id="rId115"/>
    <hyperlink ref="S68" r:id="rId116"/>
    <hyperlink ref="U68" r:id="rId117"/>
    <hyperlink ref="L69" r:id="rId118"/>
    <hyperlink ref="R69" r:id="rId119"/>
    <hyperlink ref="S69" r:id="rId120"/>
    <hyperlink ref="U69" r:id="rId121"/>
    <hyperlink ref="L70" r:id="rId122"/>
    <hyperlink ref="R70" r:id="rId123"/>
    <hyperlink ref="S70" r:id="rId124"/>
    <hyperlink ref="T70" r:id="rId125"/>
    <hyperlink ref="U70" r:id="rId126"/>
    <hyperlink ref="V71" r:id="rId127"/>
    <hyperlink ref="V72" r:id="rId128"/>
    <hyperlink ref="V73" r:id="rId129"/>
    <hyperlink ref="V74" r:id="rId130"/>
    <hyperlink ref="V75" r:id="rId131"/>
    <hyperlink ref="T76" r:id="rId132"/>
    <hyperlink ref="V77" r:id="rId133"/>
    <hyperlink ref="V78" r:id="rId134"/>
    <hyperlink ref="V79" r:id="rId135"/>
    <hyperlink ref="V80" r:id="rId136"/>
    <hyperlink ref="V81" r:id="rId137"/>
    <hyperlink ref="V82" r:id="rId138"/>
    <hyperlink ref="V83" r:id="rId139"/>
    <hyperlink ref="V84" r:id="rId140"/>
    <hyperlink ref="V85" r:id="rId141"/>
    <hyperlink ref="V86" r:id="rId142"/>
    <hyperlink ref="V87" r:id="rId143"/>
    <hyperlink ref="V88" r:id="rId144"/>
    <hyperlink ref="R89" r:id="rId145"/>
    <hyperlink ref="V89" r:id="rId146"/>
    <hyperlink ref="R90" r:id="rId147"/>
    <hyperlink ref="S90" r:id="rId148"/>
    <hyperlink ref="R91" r:id="rId149"/>
    <hyperlink ref="S91" r:id="rId150"/>
    <hyperlink ref="V92" r:id="rId151"/>
    <hyperlink ref="V93" r:id="rId152"/>
    <hyperlink ref="V94" r:id="rId153"/>
    <hyperlink ref="R95" r:id="rId154"/>
    <hyperlink ref="S95" r:id="rId155"/>
    <hyperlink ref="T95" r:id="rId156"/>
    <hyperlink ref="R96" r:id="rId157"/>
    <hyperlink ref="T96" r:id="rId158"/>
    <hyperlink ref="T97" r:id="rId159"/>
    <hyperlink ref="T98" r:id="rId160"/>
    <hyperlink ref="R100" r:id="rId161"/>
    <hyperlink ref="S100" r:id="rId162"/>
    <hyperlink ref="T100" r:id="rId163"/>
    <hyperlink ref="U100" r:id="rId164"/>
    <hyperlink ref="R101" r:id="rId165"/>
    <hyperlink ref="S101" r:id="rId166"/>
    <hyperlink ref="T101" r:id="rId167"/>
    <hyperlink ref="U101" r:id="rId168"/>
    <hyperlink ref="T102" r:id="rId169"/>
    <hyperlink ref="V102" r:id="rId170"/>
    <hyperlink ref="V103" r:id="rId171"/>
    <hyperlink ref="V104" r:id="rId172"/>
    <hyperlink ref="V105" r:id="rId173"/>
    <hyperlink ref="V106" r:id="rId174"/>
    <hyperlink ref="V107" r:id="rId175"/>
    <hyperlink ref="V108" r:id="rId176"/>
    <hyperlink ref="R109" r:id="rId177"/>
    <hyperlink ref="S109" r:id="rId178"/>
    <hyperlink ref="U109" r:id="rId179"/>
    <hyperlink ref="V110" r:id="rId180"/>
    <hyperlink ref="R111" r:id="rId181"/>
    <hyperlink ref="S111" r:id="rId182"/>
    <hyperlink ref="V112" r:id="rId183"/>
    <hyperlink ref="V113" r:id="rId184"/>
    <hyperlink ref="V114" r:id="rId185"/>
    <hyperlink ref="V115" r:id="rId186"/>
    <hyperlink ref="V116" r:id="rId187"/>
    <hyperlink ref="V117" r:id="rId188"/>
    <hyperlink ref="V118" r:id="rId189"/>
    <hyperlink ref="V119" r:id="rId190"/>
    <hyperlink ref="V120" r:id="rId191"/>
    <hyperlink ref="V121" r:id="rId192"/>
    <hyperlink ref="V122" r:id="rId193"/>
    <hyperlink ref="V123" r:id="rId194"/>
    <hyperlink ref="V124" r:id="rId195"/>
    <hyperlink ref="V125" r:id="rId196"/>
    <hyperlink ref="V126" r:id="rId197"/>
    <hyperlink ref="T127" r:id="rId198"/>
    <hyperlink ref="T128" r:id="rId199"/>
    <hyperlink ref="T129" r:id="rId200"/>
    <hyperlink ref="V129" r:id="rId201"/>
    <hyperlink ref="L130" r:id="rId202"/>
    <hyperlink ref="R130" r:id="rId203"/>
    <hyperlink ref="S130" r:id="rId204"/>
    <hyperlink ref="R131" r:id="rId205"/>
    <hyperlink ref="S131" r:id="rId206"/>
    <hyperlink ref="V132" r:id="rId207"/>
    <hyperlink ref="R133" r:id="rId208"/>
    <hyperlink ref="S133" r:id="rId209"/>
    <hyperlink ref="F134" r:id="rId210"/>
    <hyperlink ref="R134" r:id="rId211"/>
    <hyperlink ref="S134" r:id="rId212"/>
    <hyperlink ref="T135" r:id="rId213"/>
    <hyperlink ref="T136" r:id="rId214"/>
    <hyperlink ref="S137" r:id="rId215"/>
    <hyperlink ref="T137" r:id="rId216"/>
    <hyperlink ref="U137" r:id="rId217"/>
    <hyperlink ref="R138" r:id="rId218"/>
    <hyperlink ref="S138" r:id="rId219"/>
    <hyperlink ref="T138" r:id="rId220"/>
    <hyperlink ref="U138" r:id="rId221"/>
    <hyperlink ref="S139" r:id="rId222"/>
    <hyperlink ref="T139" r:id="rId223"/>
    <hyperlink ref="U139" r:id="rId224"/>
    <hyperlink ref="V140" r:id="rId225"/>
    <hyperlink ref="T141" r:id="rId226"/>
    <hyperlink ref="V141" r:id="rId227"/>
    <hyperlink ref="R142" r:id="rId228"/>
    <hyperlink ref="S142" r:id="rId229"/>
    <hyperlink ref="U142" r:id="rId230"/>
    <hyperlink ref="V143" r:id="rId231"/>
    <hyperlink ref="V144" r:id="rId232"/>
    <hyperlink ref="V146" r:id="rId233"/>
    <hyperlink ref="V147" r:id="rId234"/>
    <hyperlink ref="V148" r:id="rId235"/>
    <hyperlink ref="V149" r:id="rId236"/>
    <hyperlink ref="R150" r:id="rId237"/>
    <hyperlink ref="S150" r:id="rId238"/>
    <hyperlink ref="T150" r:id="rId239"/>
    <hyperlink ref="U150" r:id="rId240"/>
    <hyperlink ref="V150" r:id="rId241"/>
    <hyperlink ref="V151" r:id="rId242"/>
    <hyperlink ref="V152" r:id="rId243"/>
    <hyperlink ref="V153" r:id="rId244"/>
    <hyperlink ref="V154" r:id="rId245"/>
    <hyperlink ref="V155" r:id="rId246"/>
    <hyperlink ref="V156" r:id="rId247"/>
    <hyperlink ref="V157" r:id="rId248"/>
    <hyperlink ref="V158" r:id="rId249"/>
    <hyperlink ref="V159" r:id="rId250"/>
    <hyperlink ref="V160" r:id="rId251"/>
    <hyperlink ref="V161" r:id="rId252"/>
    <hyperlink ref="V163" r:id="rId253"/>
    <hyperlink ref="V164" r:id="rId254"/>
    <hyperlink ref="S165" r:id="rId255"/>
    <hyperlink ref="T165" r:id="rId256"/>
    <hyperlink ref="U165" r:id="rId257"/>
    <hyperlink ref="J166" r:id="rId258"/>
    <hyperlink ref="S166" r:id="rId259"/>
    <hyperlink ref="S167" r:id="rId260"/>
    <hyperlink ref="U167" r:id="rId261"/>
    <hyperlink ref="J168" r:id="rId262"/>
    <hyperlink ref="V168" r:id="rId263"/>
    <hyperlink ref="U170" r:id="rId264"/>
    <hyperlink ref="V170" r:id="rId265"/>
    <hyperlink ref="J171" r:id="rId266"/>
    <hyperlink ref="V171" r:id="rId267"/>
    <hyperlink ref="V172" r:id="rId268"/>
    <hyperlink ref="V173" r:id="rId269"/>
    <hyperlink ref="V174" r:id="rId270"/>
    <hyperlink ref="R175" r:id="rId271"/>
    <hyperlink ref="S175" r:id="rId272"/>
    <hyperlink ref="U175" r:id="rId273"/>
  </hyperlinks>
  <pageMargins left="0.7" right="0.7" top="0.75" bottom="0.75" header="0" footer="0"/>
  <pageSetup orientation="landscape"/>
  <legacyDrawing r:id="rId274"/>
  <tableParts count="9">
    <tablePart r:id="rId275"/>
    <tablePart r:id="rId276"/>
    <tablePart r:id="rId277"/>
    <tablePart r:id="rId278"/>
    <tablePart r:id="rId279"/>
    <tablePart r:id="rId280"/>
    <tablePart r:id="rId281"/>
    <tablePart r:id="rId282"/>
    <tablePart r:id="rId28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B999"/>
  <sheetViews>
    <sheetView workbookViewId="0">
      <pane ySplit="1" topLeftCell="A2" activePane="bottomLeft" state="frozen"/>
      <selection pane="bottomLeft" activeCell="T1" sqref="T1:T1048576"/>
    </sheetView>
  </sheetViews>
  <sheetFormatPr defaultColWidth="12.6328125" defaultRowHeight="15" customHeight="1"/>
  <cols>
    <col min="1" max="2" width="9.6328125" customWidth="1"/>
    <col min="3" max="3" width="23.36328125" customWidth="1"/>
    <col min="4" max="4" width="15.08984375" customWidth="1"/>
    <col min="5" max="5" width="15.90625" customWidth="1"/>
    <col min="6" max="6" width="20.90625" customWidth="1"/>
    <col min="7" max="7" width="12.6328125" customWidth="1"/>
    <col min="8" max="8" width="25.90625" customWidth="1"/>
    <col min="9" max="9" width="30.81640625" customWidth="1"/>
    <col min="10" max="10" width="40" customWidth="1"/>
    <col min="11" max="11" width="8.6328125" customWidth="1"/>
    <col min="12" max="12" width="15.81640625" customWidth="1"/>
    <col min="13" max="13" width="78.6328125" customWidth="1"/>
    <col min="14" max="14" width="23.453125" customWidth="1"/>
    <col min="17" max="17" width="24.1796875" customWidth="1"/>
    <col min="18" max="19" width="19.81640625" customWidth="1"/>
  </cols>
  <sheetData>
    <row r="1" spans="1:28" ht="28">
      <c r="A1" s="385"/>
      <c r="B1" s="385" t="s">
        <v>60</v>
      </c>
      <c r="C1" s="385" t="s">
        <v>61</v>
      </c>
      <c r="D1" s="385" t="s">
        <v>62</v>
      </c>
      <c r="E1" s="386" t="s">
        <v>63</v>
      </c>
      <c r="F1" s="387" t="s">
        <v>64</v>
      </c>
      <c r="G1" s="388" t="s">
        <v>1441</v>
      </c>
      <c r="H1" s="389" t="s">
        <v>1442</v>
      </c>
      <c r="I1" s="389" t="s">
        <v>1443</v>
      </c>
      <c r="J1" s="390" t="s">
        <v>145</v>
      </c>
      <c r="K1" s="391" t="s">
        <v>147</v>
      </c>
      <c r="L1" s="392" t="s">
        <v>1444</v>
      </c>
      <c r="M1" s="393" t="s">
        <v>1445</v>
      </c>
      <c r="N1" s="394" t="s">
        <v>142</v>
      </c>
      <c r="O1" s="389" t="s">
        <v>143</v>
      </c>
      <c r="P1" s="395" t="s">
        <v>1446</v>
      </c>
      <c r="Q1" s="396" t="s">
        <v>1447</v>
      </c>
      <c r="R1" s="397"/>
      <c r="S1" s="398"/>
      <c r="T1" s="397"/>
      <c r="U1" s="399"/>
      <c r="V1" s="399"/>
      <c r="W1" s="399"/>
      <c r="X1" s="399"/>
      <c r="Y1" s="399"/>
      <c r="Z1" s="399"/>
      <c r="AA1" s="399"/>
      <c r="AB1" s="399"/>
    </row>
    <row r="2" spans="1:28" ht="37.5" customHeight="1">
      <c r="A2" s="4">
        <v>1</v>
      </c>
      <c r="B2" s="4" t="s">
        <v>68</v>
      </c>
      <c r="C2" s="4" t="s">
        <v>30</v>
      </c>
      <c r="D2" s="4" t="s">
        <v>153</v>
      </c>
      <c r="E2" s="4" t="s">
        <v>70</v>
      </c>
      <c r="F2" s="4" t="s">
        <v>2</v>
      </c>
      <c r="G2" s="4" t="s">
        <v>1448</v>
      </c>
      <c r="H2" s="4" t="s">
        <v>1449</v>
      </c>
      <c r="I2" s="4" t="s">
        <v>1450</v>
      </c>
      <c r="J2" s="4" t="s">
        <v>1451</v>
      </c>
      <c r="K2" s="8"/>
      <c r="L2" s="4" t="s">
        <v>1452</v>
      </c>
      <c r="M2" s="7" t="s">
        <v>1453</v>
      </c>
      <c r="N2" s="4" t="s">
        <v>951</v>
      </c>
      <c r="O2" s="4">
        <v>2025</v>
      </c>
      <c r="P2" s="17"/>
      <c r="Q2" s="15"/>
      <c r="R2" s="8"/>
      <c r="S2" s="4"/>
      <c r="T2" s="4"/>
      <c r="U2" s="400"/>
      <c r="V2" s="400"/>
      <c r="W2" s="400"/>
      <c r="X2" s="400"/>
      <c r="Y2" s="400"/>
      <c r="Z2" s="400"/>
      <c r="AA2" s="400"/>
      <c r="AB2" s="400"/>
    </row>
    <row r="3" spans="1:28" ht="37.5" customHeight="1">
      <c r="A3" s="9">
        <v>2</v>
      </c>
      <c r="B3" s="9" t="s">
        <v>68</v>
      </c>
      <c r="C3" s="9" t="s">
        <v>30</v>
      </c>
      <c r="D3" s="9" t="s">
        <v>153</v>
      </c>
      <c r="E3" s="9" t="s">
        <v>70</v>
      </c>
      <c r="F3" s="9" t="s">
        <v>5</v>
      </c>
      <c r="G3" s="9"/>
      <c r="H3" s="9" t="s">
        <v>1454</v>
      </c>
      <c r="I3" s="9" t="s">
        <v>1455</v>
      </c>
      <c r="J3" s="9" t="s">
        <v>1456</v>
      </c>
      <c r="K3" s="11"/>
      <c r="L3" s="9" t="s">
        <v>1457</v>
      </c>
      <c r="M3" s="10" t="s">
        <v>1458</v>
      </c>
      <c r="N3" s="9" t="s">
        <v>951</v>
      </c>
      <c r="O3" s="9">
        <v>2025</v>
      </c>
      <c r="P3" s="18"/>
      <c r="Q3" s="14"/>
      <c r="R3" s="11"/>
      <c r="S3" s="9"/>
      <c r="T3" s="11"/>
    </row>
    <row r="4" spans="1:28" ht="37.5" customHeight="1">
      <c r="A4" s="4">
        <v>3</v>
      </c>
      <c r="B4" s="4" t="s">
        <v>73</v>
      </c>
      <c r="C4" s="4" t="s">
        <v>74</v>
      </c>
      <c r="D4" s="4" t="s">
        <v>75</v>
      </c>
      <c r="E4" s="4" t="s">
        <v>76</v>
      </c>
      <c r="F4" s="4" t="s">
        <v>5</v>
      </c>
      <c r="G4" s="4" t="s">
        <v>1459</v>
      </c>
      <c r="H4" s="4" t="s">
        <v>1460</v>
      </c>
      <c r="I4" s="4" t="s">
        <v>1461</v>
      </c>
      <c r="J4" s="4" t="s">
        <v>1462</v>
      </c>
      <c r="K4" s="8"/>
      <c r="L4" s="4" t="s">
        <v>1463</v>
      </c>
      <c r="M4" s="7" t="s">
        <v>1464</v>
      </c>
      <c r="N4" s="4" t="s">
        <v>472</v>
      </c>
      <c r="O4" s="4">
        <v>2025</v>
      </c>
      <c r="P4" s="17"/>
      <c r="Q4" s="12" t="s">
        <v>1465</v>
      </c>
      <c r="R4" s="8"/>
      <c r="S4" s="4"/>
      <c r="T4" s="4"/>
    </row>
    <row r="5" spans="1:28" ht="37.5" customHeight="1">
      <c r="A5" s="9">
        <v>4</v>
      </c>
      <c r="B5" s="9" t="s">
        <v>73</v>
      </c>
      <c r="C5" s="9" t="s">
        <v>22</v>
      </c>
      <c r="D5" s="9" t="s">
        <v>1466</v>
      </c>
      <c r="E5" s="9" t="s">
        <v>76</v>
      </c>
      <c r="F5" s="9" t="s">
        <v>6</v>
      </c>
      <c r="G5" s="9"/>
      <c r="H5" s="9" t="s">
        <v>1467</v>
      </c>
      <c r="I5" s="9" t="s">
        <v>1468</v>
      </c>
      <c r="J5" s="9" t="s">
        <v>1469</v>
      </c>
      <c r="K5" s="11"/>
      <c r="L5" s="9">
        <v>9789371433433</v>
      </c>
      <c r="M5" s="10" t="s">
        <v>1470</v>
      </c>
      <c r="N5" s="9"/>
      <c r="O5" s="9">
        <v>2025</v>
      </c>
      <c r="P5" s="18"/>
      <c r="Q5" s="14"/>
      <c r="R5" s="11"/>
      <c r="S5" s="9"/>
      <c r="T5" s="11"/>
    </row>
    <row r="6" spans="1:28" ht="37.5" customHeight="1">
      <c r="A6" s="4">
        <v>5</v>
      </c>
      <c r="B6" s="4" t="s">
        <v>71</v>
      </c>
      <c r="C6" s="4" t="s">
        <v>35</v>
      </c>
      <c r="D6" s="4" t="s">
        <v>83</v>
      </c>
      <c r="E6" s="4" t="s">
        <v>84</v>
      </c>
      <c r="F6" s="4" t="s">
        <v>4</v>
      </c>
      <c r="G6" s="4" t="s">
        <v>1459</v>
      </c>
      <c r="H6" s="4" t="s">
        <v>1471</v>
      </c>
      <c r="I6" s="4" t="s">
        <v>1472</v>
      </c>
      <c r="J6" s="4" t="s">
        <v>1473</v>
      </c>
      <c r="K6" s="8"/>
      <c r="L6" s="4" t="s">
        <v>1474</v>
      </c>
      <c r="M6" s="7" t="s">
        <v>1475</v>
      </c>
      <c r="N6" s="4" t="s">
        <v>951</v>
      </c>
      <c r="O6" s="4">
        <v>2025</v>
      </c>
      <c r="P6" s="17"/>
      <c r="Q6" s="12" t="s">
        <v>1476</v>
      </c>
      <c r="R6" s="8"/>
      <c r="S6" s="4"/>
      <c r="T6" s="4"/>
    </row>
    <row r="7" spans="1:28" ht="37.5" customHeight="1">
      <c r="A7" s="9">
        <v>6</v>
      </c>
      <c r="B7" s="9" t="s">
        <v>95</v>
      </c>
      <c r="C7" s="9" t="s">
        <v>9</v>
      </c>
      <c r="D7" s="9" t="s">
        <v>285</v>
      </c>
      <c r="E7" s="9" t="s">
        <v>70</v>
      </c>
      <c r="F7" s="9" t="s">
        <v>0</v>
      </c>
      <c r="G7" s="9" t="s">
        <v>1477</v>
      </c>
      <c r="H7" s="9" t="s">
        <v>1478</v>
      </c>
      <c r="J7" s="9" t="s">
        <v>1479</v>
      </c>
      <c r="K7" s="11"/>
      <c r="L7" s="9" t="s">
        <v>1480</v>
      </c>
      <c r="M7" s="21" t="s">
        <v>1481</v>
      </c>
      <c r="N7" s="9"/>
      <c r="O7" s="9">
        <v>2025</v>
      </c>
      <c r="P7" s="18"/>
      <c r="Q7" s="10" t="s">
        <v>1482</v>
      </c>
      <c r="R7" s="11"/>
      <c r="S7" s="9"/>
      <c r="T7" s="9"/>
    </row>
    <row r="8" spans="1:28" ht="37.5" customHeight="1">
      <c r="A8" s="4">
        <v>7</v>
      </c>
      <c r="B8" s="9" t="s">
        <v>68</v>
      </c>
      <c r="C8" s="9" t="s">
        <v>42</v>
      </c>
      <c r="D8" s="9" t="s">
        <v>93</v>
      </c>
      <c r="E8" s="9" t="s">
        <v>80</v>
      </c>
      <c r="F8" s="9" t="s">
        <v>5</v>
      </c>
      <c r="G8" s="9" t="s">
        <v>1483</v>
      </c>
      <c r="H8" s="9" t="s">
        <v>1484</v>
      </c>
      <c r="I8" s="9" t="s">
        <v>1485</v>
      </c>
      <c r="J8" s="9" t="s">
        <v>1486</v>
      </c>
      <c r="K8" s="11"/>
      <c r="L8" s="9" t="s">
        <v>1487</v>
      </c>
      <c r="M8" s="13" t="s">
        <v>1488</v>
      </c>
      <c r="N8" s="9" t="s">
        <v>321</v>
      </c>
      <c r="O8" s="9">
        <v>2025</v>
      </c>
      <c r="P8" s="18"/>
      <c r="Q8" s="13" t="s">
        <v>94</v>
      </c>
      <c r="R8" s="8"/>
      <c r="S8" s="4"/>
      <c r="T8" s="4"/>
    </row>
    <row r="9" spans="1:28" ht="37.5" customHeight="1">
      <c r="A9" s="9">
        <v>8</v>
      </c>
      <c r="B9" s="4" t="s">
        <v>68</v>
      </c>
      <c r="C9" s="4" t="s">
        <v>42</v>
      </c>
      <c r="D9" s="4" t="s">
        <v>93</v>
      </c>
      <c r="E9" s="4" t="s">
        <v>80</v>
      </c>
      <c r="F9" s="4" t="s">
        <v>5</v>
      </c>
      <c r="G9" s="4" t="s">
        <v>1489</v>
      </c>
      <c r="H9" s="4" t="s">
        <v>1490</v>
      </c>
      <c r="I9" s="4" t="s">
        <v>42</v>
      </c>
      <c r="J9" s="4" t="s">
        <v>1491</v>
      </c>
      <c r="K9" s="8"/>
      <c r="L9" s="4" t="s">
        <v>1492</v>
      </c>
      <c r="M9" s="7" t="s">
        <v>1493</v>
      </c>
      <c r="N9" s="4" t="s">
        <v>626</v>
      </c>
      <c r="O9" s="4">
        <v>2025</v>
      </c>
      <c r="P9" s="17"/>
      <c r="Q9" s="12" t="s">
        <v>1494</v>
      </c>
      <c r="R9" s="11"/>
      <c r="S9" s="9"/>
      <c r="T9" s="9"/>
    </row>
    <row r="10" spans="1:28" ht="37.5" customHeight="1">
      <c r="A10" s="4">
        <v>9</v>
      </c>
      <c r="B10" s="33" t="s">
        <v>68</v>
      </c>
      <c r="C10" s="30" t="s">
        <v>43</v>
      </c>
      <c r="D10" s="30" t="s">
        <v>334</v>
      </c>
      <c r="E10" s="30" t="s">
        <v>80</v>
      </c>
      <c r="F10" s="30" t="s">
        <v>7</v>
      </c>
      <c r="G10" s="39" t="s">
        <v>1495</v>
      </c>
      <c r="H10" s="39" t="s">
        <v>1496</v>
      </c>
      <c r="I10" s="39" t="s">
        <v>1497</v>
      </c>
      <c r="J10" s="9" t="s">
        <v>1486</v>
      </c>
      <c r="K10" s="306"/>
      <c r="L10" s="30" t="s">
        <v>1498</v>
      </c>
      <c r="M10" s="401" t="s">
        <v>1499</v>
      </c>
      <c r="N10" s="39" t="s">
        <v>321</v>
      </c>
      <c r="O10" s="39">
        <v>2025</v>
      </c>
      <c r="P10" s="171"/>
      <c r="Q10" s="174" t="s">
        <v>1500</v>
      </c>
      <c r="R10" s="35"/>
      <c r="S10" s="33"/>
      <c r="T10" s="35"/>
    </row>
    <row r="11" spans="1:28" ht="37.5" customHeight="1">
      <c r="A11" s="33">
        <v>10</v>
      </c>
      <c r="B11" s="33" t="s">
        <v>68</v>
      </c>
      <c r="C11" s="30" t="s">
        <v>43</v>
      </c>
      <c r="D11" s="30" t="s">
        <v>334</v>
      </c>
      <c r="E11" s="4" t="s">
        <v>80</v>
      </c>
      <c r="F11" s="4" t="s">
        <v>7</v>
      </c>
      <c r="G11" s="4" t="s">
        <v>1495</v>
      </c>
      <c r="H11" s="4" t="s">
        <v>1501</v>
      </c>
      <c r="I11" s="4" t="s">
        <v>1502</v>
      </c>
      <c r="J11" s="4" t="s">
        <v>1503</v>
      </c>
      <c r="K11" s="8"/>
      <c r="L11" s="4" t="s">
        <v>1504</v>
      </c>
      <c r="M11" s="7" t="s">
        <v>1505</v>
      </c>
      <c r="N11" s="4" t="s">
        <v>626</v>
      </c>
      <c r="O11" s="4">
        <v>2025</v>
      </c>
      <c r="P11" s="402"/>
      <c r="Q11" s="40" t="s">
        <v>1506</v>
      </c>
      <c r="R11" s="35"/>
      <c r="S11" s="33"/>
      <c r="T11" s="35"/>
    </row>
    <row r="12" spans="1:28" ht="37.5" customHeight="1">
      <c r="A12" s="4">
        <v>11</v>
      </c>
      <c r="B12" s="33" t="s">
        <v>68</v>
      </c>
      <c r="C12" s="30" t="s">
        <v>43</v>
      </c>
      <c r="D12" s="30" t="s">
        <v>334</v>
      </c>
      <c r="E12" s="9" t="s">
        <v>80</v>
      </c>
      <c r="F12" s="9" t="s">
        <v>7</v>
      </c>
      <c r="G12" s="9" t="s">
        <v>1495</v>
      </c>
      <c r="H12" s="9" t="s">
        <v>1507</v>
      </c>
      <c r="I12" s="9" t="s">
        <v>1508</v>
      </c>
      <c r="J12" s="9" t="s">
        <v>1486</v>
      </c>
      <c r="K12" s="11"/>
      <c r="L12" s="9" t="s">
        <v>1509</v>
      </c>
      <c r="M12" s="10" t="s">
        <v>1510</v>
      </c>
      <c r="N12" s="9" t="s">
        <v>321</v>
      </c>
      <c r="O12" s="9">
        <v>2025</v>
      </c>
      <c r="P12" s="403"/>
      <c r="Q12" s="274" t="s">
        <v>1511</v>
      </c>
      <c r="R12" s="35"/>
      <c r="S12" s="33"/>
      <c r="T12" s="35"/>
    </row>
    <row r="13" spans="1:28" ht="37.5" customHeight="1">
      <c r="A13" s="33">
        <v>12</v>
      </c>
      <c r="B13" s="33" t="s">
        <v>68</v>
      </c>
      <c r="C13" s="30" t="s">
        <v>43</v>
      </c>
      <c r="D13" s="30" t="s">
        <v>334</v>
      </c>
      <c r="E13" s="4" t="s">
        <v>80</v>
      </c>
      <c r="F13" s="4" t="s">
        <v>7</v>
      </c>
      <c r="G13" s="4" t="s">
        <v>1495</v>
      </c>
      <c r="H13" s="4" t="s">
        <v>1512</v>
      </c>
      <c r="I13" s="12" t="s">
        <v>1513</v>
      </c>
      <c r="J13" s="37" t="s">
        <v>1503</v>
      </c>
      <c r="K13" s="8"/>
      <c r="L13" s="4" t="s">
        <v>1514</v>
      </c>
      <c r="M13" s="7" t="s">
        <v>1515</v>
      </c>
      <c r="N13" s="4" t="s">
        <v>1516</v>
      </c>
      <c r="O13" s="4">
        <v>2025</v>
      </c>
      <c r="P13" s="402"/>
      <c r="Q13" s="40" t="s">
        <v>1517</v>
      </c>
      <c r="R13" s="35"/>
      <c r="S13" s="33"/>
      <c r="T13" s="35"/>
    </row>
    <row r="14" spans="1:28" ht="37.5" customHeight="1">
      <c r="A14" s="4"/>
      <c r="B14" s="33" t="s">
        <v>95</v>
      </c>
      <c r="C14" s="33" t="s">
        <v>39</v>
      </c>
      <c r="D14" s="33" t="s">
        <v>91</v>
      </c>
      <c r="E14" s="9" t="s">
        <v>261</v>
      </c>
      <c r="F14" s="9" t="s">
        <v>1</v>
      </c>
      <c r="G14" s="9" t="s">
        <v>1495</v>
      </c>
      <c r="H14" s="9" t="s">
        <v>1518</v>
      </c>
      <c r="I14" s="9" t="s">
        <v>742</v>
      </c>
      <c r="J14" s="9" t="s">
        <v>1519</v>
      </c>
      <c r="K14" s="11"/>
      <c r="L14" s="9"/>
      <c r="M14" s="10" t="s">
        <v>1520</v>
      </c>
      <c r="N14" s="9" t="s">
        <v>934</v>
      </c>
      <c r="O14" s="9">
        <v>2025</v>
      </c>
      <c r="P14" s="403"/>
      <c r="Q14" s="31" t="s">
        <v>1521</v>
      </c>
      <c r="R14" s="35"/>
      <c r="S14" s="33"/>
      <c r="T14" s="35"/>
    </row>
    <row r="15" spans="1:28" ht="37.5" customHeight="1">
      <c r="A15" s="4">
        <v>13</v>
      </c>
      <c r="B15" s="33" t="s">
        <v>68</v>
      </c>
      <c r="C15" s="33" t="s">
        <v>44</v>
      </c>
      <c r="D15" s="33" t="s">
        <v>369</v>
      </c>
      <c r="E15" s="4" t="s">
        <v>84</v>
      </c>
      <c r="F15" s="4" t="s">
        <v>7</v>
      </c>
      <c r="G15" s="4" t="s">
        <v>1448</v>
      </c>
      <c r="H15" s="4" t="s">
        <v>1522</v>
      </c>
      <c r="I15" s="4" t="s">
        <v>1523</v>
      </c>
      <c r="J15" s="4" t="s">
        <v>1469</v>
      </c>
      <c r="K15" s="8"/>
      <c r="L15" s="4" t="s">
        <v>1524</v>
      </c>
      <c r="M15" s="7" t="s">
        <v>1525</v>
      </c>
      <c r="N15" s="4" t="s">
        <v>390</v>
      </c>
      <c r="O15" s="4">
        <v>2025</v>
      </c>
      <c r="P15" s="402"/>
      <c r="Q15" s="31" t="s">
        <v>1526</v>
      </c>
      <c r="R15" s="35"/>
      <c r="S15" s="33"/>
      <c r="T15" s="35"/>
    </row>
    <row r="16" spans="1:28" ht="37.5" customHeight="1">
      <c r="A16" s="33">
        <v>14</v>
      </c>
      <c r="B16" s="33" t="s">
        <v>73</v>
      </c>
      <c r="C16" s="33" t="s">
        <v>18</v>
      </c>
      <c r="D16" s="33" t="s">
        <v>100</v>
      </c>
      <c r="E16" s="9" t="s">
        <v>76</v>
      </c>
      <c r="F16" s="9" t="s">
        <v>6</v>
      </c>
      <c r="G16" s="9" t="s">
        <v>1459</v>
      </c>
      <c r="H16" s="9" t="s">
        <v>1460</v>
      </c>
      <c r="I16" s="9" t="s">
        <v>1461</v>
      </c>
      <c r="J16" s="9" t="s">
        <v>1462</v>
      </c>
      <c r="K16" s="11"/>
      <c r="L16" s="9" t="s">
        <v>1463</v>
      </c>
      <c r="M16" s="10" t="s">
        <v>1464</v>
      </c>
      <c r="N16" s="9" t="s">
        <v>1516</v>
      </c>
      <c r="O16" s="9">
        <v>2025</v>
      </c>
      <c r="P16" s="403"/>
      <c r="Q16" s="31" t="s">
        <v>1527</v>
      </c>
      <c r="R16" s="35"/>
      <c r="S16" s="33"/>
      <c r="T16" s="35"/>
    </row>
    <row r="17" spans="1:20" ht="37.5" customHeight="1">
      <c r="A17" s="4">
        <v>15</v>
      </c>
      <c r="B17" s="33" t="s">
        <v>1139</v>
      </c>
      <c r="C17" s="33" t="s">
        <v>103</v>
      </c>
      <c r="D17" s="30" t="s">
        <v>104</v>
      </c>
      <c r="E17" s="4" t="s">
        <v>76</v>
      </c>
      <c r="F17" s="4" t="s">
        <v>0</v>
      </c>
      <c r="G17" s="4" t="s">
        <v>1448</v>
      </c>
      <c r="H17" s="4" t="s">
        <v>1528</v>
      </c>
      <c r="I17" s="4" t="s">
        <v>1529</v>
      </c>
      <c r="J17" s="37" t="s">
        <v>1530</v>
      </c>
      <c r="K17" s="8"/>
      <c r="L17" s="4">
        <v>9789360105693</v>
      </c>
      <c r="M17" s="12" t="s">
        <v>1531</v>
      </c>
      <c r="N17" s="4" t="s">
        <v>626</v>
      </c>
      <c r="O17" s="4">
        <v>2025</v>
      </c>
      <c r="P17" s="402"/>
      <c r="Q17" s="34" t="s">
        <v>1532</v>
      </c>
      <c r="R17" s="35"/>
      <c r="S17" s="33"/>
      <c r="T17" s="33"/>
    </row>
    <row r="18" spans="1:20" ht="37.5" customHeight="1">
      <c r="A18" s="33">
        <v>16</v>
      </c>
      <c r="B18" s="33" t="s">
        <v>88</v>
      </c>
      <c r="C18" s="33" t="s">
        <v>49</v>
      </c>
      <c r="D18" s="33" t="s">
        <v>1533</v>
      </c>
      <c r="E18" s="9" t="s">
        <v>76</v>
      </c>
      <c r="F18" s="9" t="s">
        <v>5</v>
      </c>
      <c r="G18" s="9" t="s">
        <v>1483</v>
      </c>
      <c r="H18" s="9" t="s">
        <v>1534</v>
      </c>
      <c r="I18" s="9" t="s">
        <v>1535</v>
      </c>
      <c r="J18" s="9" t="s">
        <v>1536</v>
      </c>
      <c r="K18" s="11"/>
      <c r="L18" s="9" t="s">
        <v>1537</v>
      </c>
      <c r="M18" s="10" t="s">
        <v>1538</v>
      </c>
      <c r="N18" s="9" t="s">
        <v>321</v>
      </c>
      <c r="O18" s="9">
        <v>2025</v>
      </c>
      <c r="P18" s="403"/>
      <c r="Q18" s="31" t="s">
        <v>1539</v>
      </c>
      <c r="R18" s="35"/>
      <c r="S18" s="33"/>
      <c r="T18" s="33"/>
    </row>
    <row r="19" spans="1:20" ht="37.5" customHeight="1">
      <c r="A19" s="4">
        <v>17</v>
      </c>
      <c r="B19" s="33" t="s">
        <v>73</v>
      </c>
      <c r="C19" s="33" t="s">
        <v>12</v>
      </c>
      <c r="D19" s="33" t="s">
        <v>106</v>
      </c>
      <c r="E19" s="4" t="s">
        <v>76</v>
      </c>
      <c r="F19" s="4" t="s">
        <v>0</v>
      </c>
      <c r="G19" s="4" t="s">
        <v>1477</v>
      </c>
      <c r="H19" s="4" t="s">
        <v>1540</v>
      </c>
      <c r="I19" s="4"/>
      <c r="J19" s="4" t="s">
        <v>1503</v>
      </c>
      <c r="K19" s="8"/>
      <c r="L19" s="4" t="s">
        <v>1541</v>
      </c>
      <c r="M19" s="7" t="s">
        <v>1542</v>
      </c>
      <c r="N19" s="4"/>
      <c r="O19" s="4">
        <v>2024</v>
      </c>
      <c r="P19" s="402"/>
      <c r="Q19" s="31" t="s">
        <v>1543</v>
      </c>
      <c r="R19" s="35"/>
      <c r="S19" s="33"/>
      <c r="T19" s="30"/>
    </row>
    <row r="20" spans="1:20" ht="37.5" customHeight="1">
      <c r="A20" s="33">
        <v>18</v>
      </c>
      <c r="B20" s="33" t="s">
        <v>78</v>
      </c>
      <c r="C20" s="33" t="s">
        <v>57</v>
      </c>
      <c r="D20" s="33" t="s">
        <v>109</v>
      </c>
      <c r="E20" s="9" t="s">
        <v>80</v>
      </c>
      <c r="F20" s="9" t="s">
        <v>2</v>
      </c>
      <c r="G20" s="9" t="s">
        <v>1544</v>
      </c>
      <c r="H20" s="9" t="s">
        <v>1545</v>
      </c>
      <c r="I20" s="9" t="s">
        <v>1546</v>
      </c>
      <c r="J20" s="9" t="s">
        <v>1547</v>
      </c>
      <c r="K20" s="11"/>
      <c r="L20" s="9">
        <v>1032936436</v>
      </c>
      <c r="M20" s="10" t="s">
        <v>1548</v>
      </c>
      <c r="N20" s="9"/>
      <c r="O20" s="9"/>
      <c r="P20" s="403"/>
      <c r="Q20" s="174"/>
      <c r="R20" s="35"/>
      <c r="S20" s="33"/>
      <c r="T20" s="30"/>
    </row>
    <row r="21" spans="1:20" ht="37.5" customHeight="1">
      <c r="A21" s="4">
        <v>19</v>
      </c>
      <c r="B21" s="33" t="s">
        <v>78</v>
      </c>
      <c r="C21" s="33" t="s">
        <v>57</v>
      </c>
      <c r="D21" s="33" t="s">
        <v>534</v>
      </c>
      <c r="E21" s="4" t="s">
        <v>80</v>
      </c>
      <c r="F21" s="4" t="s">
        <v>2</v>
      </c>
      <c r="G21" s="4" t="s">
        <v>1544</v>
      </c>
      <c r="H21" s="4" t="s">
        <v>1549</v>
      </c>
      <c r="I21" s="4" t="s">
        <v>1550</v>
      </c>
      <c r="J21" s="4" t="s">
        <v>1551</v>
      </c>
      <c r="K21" s="8"/>
      <c r="L21" s="4">
        <v>1394261802</v>
      </c>
      <c r="M21" s="7" t="s">
        <v>1552</v>
      </c>
      <c r="N21" s="4"/>
      <c r="O21" s="4"/>
      <c r="P21" s="402"/>
      <c r="Q21" s="174"/>
      <c r="R21" s="35"/>
      <c r="S21" s="33"/>
      <c r="T21" s="30"/>
    </row>
    <row r="22" spans="1:20" ht="37.5" customHeight="1">
      <c r="A22" s="33">
        <v>20</v>
      </c>
      <c r="B22" s="33" t="s">
        <v>73</v>
      </c>
      <c r="C22" s="33" t="s">
        <v>15</v>
      </c>
      <c r="D22" s="33" t="s">
        <v>1553</v>
      </c>
      <c r="E22" s="9" t="s">
        <v>76</v>
      </c>
      <c r="F22" s="9" t="s">
        <v>0</v>
      </c>
      <c r="G22" s="9" t="s">
        <v>1448</v>
      </c>
      <c r="H22" s="9" t="s">
        <v>1554</v>
      </c>
      <c r="I22" s="9" t="s">
        <v>1555</v>
      </c>
      <c r="J22" s="9" t="s">
        <v>1556</v>
      </c>
      <c r="K22" s="11"/>
      <c r="L22" s="9" t="s">
        <v>1557</v>
      </c>
      <c r="M22" s="10" t="s">
        <v>1558</v>
      </c>
      <c r="N22" s="9" t="s">
        <v>307</v>
      </c>
      <c r="O22" s="9">
        <v>2025</v>
      </c>
      <c r="P22" s="403"/>
      <c r="Q22" s="31" t="s">
        <v>1559</v>
      </c>
      <c r="R22" s="404"/>
      <c r="S22" s="405"/>
      <c r="T22" s="30"/>
    </row>
    <row r="23" spans="1:20" ht="37.5" customHeight="1">
      <c r="A23" s="4">
        <v>21</v>
      </c>
      <c r="B23" s="9" t="s">
        <v>78</v>
      </c>
      <c r="C23" s="9" t="s">
        <v>50</v>
      </c>
      <c r="D23" s="4" t="s">
        <v>113</v>
      </c>
      <c r="E23" s="9" t="s">
        <v>67</v>
      </c>
      <c r="F23" s="9" t="s">
        <v>6</v>
      </c>
      <c r="G23" s="4"/>
      <c r="H23" s="4" t="s">
        <v>1560</v>
      </c>
      <c r="I23" s="4" t="s">
        <v>50</v>
      </c>
      <c r="J23" s="9" t="s">
        <v>1486</v>
      </c>
      <c r="K23" s="8"/>
      <c r="L23" s="4" t="s">
        <v>1561</v>
      </c>
      <c r="M23" s="7" t="s">
        <v>1562</v>
      </c>
      <c r="N23" s="4" t="s">
        <v>559</v>
      </c>
      <c r="O23" s="4">
        <v>2025</v>
      </c>
      <c r="P23" s="402"/>
      <c r="Q23" s="40" t="s">
        <v>1563</v>
      </c>
      <c r="R23" s="35"/>
      <c r="S23" s="405"/>
      <c r="T23" s="35"/>
    </row>
    <row r="24" spans="1:20" ht="37.5" customHeight="1">
      <c r="A24" s="33">
        <v>22</v>
      </c>
      <c r="B24" s="33" t="s">
        <v>65</v>
      </c>
      <c r="C24" s="33" t="s">
        <v>25</v>
      </c>
      <c r="D24" s="33" t="s">
        <v>124</v>
      </c>
      <c r="E24" s="9" t="s">
        <v>76</v>
      </c>
      <c r="F24" s="9" t="s">
        <v>6</v>
      </c>
      <c r="G24" s="9" t="s">
        <v>1448</v>
      </c>
      <c r="H24" s="9" t="s">
        <v>1534</v>
      </c>
      <c r="I24" s="9" t="s">
        <v>1535</v>
      </c>
      <c r="J24" s="9" t="s">
        <v>1536</v>
      </c>
      <c r="K24" s="11"/>
      <c r="L24" s="9" t="s">
        <v>1537</v>
      </c>
      <c r="M24" s="10" t="s">
        <v>1538</v>
      </c>
      <c r="N24" s="9" t="s">
        <v>321</v>
      </c>
      <c r="O24" s="9">
        <v>2025</v>
      </c>
      <c r="P24" s="403"/>
      <c r="Q24" s="31" t="s">
        <v>1539</v>
      </c>
      <c r="R24" s="35"/>
      <c r="S24" s="33"/>
      <c r="T24" s="228"/>
    </row>
    <row r="25" spans="1:20" ht="50">
      <c r="A25" s="33">
        <v>23</v>
      </c>
      <c r="B25" s="33" t="s">
        <v>73</v>
      </c>
      <c r="C25" s="33" t="s">
        <v>1564</v>
      </c>
      <c r="D25" s="33" t="s">
        <v>1565</v>
      </c>
      <c r="E25" s="4" t="s">
        <v>67</v>
      </c>
      <c r="F25" s="406" t="s">
        <v>3</v>
      </c>
      <c r="G25" s="4" t="s">
        <v>1448</v>
      </c>
      <c r="H25" s="4" t="s">
        <v>1460</v>
      </c>
      <c r="I25" s="4" t="s">
        <v>1461</v>
      </c>
      <c r="J25" s="4" t="s">
        <v>1462</v>
      </c>
      <c r="K25" s="8"/>
      <c r="L25" s="4" t="s">
        <v>1463</v>
      </c>
      <c r="M25" s="7" t="s">
        <v>1464</v>
      </c>
      <c r="N25" s="4" t="s">
        <v>472</v>
      </c>
      <c r="O25" s="4">
        <v>2025</v>
      </c>
      <c r="P25" s="17"/>
      <c r="Q25" s="31" t="s">
        <v>1566</v>
      </c>
      <c r="R25" s="35"/>
      <c r="S25" s="33"/>
      <c r="T25" s="35"/>
    </row>
    <row r="26" spans="1:20" ht="57" customHeight="1">
      <c r="A26" s="33">
        <v>24</v>
      </c>
      <c r="B26" s="33" t="s">
        <v>1567</v>
      </c>
      <c r="C26" s="33" t="s">
        <v>12</v>
      </c>
      <c r="D26" s="33" t="s">
        <v>1568</v>
      </c>
      <c r="E26" s="9" t="s">
        <v>67</v>
      </c>
      <c r="F26" s="407" t="s">
        <v>0</v>
      </c>
      <c r="G26" s="9" t="s">
        <v>1569</v>
      </c>
      <c r="H26" s="9" t="s">
        <v>1570</v>
      </c>
      <c r="I26" s="9" t="s">
        <v>1571</v>
      </c>
      <c r="J26" s="9" t="s">
        <v>1572</v>
      </c>
      <c r="K26" s="9" t="s">
        <v>1573</v>
      </c>
      <c r="L26" s="408" t="s">
        <v>1574</v>
      </c>
      <c r="M26" s="409" t="s">
        <v>1575</v>
      </c>
      <c r="N26" s="9" t="s">
        <v>364</v>
      </c>
      <c r="O26" s="9">
        <v>2025</v>
      </c>
      <c r="P26" s="18"/>
      <c r="Q26" s="289" t="s">
        <v>1575</v>
      </c>
      <c r="R26" s="35"/>
      <c r="S26" s="35"/>
      <c r="T26" s="35"/>
    </row>
    <row r="27" spans="1:20" ht="14.25" customHeight="1">
      <c r="A27" s="3">
        <v>25</v>
      </c>
      <c r="B27" s="3" t="s">
        <v>95</v>
      </c>
      <c r="C27" s="3" t="s">
        <v>131</v>
      </c>
      <c r="D27" s="3"/>
      <c r="E27" s="197" t="s">
        <v>80</v>
      </c>
      <c r="F27" s="410" t="s">
        <v>1390</v>
      </c>
      <c r="G27" s="411" t="s">
        <v>1576</v>
      </c>
      <c r="H27" s="197" t="s">
        <v>1577</v>
      </c>
      <c r="I27" s="197" t="s">
        <v>1578</v>
      </c>
      <c r="J27" s="4" t="s">
        <v>1572</v>
      </c>
      <c r="K27" s="412"/>
      <c r="L27" s="413">
        <v>9781394386420</v>
      </c>
      <c r="M27" s="414" t="s">
        <v>1579</v>
      </c>
      <c r="N27" s="197" t="s">
        <v>568</v>
      </c>
      <c r="O27" s="197">
        <v>2026</v>
      </c>
      <c r="P27" s="415"/>
      <c r="Q27" s="416" t="s">
        <v>1579</v>
      </c>
      <c r="S27" s="5"/>
    </row>
    <row r="28" spans="1:20" ht="14.25" customHeight="1">
      <c r="A28" s="3"/>
      <c r="B28" s="3"/>
      <c r="C28" s="3"/>
      <c r="D28" s="3"/>
      <c r="E28" s="206"/>
      <c r="F28" s="417"/>
      <c r="G28" s="418"/>
      <c r="H28" s="200"/>
      <c r="I28" s="200"/>
      <c r="J28" s="419"/>
      <c r="K28" s="420"/>
      <c r="L28" s="421"/>
      <c r="M28" s="422"/>
      <c r="N28" s="203"/>
      <c r="O28" s="203"/>
      <c r="P28" s="201"/>
      <c r="Q28" s="416"/>
    </row>
    <row r="29" spans="1:20" ht="14.25" customHeight="1">
      <c r="A29" s="3"/>
      <c r="B29" s="3"/>
      <c r="C29" s="3"/>
      <c r="D29" s="3"/>
      <c r="E29" s="206"/>
      <c r="F29" s="417"/>
      <c r="G29" s="418"/>
      <c r="H29" s="200"/>
      <c r="I29" s="200"/>
      <c r="J29" s="419"/>
      <c r="K29" s="420"/>
      <c r="L29" s="421"/>
      <c r="M29" s="422"/>
      <c r="N29" s="203"/>
      <c r="O29" s="203"/>
      <c r="P29" s="201"/>
      <c r="Q29" s="416"/>
    </row>
    <row r="30" spans="1:20" ht="14.25" customHeight="1">
      <c r="A30" s="3"/>
      <c r="B30" s="3"/>
      <c r="C30" s="3"/>
      <c r="D30" s="3"/>
      <c r="E30" s="206"/>
      <c r="F30" s="417"/>
      <c r="G30" s="418"/>
      <c r="H30" s="200"/>
      <c r="I30" s="200"/>
      <c r="J30" s="419"/>
      <c r="K30" s="420"/>
      <c r="L30" s="421"/>
      <c r="M30" s="422"/>
      <c r="N30" s="203"/>
      <c r="O30" s="203"/>
      <c r="P30" s="201"/>
      <c r="Q30" s="416"/>
    </row>
    <row r="31" spans="1:20" ht="14.25" customHeight="1">
      <c r="A31" s="3"/>
      <c r="B31" s="3"/>
      <c r="C31" s="3"/>
      <c r="D31" s="3"/>
      <c r="E31" s="206"/>
      <c r="F31" s="417"/>
      <c r="G31" s="418"/>
      <c r="H31" s="200"/>
      <c r="I31" s="200"/>
      <c r="J31" s="419"/>
      <c r="K31" s="420"/>
      <c r="L31" s="421"/>
      <c r="M31" s="422"/>
      <c r="N31" s="203"/>
      <c r="O31" s="203"/>
      <c r="P31" s="201"/>
      <c r="Q31" s="416"/>
    </row>
    <row r="32" spans="1:20" ht="14.25" customHeight="1">
      <c r="A32" s="3"/>
      <c r="B32" s="3"/>
      <c r="C32" s="3"/>
      <c r="D32" s="3"/>
      <c r="E32" s="206"/>
      <c r="F32" s="417"/>
      <c r="G32" s="418"/>
      <c r="H32" s="200"/>
      <c r="I32" s="200"/>
      <c r="J32" s="419"/>
      <c r="K32" s="420"/>
      <c r="L32" s="421"/>
      <c r="M32" s="422"/>
      <c r="N32" s="203"/>
      <c r="O32" s="203"/>
      <c r="P32" s="201"/>
      <c r="Q32" s="416"/>
    </row>
    <row r="33" spans="1:17" ht="14.25" customHeight="1">
      <c r="A33" s="3"/>
      <c r="B33" s="3"/>
      <c r="C33" s="3"/>
      <c r="D33" s="3"/>
      <c r="E33" s="206"/>
      <c r="F33" s="417"/>
      <c r="G33" s="418"/>
      <c r="H33" s="200"/>
      <c r="I33" s="200"/>
      <c r="J33" s="419"/>
      <c r="K33" s="420"/>
      <c r="L33" s="421"/>
      <c r="M33" s="422"/>
      <c r="N33" s="203"/>
      <c r="O33" s="203"/>
      <c r="P33" s="201"/>
      <c r="Q33" s="416"/>
    </row>
    <row r="34" spans="1:17" ht="14.25" customHeight="1">
      <c r="A34" s="3"/>
      <c r="B34" s="3"/>
      <c r="C34" s="3"/>
      <c r="D34" s="3"/>
      <c r="E34" s="206"/>
      <c r="F34" s="417"/>
      <c r="G34" s="418"/>
      <c r="H34" s="200"/>
      <c r="I34" s="200"/>
      <c r="J34" s="419"/>
      <c r="K34" s="420"/>
      <c r="L34" s="421"/>
      <c r="M34" s="422"/>
      <c r="N34" s="203"/>
      <c r="O34" s="203"/>
      <c r="P34" s="201"/>
      <c r="Q34" s="416"/>
    </row>
    <row r="35" spans="1:17" ht="14.25" customHeight="1">
      <c r="A35" s="3"/>
      <c r="B35" s="3"/>
      <c r="C35" s="3"/>
      <c r="D35" s="3"/>
      <c r="E35" s="206"/>
      <c r="F35" s="417"/>
      <c r="G35" s="418"/>
      <c r="H35" s="200"/>
      <c r="I35" s="200"/>
      <c r="J35" s="419"/>
      <c r="K35" s="420"/>
      <c r="L35" s="421"/>
      <c r="M35" s="422"/>
      <c r="N35" s="203"/>
      <c r="O35" s="203"/>
      <c r="P35" s="201"/>
      <c r="Q35" s="416"/>
    </row>
    <row r="36" spans="1:17" ht="14.25" customHeight="1">
      <c r="A36" s="3"/>
      <c r="B36" s="3"/>
      <c r="C36" s="3"/>
      <c r="D36" s="3"/>
      <c r="E36" s="206"/>
      <c r="F36" s="417"/>
      <c r="G36" s="418"/>
      <c r="H36" s="200"/>
      <c r="I36" s="200"/>
      <c r="J36" s="419"/>
      <c r="K36" s="420"/>
      <c r="L36" s="421"/>
      <c r="M36" s="422"/>
      <c r="N36" s="203"/>
      <c r="O36" s="203"/>
      <c r="P36" s="201"/>
      <c r="Q36" s="416"/>
    </row>
    <row r="37" spans="1:17" ht="14.25" customHeight="1">
      <c r="A37" s="3"/>
      <c r="B37" s="3"/>
      <c r="C37" s="3"/>
      <c r="D37" s="3"/>
      <c r="E37" s="206"/>
      <c r="F37" s="417"/>
      <c r="G37" s="418"/>
      <c r="H37" s="200"/>
      <c r="I37" s="200"/>
      <c r="J37" s="419"/>
      <c r="K37" s="420"/>
      <c r="L37" s="421"/>
      <c r="M37" s="422"/>
      <c r="N37" s="203"/>
      <c r="O37" s="203"/>
      <c r="P37" s="201"/>
      <c r="Q37" s="416"/>
    </row>
    <row r="38" spans="1:17" ht="14.25" customHeight="1">
      <c r="A38" s="3"/>
      <c r="B38" s="3"/>
      <c r="C38" s="3"/>
      <c r="D38" s="3"/>
      <c r="E38" s="206"/>
      <c r="F38" s="417"/>
      <c r="G38" s="418"/>
      <c r="H38" s="200"/>
      <c r="I38" s="200"/>
      <c r="J38" s="419"/>
      <c r="K38" s="420"/>
      <c r="L38" s="421"/>
      <c r="M38" s="422"/>
      <c r="N38" s="203"/>
      <c r="O38" s="203"/>
      <c r="P38" s="201"/>
      <c r="Q38" s="416"/>
    </row>
    <row r="39" spans="1:17" ht="14.25" customHeight="1">
      <c r="A39" s="3"/>
      <c r="B39" s="3"/>
      <c r="C39" s="3"/>
      <c r="D39" s="3"/>
      <c r="E39" s="206"/>
      <c r="F39" s="417"/>
      <c r="G39" s="418"/>
      <c r="H39" s="200"/>
      <c r="I39" s="200"/>
      <c r="J39" s="419"/>
      <c r="K39" s="420"/>
      <c r="L39" s="421"/>
      <c r="M39" s="422"/>
      <c r="N39" s="203"/>
      <c r="O39" s="203"/>
      <c r="P39" s="201"/>
      <c r="Q39" s="416"/>
    </row>
    <row r="40" spans="1:17" ht="14.25" customHeight="1">
      <c r="A40" s="3"/>
      <c r="B40" s="3"/>
      <c r="C40" s="3"/>
      <c r="D40" s="3"/>
      <c r="E40" s="206"/>
      <c r="F40" s="417"/>
      <c r="G40" s="418"/>
      <c r="H40" s="200"/>
      <c r="I40" s="200"/>
      <c r="J40" s="419"/>
      <c r="K40" s="420"/>
      <c r="L40" s="421"/>
      <c r="M40" s="422"/>
      <c r="N40" s="203"/>
      <c r="O40" s="203"/>
      <c r="P40" s="201"/>
      <c r="Q40" s="416"/>
    </row>
    <row r="41" spans="1:17" ht="14.25" customHeight="1">
      <c r="A41" s="3"/>
      <c r="B41" s="3"/>
      <c r="C41" s="3"/>
      <c r="D41" s="3"/>
      <c r="E41" s="206"/>
      <c r="F41" s="417"/>
      <c r="G41" s="418"/>
      <c r="H41" s="200"/>
      <c r="I41" s="200"/>
      <c r="J41" s="419"/>
      <c r="K41" s="420"/>
      <c r="L41" s="421"/>
      <c r="M41" s="422"/>
      <c r="N41" s="203"/>
      <c r="O41" s="203"/>
      <c r="P41" s="201"/>
      <c r="Q41" s="416"/>
    </row>
    <row r="42" spans="1:17" ht="14.25" customHeight="1">
      <c r="A42" s="3"/>
      <c r="B42" s="3"/>
      <c r="C42" s="3"/>
      <c r="D42" s="3"/>
      <c r="E42" s="206"/>
      <c r="F42" s="417"/>
      <c r="G42" s="418"/>
      <c r="H42" s="200"/>
      <c r="I42" s="200"/>
      <c r="J42" s="419"/>
      <c r="K42" s="420"/>
      <c r="L42" s="421"/>
      <c r="M42" s="422"/>
      <c r="N42" s="203"/>
      <c r="O42" s="203"/>
      <c r="P42" s="201"/>
      <c r="Q42" s="416"/>
    </row>
    <row r="43" spans="1:17" ht="14.25" customHeight="1">
      <c r="A43" s="3"/>
      <c r="B43" s="3"/>
      <c r="C43" s="3"/>
      <c r="D43" s="3"/>
      <c r="E43" s="206"/>
      <c r="F43" s="417"/>
      <c r="G43" s="418"/>
      <c r="H43" s="200"/>
      <c r="I43" s="200"/>
      <c r="J43" s="419"/>
      <c r="K43" s="420"/>
      <c r="L43" s="421"/>
      <c r="M43" s="422"/>
      <c r="N43" s="203"/>
      <c r="O43" s="203"/>
      <c r="P43" s="201"/>
      <c r="Q43" s="416"/>
    </row>
    <row r="44" spans="1:17" ht="14.25" customHeight="1">
      <c r="A44" s="3"/>
      <c r="B44" s="3"/>
      <c r="C44" s="3"/>
      <c r="D44" s="3"/>
      <c r="E44" s="206"/>
      <c r="F44" s="417"/>
      <c r="G44" s="418"/>
      <c r="H44" s="200"/>
      <c r="I44" s="200"/>
      <c r="J44" s="419"/>
      <c r="K44" s="420"/>
      <c r="L44" s="421"/>
      <c r="M44" s="422"/>
      <c r="N44" s="203"/>
      <c r="O44" s="203"/>
      <c r="P44" s="201"/>
      <c r="Q44" s="416"/>
    </row>
    <row r="45" spans="1:17" ht="14.25" customHeight="1">
      <c r="A45" s="3"/>
      <c r="B45" s="3"/>
      <c r="C45" s="3"/>
      <c r="D45" s="3"/>
      <c r="E45" s="206"/>
      <c r="F45" s="417"/>
      <c r="G45" s="418"/>
      <c r="H45" s="200"/>
      <c r="I45" s="200"/>
      <c r="J45" s="419"/>
      <c r="K45" s="420"/>
      <c r="L45" s="421"/>
      <c r="M45" s="422"/>
      <c r="N45" s="203"/>
      <c r="O45" s="203"/>
      <c r="P45" s="201"/>
      <c r="Q45" s="416"/>
    </row>
    <row r="46" spans="1:17" ht="14.25" customHeight="1">
      <c r="A46" s="3"/>
      <c r="B46" s="3"/>
      <c r="C46" s="3"/>
      <c r="D46" s="3"/>
      <c r="E46" s="206"/>
      <c r="F46" s="417"/>
      <c r="G46" s="418"/>
      <c r="H46" s="200"/>
      <c r="I46" s="200"/>
      <c r="J46" s="419"/>
      <c r="K46" s="420"/>
      <c r="L46" s="421"/>
      <c r="M46" s="422"/>
      <c r="N46" s="203"/>
      <c r="O46" s="203"/>
      <c r="P46" s="201"/>
      <c r="Q46" s="416"/>
    </row>
    <row r="47" spans="1:17" ht="14.25" customHeight="1">
      <c r="A47" s="3"/>
      <c r="B47" s="3"/>
      <c r="C47" s="3"/>
      <c r="D47" s="3"/>
      <c r="E47" s="206"/>
      <c r="F47" s="417"/>
      <c r="G47" s="418"/>
      <c r="H47" s="200"/>
      <c r="I47" s="200"/>
      <c r="J47" s="419"/>
      <c r="K47" s="420"/>
      <c r="L47" s="421"/>
      <c r="M47" s="422"/>
      <c r="N47" s="203"/>
      <c r="O47" s="203"/>
      <c r="P47" s="201"/>
      <c r="Q47" s="416"/>
    </row>
    <row r="48" spans="1:17" ht="14.25" customHeight="1">
      <c r="A48" s="3"/>
      <c r="B48" s="3"/>
      <c r="C48" s="3"/>
      <c r="D48" s="3"/>
      <c r="E48" s="206"/>
      <c r="F48" s="417"/>
      <c r="G48" s="418"/>
      <c r="H48" s="200"/>
      <c r="I48" s="200"/>
      <c r="J48" s="419"/>
      <c r="K48" s="420"/>
      <c r="L48" s="421"/>
      <c r="M48" s="422"/>
      <c r="N48" s="203"/>
      <c r="O48" s="203"/>
      <c r="P48" s="201"/>
      <c r="Q48" s="416"/>
    </row>
    <row r="49" spans="1:17" ht="14.25" customHeight="1">
      <c r="A49" s="3"/>
      <c r="B49" s="3"/>
      <c r="C49" s="3"/>
      <c r="D49" s="3"/>
      <c r="E49" s="206"/>
      <c r="F49" s="417"/>
      <c r="G49" s="418"/>
      <c r="H49" s="200"/>
      <c r="I49" s="200"/>
      <c r="J49" s="419"/>
      <c r="K49" s="420"/>
      <c r="L49" s="421"/>
      <c r="M49" s="422"/>
      <c r="N49" s="203"/>
      <c r="O49" s="203"/>
      <c r="P49" s="201"/>
      <c r="Q49" s="416"/>
    </row>
    <row r="50" spans="1:17" ht="14.25" customHeight="1">
      <c r="A50" s="3"/>
      <c r="B50" s="3"/>
      <c r="C50" s="3"/>
      <c r="D50" s="3"/>
      <c r="E50" s="206"/>
      <c r="F50" s="417"/>
      <c r="G50" s="418"/>
      <c r="H50" s="200"/>
      <c r="I50" s="200"/>
      <c r="J50" s="419"/>
      <c r="K50" s="420"/>
      <c r="L50" s="421"/>
      <c r="M50" s="422"/>
      <c r="N50" s="203"/>
      <c r="O50" s="203"/>
      <c r="P50" s="201"/>
      <c r="Q50" s="416"/>
    </row>
    <row r="51" spans="1:17" ht="14.25" customHeight="1">
      <c r="A51" s="3"/>
      <c r="B51" s="3"/>
      <c r="C51" s="3"/>
      <c r="D51" s="3"/>
      <c r="E51" s="206"/>
      <c r="F51" s="417"/>
      <c r="G51" s="418"/>
      <c r="H51" s="200"/>
      <c r="I51" s="200"/>
      <c r="J51" s="419"/>
      <c r="K51" s="420"/>
      <c r="L51" s="421"/>
      <c r="M51" s="422"/>
      <c r="N51" s="203"/>
      <c r="O51" s="203"/>
      <c r="P51" s="201"/>
      <c r="Q51" s="416"/>
    </row>
    <row r="52" spans="1:17" ht="14.25" customHeight="1">
      <c r="A52" s="3"/>
      <c r="B52" s="3"/>
      <c r="C52" s="3"/>
      <c r="D52" s="3"/>
      <c r="E52" s="206"/>
      <c r="F52" s="417"/>
      <c r="G52" s="418"/>
      <c r="H52" s="200"/>
      <c r="I52" s="200"/>
      <c r="J52" s="419"/>
      <c r="K52" s="420"/>
      <c r="L52" s="421"/>
      <c r="M52" s="422"/>
      <c r="N52" s="203"/>
      <c r="O52" s="203"/>
      <c r="P52" s="201"/>
      <c r="Q52" s="416"/>
    </row>
    <row r="53" spans="1:17" ht="14.25" customHeight="1">
      <c r="A53" s="3"/>
      <c r="B53" s="3"/>
      <c r="C53" s="3"/>
      <c r="D53" s="3"/>
      <c r="E53" s="206"/>
      <c r="F53" s="417"/>
      <c r="G53" s="418"/>
      <c r="H53" s="200"/>
      <c r="I53" s="200"/>
      <c r="J53" s="419"/>
      <c r="K53" s="420"/>
      <c r="L53" s="421"/>
      <c r="M53" s="422"/>
      <c r="N53" s="203"/>
      <c r="O53" s="203"/>
      <c r="P53" s="201"/>
      <c r="Q53" s="416"/>
    </row>
    <row r="54" spans="1:17" ht="14.25" customHeight="1">
      <c r="A54" s="3"/>
      <c r="B54" s="3"/>
      <c r="C54" s="3"/>
      <c r="D54" s="3"/>
      <c r="E54" s="206"/>
      <c r="F54" s="417"/>
      <c r="G54" s="418"/>
      <c r="H54" s="200"/>
      <c r="I54" s="200"/>
      <c r="J54" s="419"/>
      <c r="K54" s="420"/>
      <c r="L54" s="421"/>
      <c r="M54" s="422"/>
      <c r="N54" s="203"/>
      <c r="O54" s="203"/>
      <c r="P54" s="201"/>
      <c r="Q54" s="416"/>
    </row>
    <row r="55" spans="1:17" ht="14.25" customHeight="1">
      <c r="A55" s="3"/>
      <c r="B55" s="3"/>
      <c r="C55" s="3"/>
      <c r="D55" s="3"/>
      <c r="E55" s="206"/>
      <c r="F55" s="417"/>
      <c r="G55" s="418"/>
      <c r="H55" s="200"/>
      <c r="I55" s="200"/>
      <c r="J55" s="419"/>
      <c r="K55" s="420"/>
      <c r="L55" s="421"/>
      <c r="M55" s="422"/>
      <c r="N55" s="203"/>
      <c r="O55" s="203"/>
      <c r="P55" s="201"/>
      <c r="Q55" s="416"/>
    </row>
    <row r="56" spans="1:17" ht="14.25" customHeight="1">
      <c r="A56" s="3"/>
      <c r="B56" s="3"/>
      <c r="C56" s="3"/>
      <c r="D56" s="3"/>
      <c r="E56" s="206"/>
      <c r="F56" s="417"/>
      <c r="G56" s="418"/>
      <c r="H56" s="200"/>
      <c r="I56" s="200"/>
      <c r="J56" s="419"/>
      <c r="K56" s="420"/>
      <c r="L56" s="421"/>
      <c r="M56" s="422"/>
      <c r="N56" s="203"/>
      <c r="O56" s="203"/>
      <c r="P56" s="201"/>
      <c r="Q56" s="416"/>
    </row>
    <row r="57" spans="1:17" ht="14.25" customHeight="1">
      <c r="A57" s="3"/>
      <c r="B57" s="3"/>
      <c r="C57" s="3"/>
      <c r="D57" s="3"/>
      <c r="E57" s="206"/>
      <c r="F57" s="417"/>
      <c r="G57" s="418"/>
      <c r="H57" s="200"/>
      <c r="I57" s="200"/>
      <c r="J57" s="419"/>
      <c r="K57" s="420"/>
      <c r="L57" s="421"/>
      <c r="M57" s="422"/>
      <c r="N57" s="203"/>
      <c r="O57" s="203"/>
      <c r="P57" s="201"/>
      <c r="Q57" s="416"/>
    </row>
    <row r="58" spans="1:17" ht="14.25" customHeight="1">
      <c r="A58" s="3"/>
      <c r="B58" s="3"/>
      <c r="C58" s="3"/>
      <c r="D58" s="3"/>
      <c r="E58" s="206"/>
      <c r="F58" s="417"/>
      <c r="G58" s="418"/>
      <c r="H58" s="200"/>
      <c r="I58" s="200"/>
      <c r="J58" s="419"/>
      <c r="K58" s="420"/>
      <c r="L58" s="421"/>
      <c r="M58" s="422"/>
      <c r="N58" s="203"/>
      <c r="O58" s="203"/>
      <c r="P58" s="201"/>
      <c r="Q58" s="416"/>
    </row>
    <row r="59" spans="1:17" ht="14.25" customHeight="1">
      <c r="A59" s="3"/>
      <c r="B59" s="3"/>
      <c r="C59" s="3"/>
      <c r="D59" s="3"/>
      <c r="E59" s="206"/>
      <c r="F59" s="417"/>
      <c r="G59" s="418"/>
      <c r="H59" s="200"/>
      <c r="I59" s="200"/>
      <c r="J59" s="419"/>
      <c r="K59" s="420"/>
      <c r="L59" s="421"/>
      <c r="M59" s="422"/>
      <c r="N59" s="203"/>
      <c r="O59" s="203"/>
      <c r="P59" s="201"/>
      <c r="Q59" s="416"/>
    </row>
    <row r="60" spans="1:17" ht="14.25" customHeight="1">
      <c r="A60" s="3"/>
      <c r="B60" s="3"/>
      <c r="C60" s="3"/>
      <c r="D60" s="3"/>
      <c r="E60" s="206"/>
      <c r="F60" s="417"/>
      <c r="G60" s="418"/>
      <c r="H60" s="200"/>
      <c r="I60" s="200"/>
      <c r="J60" s="419"/>
      <c r="K60" s="420"/>
      <c r="L60" s="421"/>
      <c r="M60" s="422"/>
      <c r="N60" s="203"/>
      <c r="O60" s="203"/>
      <c r="P60" s="201"/>
      <c r="Q60" s="416"/>
    </row>
    <row r="61" spans="1:17" ht="14.25" customHeight="1">
      <c r="A61" s="3"/>
      <c r="B61" s="3"/>
      <c r="C61" s="3"/>
      <c r="D61" s="3"/>
      <c r="E61" s="206"/>
      <c r="F61" s="417"/>
      <c r="G61" s="418"/>
      <c r="H61" s="200"/>
      <c r="I61" s="200"/>
      <c r="J61" s="419"/>
      <c r="K61" s="420"/>
      <c r="L61" s="421"/>
      <c r="M61" s="422"/>
      <c r="N61" s="203"/>
      <c r="O61" s="203"/>
      <c r="P61" s="201"/>
      <c r="Q61" s="416"/>
    </row>
    <row r="62" spans="1:17" ht="14.25" customHeight="1">
      <c r="A62" s="3"/>
      <c r="B62" s="3"/>
      <c r="C62" s="3"/>
      <c r="D62" s="3"/>
      <c r="E62" s="206"/>
      <c r="F62" s="417"/>
      <c r="G62" s="418"/>
      <c r="H62" s="200"/>
      <c r="I62" s="200"/>
      <c r="J62" s="419"/>
      <c r="K62" s="420"/>
      <c r="L62" s="421"/>
      <c r="M62" s="422"/>
      <c r="N62" s="203"/>
      <c r="O62" s="203"/>
      <c r="P62" s="201"/>
      <c r="Q62" s="416"/>
    </row>
    <row r="63" spans="1:17" ht="14.25" customHeight="1">
      <c r="A63" s="3"/>
      <c r="B63" s="3"/>
      <c r="C63" s="3"/>
      <c r="D63" s="3"/>
      <c r="E63" s="206"/>
      <c r="F63" s="417"/>
      <c r="G63" s="418"/>
      <c r="H63" s="200"/>
      <c r="I63" s="200"/>
      <c r="J63" s="419"/>
      <c r="K63" s="420"/>
      <c r="L63" s="421"/>
      <c r="M63" s="422"/>
      <c r="N63" s="203"/>
      <c r="O63" s="203"/>
      <c r="P63" s="201"/>
      <c r="Q63" s="416"/>
    </row>
    <row r="64" spans="1:17" ht="14.25" customHeight="1">
      <c r="A64" s="3"/>
      <c r="B64" s="3"/>
      <c r="C64" s="3"/>
      <c r="D64" s="3"/>
      <c r="E64" s="206"/>
      <c r="F64" s="417"/>
      <c r="G64" s="418"/>
      <c r="H64" s="200"/>
      <c r="I64" s="200"/>
      <c r="J64" s="419"/>
      <c r="K64" s="420"/>
      <c r="L64" s="421"/>
      <c r="M64" s="422"/>
      <c r="N64" s="203"/>
      <c r="O64" s="203"/>
      <c r="P64" s="201"/>
      <c r="Q64" s="416"/>
    </row>
    <row r="65" spans="1:17" ht="14.25" customHeight="1">
      <c r="A65" s="3"/>
      <c r="B65" s="3"/>
      <c r="C65" s="3"/>
      <c r="D65" s="3"/>
      <c r="E65" s="206"/>
      <c r="F65" s="417"/>
      <c r="G65" s="418"/>
      <c r="H65" s="200"/>
      <c r="I65" s="200"/>
      <c r="J65" s="419"/>
      <c r="K65" s="420"/>
      <c r="L65" s="421"/>
      <c r="M65" s="422"/>
      <c r="N65" s="203"/>
      <c r="O65" s="203"/>
      <c r="P65" s="201"/>
      <c r="Q65" s="416"/>
    </row>
    <row r="66" spans="1:17" ht="14.25" customHeight="1">
      <c r="A66" s="3"/>
      <c r="B66" s="3"/>
      <c r="C66" s="3"/>
      <c r="D66" s="3"/>
      <c r="E66" s="206"/>
      <c r="F66" s="417"/>
      <c r="G66" s="418"/>
      <c r="H66" s="200"/>
      <c r="I66" s="200"/>
      <c r="J66" s="419"/>
      <c r="K66" s="420"/>
      <c r="L66" s="421"/>
      <c r="M66" s="422"/>
      <c r="N66" s="203"/>
      <c r="O66" s="203"/>
      <c r="P66" s="201"/>
      <c r="Q66" s="416"/>
    </row>
    <row r="67" spans="1:17" ht="14.25" customHeight="1">
      <c r="A67" s="3"/>
      <c r="B67" s="3"/>
      <c r="C67" s="3"/>
      <c r="D67" s="3"/>
      <c r="E67" s="206"/>
      <c r="F67" s="417"/>
      <c r="G67" s="418"/>
      <c r="H67" s="200"/>
      <c r="I67" s="200"/>
      <c r="J67" s="419"/>
      <c r="K67" s="420"/>
      <c r="L67" s="421"/>
      <c r="M67" s="422"/>
      <c r="N67" s="203"/>
      <c r="O67" s="203"/>
      <c r="P67" s="201"/>
      <c r="Q67" s="416"/>
    </row>
    <row r="68" spans="1:17" ht="14.25" customHeight="1">
      <c r="A68" s="3"/>
      <c r="B68" s="3"/>
      <c r="C68" s="3"/>
      <c r="D68" s="3"/>
      <c r="E68" s="206"/>
      <c r="F68" s="417"/>
      <c r="G68" s="418"/>
      <c r="H68" s="200"/>
      <c r="I68" s="200"/>
      <c r="J68" s="419"/>
      <c r="K68" s="420"/>
      <c r="L68" s="421"/>
      <c r="M68" s="422"/>
      <c r="N68" s="203"/>
      <c r="O68" s="203"/>
      <c r="P68" s="201"/>
      <c r="Q68" s="416"/>
    </row>
    <row r="69" spans="1:17" ht="14.25" customHeight="1">
      <c r="A69" s="3"/>
      <c r="B69" s="3"/>
      <c r="C69" s="3"/>
      <c r="D69" s="3"/>
      <c r="E69" s="206"/>
      <c r="F69" s="417"/>
      <c r="G69" s="418"/>
      <c r="H69" s="200"/>
      <c r="I69" s="200"/>
      <c r="J69" s="419"/>
      <c r="K69" s="420"/>
      <c r="L69" s="421"/>
      <c r="M69" s="422"/>
      <c r="N69" s="203"/>
      <c r="O69" s="203"/>
      <c r="P69" s="201"/>
      <c r="Q69" s="416"/>
    </row>
    <row r="70" spans="1:17" ht="14.25" customHeight="1">
      <c r="A70" s="3"/>
      <c r="B70" s="3"/>
      <c r="C70" s="3"/>
      <c r="D70" s="3"/>
      <c r="E70" s="206"/>
      <c r="F70" s="417"/>
      <c r="G70" s="418"/>
      <c r="H70" s="200"/>
      <c r="I70" s="200"/>
      <c r="J70" s="419"/>
      <c r="K70" s="420"/>
      <c r="L70" s="421"/>
      <c r="M70" s="422"/>
      <c r="N70" s="203"/>
      <c r="O70" s="203"/>
      <c r="P70" s="201"/>
      <c r="Q70" s="416"/>
    </row>
    <row r="71" spans="1:17" ht="14.25" customHeight="1">
      <c r="A71" s="3"/>
      <c r="B71" s="3"/>
      <c r="C71" s="3"/>
      <c r="D71" s="3"/>
      <c r="E71" s="206"/>
      <c r="F71" s="417"/>
      <c r="G71" s="418"/>
      <c r="H71" s="200"/>
      <c r="I71" s="200"/>
      <c r="J71" s="419"/>
      <c r="K71" s="420"/>
      <c r="L71" s="421"/>
      <c r="M71" s="422"/>
      <c r="N71" s="203"/>
      <c r="O71" s="203"/>
      <c r="P71" s="201"/>
      <c r="Q71" s="416"/>
    </row>
    <row r="72" spans="1:17" ht="14.25" customHeight="1">
      <c r="A72" s="3"/>
      <c r="B72" s="3"/>
      <c r="C72" s="3"/>
      <c r="D72" s="3"/>
      <c r="E72" s="206"/>
      <c r="F72" s="417"/>
      <c r="G72" s="418"/>
      <c r="H72" s="200"/>
      <c r="I72" s="200"/>
      <c r="J72" s="419"/>
      <c r="K72" s="420"/>
      <c r="L72" s="421"/>
      <c r="M72" s="422"/>
      <c r="N72" s="203"/>
      <c r="O72" s="203"/>
      <c r="P72" s="201"/>
      <c r="Q72" s="416"/>
    </row>
    <row r="73" spans="1:17" ht="14.25" customHeight="1">
      <c r="A73" s="3"/>
      <c r="B73" s="3"/>
      <c r="C73" s="3"/>
      <c r="D73" s="3"/>
      <c r="E73" s="206"/>
      <c r="F73" s="417"/>
      <c r="G73" s="418"/>
      <c r="H73" s="200"/>
      <c r="I73" s="200"/>
      <c r="J73" s="419"/>
      <c r="K73" s="420"/>
      <c r="L73" s="421"/>
      <c r="M73" s="422"/>
      <c r="N73" s="203"/>
      <c r="O73" s="203"/>
      <c r="P73" s="201"/>
      <c r="Q73" s="416"/>
    </row>
    <row r="74" spans="1:17" ht="14.25" customHeight="1">
      <c r="A74" s="3"/>
      <c r="B74" s="3"/>
      <c r="C74" s="3"/>
      <c r="D74" s="3"/>
      <c r="E74" s="206"/>
      <c r="F74" s="417"/>
      <c r="G74" s="418"/>
      <c r="H74" s="200"/>
      <c r="I74" s="200"/>
      <c r="J74" s="419"/>
      <c r="K74" s="420"/>
      <c r="L74" s="421"/>
      <c r="M74" s="422"/>
      <c r="N74" s="203"/>
      <c r="O74" s="203"/>
      <c r="P74" s="201"/>
      <c r="Q74" s="416"/>
    </row>
    <row r="75" spans="1:17" ht="14.25" customHeight="1">
      <c r="A75" s="3"/>
      <c r="B75" s="3"/>
      <c r="C75" s="3"/>
      <c r="D75" s="3"/>
      <c r="E75" s="206"/>
      <c r="F75" s="417"/>
      <c r="G75" s="418"/>
      <c r="H75" s="200"/>
      <c r="I75" s="200"/>
      <c r="J75" s="419"/>
      <c r="K75" s="420"/>
      <c r="L75" s="421"/>
      <c r="M75" s="422"/>
      <c r="N75" s="203"/>
      <c r="O75" s="203"/>
      <c r="P75" s="201"/>
      <c r="Q75" s="416"/>
    </row>
    <row r="76" spans="1:17" ht="14.25" customHeight="1">
      <c r="A76" s="3"/>
      <c r="B76" s="3"/>
      <c r="C76" s="3"/>
      <c r="D76" s="3"/>
      <c r="E76" s="206"/>
      <c r="F76" s="417"/>
      <c r="G76" s="418"/>
      <c r="H76" s="200"/>
      <c r="I76" s="200"/>
      <c r="J76" s="419"/>
      <c r="K76" s="420"/>
      <c r="L76" s="421"/>
      <c r="M76" s="422"/>
      <c r="N76" s="203"/>
      <c r="O76" s="203"/>
      <c r="P76" s="201"/>
      <c r="Q76" s="416"/>
    </row>
    <row r="77" spans="1:17" ht="14.25" customHeight="1">
      <c r="A77" s="3"/>
      <c r="B77" s="3"/>
      <c r="C77" s="3"/>
      <c r="D77" s="3"/>
      <c r="E77" s="206"/>
      <c r="F77" s="417"/>
      <c r="G77" s="418"/>
      <c r="H77" s="200"/>
      <c r="I77" s="200"/>
      <c r="J77" s="419"/>
      <c r="K77" s="420"/>
      <c r="L77" s="421"/>
      <c r="M77" s="422"/>
      <c r="N77" s="203"/>
      <c r="O77" s="203"/>
      <c r="P77" s="201"/>
      <c r="Q77" s="416"/>
    </row>
    <row r="78" spans="1:17" ht="14.25" customHeight="1">
      <c r="A78" s="3"/>
      <c r="B78" s="3"/>
      <c r="C78" s="3"/>
      <c r="D78" s="3"/>
      <c r="E78" s="206"/>
      <c r="F78" s="417"/>
      <c r="G78" s="418"/>
      <c r="H78" s="200"/>
      <c r="I78" s="200"/>
      <c r="J78" s="419"/>
      <c r="K78" s="420"/>
      <c r="L78" s="421"/>
      <c r="M78" s="422"/>
      <c r="N78" s="203"/>
      <c r="O78" s="203"/>
      <c r="P78" s="201"/>
      <c r="Q78" s="416"/>
    </row>
    <row r="79" spans="1:17" ht="14.25" customHeight="1">
      <c r="A79" s="3"/>
      <c r="B79" s="3"/>
      <c r="C79" s="3"/>
      <c r="D79" s="3"/>
      <c r="E79" s="206"/>
      <c r="F79" s="417"/>
      <c r="G79" s="418"/>
      <c r="H79" s="200"/>
      <c r="I79" s="200"/>
      <c r="J79" s="419"/>
      <c r="K79" s="420"/>
      <c r="L79" s="421"/>
      <c r="M79" s="422"/>
      <c r="N79" s="203"/>
      <c r="O79" s="203"/>
      <c r="P79" s="201"/>
      <c r="Q79" s="416"/>
    </row>
    <row r="80" spans="1:17" ht="14.25" customHeight="1">
      <c r="A80" s="3"/>
      <c r="B80" s="3"/>
      <c r="C80" s="3"/>
      <c r="D80" s="3"/>
      <c r="E80" s="206"/>
      <c r="F80" s="417"/>
      <c r="G80" s="418"/>
      <c r="H80" s="200"/>
      <c r="I80" s="200"/>
      <c r="J80" s="419"/>
      <c r="K80" s="420"/>
      <c r="L80" s="421"/>
      <c r="M80" s="422"/>
      <c r="N80" s="203"/>
      <c r="O80" s="203"/>
      <c r="P80" s="201"/>
      <c r="Q80" s="416"/>
    </row>
    <row r="81" spans="1:17" ht="14.25" customHeight="1">
      <c r="A81" s="3"/>
      <c r="B81" s="3"/>
      <c r="C81" s="3"/>
      <c r="D81" s="3"/>
      <c r="E81" s="206"/>
      <c r="F81" s="417"/>
      <c r="G81" s="418"/>
      <c r="H81" s="200"/>
      <c r="I81" s="200"/>
      <c r="J81" s="419"/>
      <c r="K81" s="420"/>
      <c r="L81" s="421"/>
      <c r="M81" s="422"/>
      <c r="N81" s="203"/>
      <c r="O81" s="203"/>
      <c r="P81" s="201"/>
      <c r="Q81" s="416"/>
    </row>
    <row r="82" spans="1:17" ht="14.25" customHeight="1">
      <c r="A82" s="3"/>
      <c r="B82" s="3"/>
      <c r="C82" s="3"/>
      <c r="D82" s="3"/>
      <c r="E82" s="206"/>
      <c r="F82" s="417"/>
      <c r="G82" s="418"/>
      <c r="H82" s="200"/>
      <c r="I82" s="200"/>
      <c r="J82" s="419"/>
      <c r="K82" s="420"/>
      <c r="L82" s="421"/>
      <c r="M82" s="422"/>
      <c r="N82" s="203"/>
      <c r="O82" s="203"/>
      <c r="P82" s="201"/>
      <c r="Q82" s="416"/>
    </row>
    <row r="83" spans="1:17" ht="14.25" customHeight="1">
      <c r="A83" s="3"/>
      <c r="B83" s="3"/>
      <c r="C83" s="3"/>
      <c r="D83" s="3"/>
      <c r="E83" s="206"/>
      <c r="F83" s="417"/>
      <c r="G83" s="418"/>
      <c r="H83" s="200"/>
      <c r="I83" s="200"/>
      <c r="J83" s="419"/>
      <c r="K83" s="420"/>
      <c r="L83" s="421"/>
      <c r="M83" s="422"/>
      <c r="N83" s="203"/>
      <c r="O83" s="203"/>
      <c r="P83" s="201"/>
      <c r="Q83" s="416"/>
    </row>
    <row r="84" spans="1:17" ht="14.25" customHeight="1">
      <c r="A84" s="3"/>
      <c r="B84" s="3"/>
      <c r="C84" s="3"/>
      <c r="D84" s="3"/>
      <c r="E84" s="206"/>
      <c r="F84" s="417"/>
      <c r="G84" s="418"/>
      <c r="H84" s="200"/>
      <c r="I84" s="200"/>
      <c r="J84" s="419"/>
      <c r="K84" s="420"/>
      <c r="L84" s="421"/>
      <c r="M84" s="422"/>
      <c r="N84" s="203"/>
      <c r="O84" s="203"/>
      <c r="P84" s="201"/>
      <c r="Q84" s="416"/>
    </row>
    <row r="85" spans="1:17" ht="14.25" customHeight="1">
      <c r="A85" s="3"/>
      <c r="B85" s="3"/>
      <c r="C85" s="3"/>
      <c r="D85" s="3"/>
      <c r="E85" s="206"/>
      <c r="F85" s="417"/>
      <c r="G85" s="418"/>
      <c r="H85" s="200"/>
      <c r="I85" s="200"/>
      <c r="J85" s="419"/>
      <c r="K85" s="420"/>
      <c r="L85" s="421"/>
      <c r="M85" s="422"/>
      <c r="N85" s="203"/>
      <c r="O85" s="203"/>
      <c r="P85" s="201"/>
      <c r="Q85" s="416"/>
    </row>
    <row r="86" spans="1:17" ht="14.25" customHeight="1">
      <c r="A86" s="3"/>
      <c r="B86" s="3"/>
      <c r="C86" s="3"/>
      <c r="D86" s="3"/>
      <c r="E86" s="206"/>
      <c r="F86" s="417"/>
      <c r="G86" s="418"/>
      <c r="H86" s="200"/>
      <c r="I86" s="200"/>
      <c r="J86" s="419"/>
      <c r="K86" s="420"/>
      <c r="L86" s="421"/>
      <c r="M86" s="422"/>
      <c r="N86" s="203"/>
      <c r="O86" s="203"/>
      <c r="P86" s="201"/>
      <c r="Q86" s="416"/>
    </row>
    <row r="87" spans="1:17" ht="14.25" customHeight="1">
      <c r="A87" s="3"/>
      <c r="B87" s="3"/>
      <c r="C87" s="3"/>
      <c r="D87" s="3"/>
      <c r="E87" s="206"/>
      <c r="F87" s="417"/>
      <c r="G87" s="418"/>
      <c r="H87" s="200"/>
      <c r="I87" s="200"/>
      <c r="J87" s="419"/>
      <c r="K87" s="420"/>
      <c r="L87" s="421"/>
      <c r="M87" s="422"/>
      <c r="N87" s="203"/>
      <c r="O87" s="203"/>
      <c r="P87" s="201"/>
      <c r="Q87" s="416"/>
    </row>
    <row r="88" spans="1:17" ht="14.25" customHeight="1">
      <c r="A88" s="3"/>
      <c r="B88" s="3"/>
      <c r="C88" s="3"/>
      <c r="D88" s="3"/>
      <c r="E88" s="206"/>
      <c r="F88" s="417"/>
      <c r="G88" s="418"/>
      <c r="H88" s="200"/>
      <c r="I88" s="200"/>
      <c r="J88" s="419"/>
      <c r="K88" s="420"/>
      <c r="L88" s="421"/>
      <c r="M88" s="422"/>
      <c r="N88" s="203"/>
      <c r="O88" s="203"/>
      <c r="P88" s="201"/>
      <c r="Q88" s="416"/>
    </row>
    <row r="89" spans="1:17" ht="14.25" customHeight="1">
      <c r="A89" s="3"/>
      <c r="B89" s="3"/>
      <c r="C89" s="3"/>
      <c r="D89" s="3"/>
      <c r="E89" s="206"/>
      <c r="F89" s="417"/>
      <c r="G89" s="418"/>
      <c r="H89" s="200"/>
      <c r="I89" s="200"/>
      <c r="J89" s="419"/>
      <c r="K89" s="420"/>
      <c r="L89" s="421"/>
      <c r="M89" s="422"/>
      <c r="N89" s="203"/>
      <c r="O89" s="203"/>
      <c r="P89" s="201"/>
      <c r="Q89" s="416"/>
    </row>
    <row r="90" spans="1:17" ht="14.25" customHeight="1">
      <c r="A90" s="3"/>
      <c r="B90" s="3"/>
      <c r="C90" s="3"/>
      <c r="D90" s="3"/>
      <c r="E90" s="206"/>
      <c r="F90" s="417"/>
      <c r="G90" s="418"/>
      <c r="H90" s="200"/>
      <c r="I90" s="200"/>
      <c r="J90" s="419"/>
      <c r="K90" s="420"/>
      <c r="L90" s="421"/>
      <c r="M90" s="422"/>
      <c r="N90" s="203"/>
      <c r="O90" s="203"/>
      <c r="P90" s="201"/>
      <c r="Q90" s="416"/>
    </row>
    <row r="91" spans="1:17" ht="14.25" customHeight="1">
      <c r="A91" s="3"/>
      <c r="B91" s="3"/>
      <c r="C91" s="3"/>
      <c r="D91" s="3"/>
      <c r="E91" s="206"/>
      <c r="F91" s="417"/>
      <c r="G91" s="418"/>
      <c r="H91" s="200"/>
      <c r="I91" s="200"/>
      <c r="J91" s="419"/>
      <c r="K91" s="420"/>
      <c r="L91" s="421"/>
      <c r="M91" s="422"/>
      <c r="N91" s="203"/>
      <c r="O91" s="203"/>
      <c r="P91" s="201"/>
      <c r="Q91" s="416"/>
    </row>
    <row r="92" spans="1:17" ht="14.25" customHeight="1">
      <c r="A92" s="3"/>
      <c r="B92" s="3"/>
      <c r="C92" s="3"/>
      <c r="D92" s="3"/>
      <c r="E92" s="206"/>
      <c r="F92" s="417"/>
      <c r="G92" s="418"/>
      <c r="H92" s="200"/>
      <c r="I92" s="200"/>
      <c r="J92" s="419"/>
      <c r="K92" s="420"/>
      <c r="L92" s="421"/>
      <c r="M92" s="422"/>
      <c r="N92" s="203"/>
      <c r="O92" s="203"/>
      <c r="P92" s="201"/>
      <c r="Q92" s="416"/>
    </row>
    <row r="93" spans="1:17" ht="14.25" customHeight="1">
      <c r="A93" s="3"/>
      <c r="B93" s="3"/>
      <c r="C93" s="3"/>
      <c r="D93" s="3"/>
      <c r="E93" s="206"/>
      <c r="F93" s="417"/>
      <c r="G93" s="418"/>
      <c r="H93" s="200"/>
      <c r="I93" s="200"/>
      <c r="J93" s="419"/>
      <c r="K93" s="420"/>
      <c r="L93" s="421"/>
      <c r="M93" s="422"/>
      <c r="N93" s="203"/>
      <c r="O93" s="203"/>
      <c r="P93" s="201"/>
      <c r="Q93" s="416"/>
    </row>
    <row r="94" spans="1:17" ht="14.25" customHeight="1">
      <c r="A94" s="3"/>
      <c r="B94" s="3"/>
      <c r="C94" s="3"/>
      <c r="D94" s="3"/>
      <c r="E94" s="206"/>
      <c r="F94" s="417"/>
      <c r="G94" s="418"/>
      <c r="H94" s="200"/>
      <c r="I94" s="200"/>
      <c r="J94" s="419"/>
      <c r="K94" s="420"/>
      <c r="L94" s="421"/>
      <c r="M94" s="422"/>
      <c r="N94" s="203"/>
      <c r="O94" s="203"/>
      <c r="P94" s="201"/>
      <c r="Q94" s="416"/>
    </row>
    <row r="95" spans="1:17" ht="14.25" customHeight="1">
      <c r="A95" s="3"/>
      <c r="B95" s="3"/>
      <c r="C95" s="3"/>
      <c r="D95" s="3"/>
      <c r="E95" s="206"/>
      <c r="F95" s="417"/>
      <c r="G95" s="418"/>
      <c r="H95" s="200"/>
      <c r="I95" s="200"/>
      <c r="J95" s="419"/>
      <c r="K95" s="420"/>
      <c r="L95" s="421"/>
      <c r="M95" s="422"/>
      <c r="N95" s="203"/>
      <c r="O95" s="203"/>
      <c r="P95" s="201"/>
      <c r="Q95" s="416"/>
    </row>
    <row r="96" spans="1:17" ht="14.25" customHeight="1">
      <c r="A96" s="3"/>
      <c r="B96" s="3"/>
      <c r="C96" s="3"/>
      <c r="D96" s="3"/>
      <c r="E96" s="206"/>
      <c r="F96" s="417"/>
      <c r="G96" s="418"/>
      <c r="H96" s="200"/>
      <c r="I96" s="200"/>
      <c r="J96" s="419"/>
      <c r="K96" s="420"/>
      <c r="L96" s="421"/>
      <c r="M96" s="422"/>
      <c r="N96" s="203"/>
      <c r="O96" s="203"/>
      <c r="P96" s="201"/>
      <c r="Q96" s="416"/>
    </row>
    <row r="97" spans="1:17" ht="14.25" customHeight="1">
      <c r="A97" s="3"/>
      <c r="B97" s="3"/>
      <c r="C97" s="3"/>
      <c r="D97" s="3"/>
      <c r="E97" s="206"/>
      <c r="F97" s="417"/>
      <c r="G97" s="418"/>
      <c r="H97" s="200"/>
      <c r="I97" s="200"/>
      <c r="J97" s="419"/>
      <c r="K97" s="420"/>
      <c r="L97" s="421"/>
      <c r="M97" s="422"/>
      <c r="N97" s="203"/>
      <c r="O97" s="203"/>
      <c r="P97" s="201"/>
      <c r="Q97" s="416"/>
    </row>
    <row r="98" spans="1:17" ht="14.25" customHeight="1">
      <c r="A98" s="3"/>
      <c r="B98" s="3"/>
      <c r="C98" s="3"/>
      <c r="D98" s="3"/>
      <c r="E98" s="206"/>
      <c r="F98" s="417"/>
      <c r="G98" s="418"/>
      <c r="H98" s="200"/>
      <c r="I98" s="200"/>
      <c r="J98" s="419"/>
      <c r="K98" s="420"/>
      <c r="L98" s="421"/>
      <c r="M98" s="422"/>
      <c r="N98" s="203"/>
      <c r="O98" s="203"/>
      <c r="P98" s="201"/>
      <c r="Q98" s="416"/>
    </row>
    <row r="99" spans="1:17" ht="14.25" customHeight="1">
      <c r="A99" s="3"/>
      <c r="B99" s="3"/>
      <c r="C99" s="3"/>
      <c r="D99" s="3"/>
      <c r="E99" s="206"/>
      <c r="F99" s="417"/>
      <c r="G99" s="418"/>
      <c r="H99" s="200"/>
      <c r="I99" s="200"/>
      <c r="J99" s="419"/>
      <c r="K99" s="420"/>
      <c r="L99" s="421"/>
      <c r="M99" s="422"/>
      <c r="N99" s="203"/>
      <c r="O99" s="203"/>
      <c r="P99" s="201"/>
      <c r="Q99" s="416"/>
    </row>
    <row r="100" spans="1:17" ht="14.25" customHeight="1">
      <c r="A100" s="3"/>
      <c r="B100" s="3"/>
      <c r="C100" s="3"/>
      <c r="D100" s="3"/>
      <c r="E100" s="206"/>
      <c r="F100" s="417"/>
      <c r="G100" s="418"/>
      <c r="H100" s="200"/>
      <c r="I100" s="200"/>
      <c r="J100" s="419"/>
      <c r="K100" s="420"/>
      <c r="L100" s="421"/>
      <c r="M100" s="422"/>
      <c r="N100" s="203"/>
      <c r="O100" s="203"/>
      <c r="P100" s="201"/>
      <c r="Q100" s="416"/>
    </row>
    <row r="101" spans="1:17" ht="14.25" customHeight="1">
      <c r="A101" s="3"/>
      <c r="B101" s="3"/>
      <c r="C101" s="3"/>
      <c r="D101" s="3"/>
      <c r="E101" s="206"/>
      <c r="F101" s="417"/>
      <c r="G101" s="418"/>
      <c r="H101" s="200"/>
      <c r="I101" s="200"/>
      <c r="J101" s="419"/>
      <c r="K101" s="420"/>
      <c r="L101" s="421"/>
      <c r="M101" s="422"/>
      <c r="N101" s="203"/>
      <c r="O101" s="203"/>
      <c r="P101" s="201"/>
      <c r="Q101" s="416"/>
    </row>
    <row r="102" spans="1:17" ht="14.25" customHeight="1">
      <c r="A102" s="3"/>
      <c r="B102" s="3"/>
      <c r="C102" s="3"/>
      <c r="D102" s="3"/>
      <c r="E102" s="206"/>
      <c r="F102" s="417"/>
      <c r="G102" s="418"/>
      <c r="H102" s="200"/>
      <c r="I102" s="200"/>
      <c r="J102" s="419"/>
      <c r="K102" s="420"/>
      <c r="L102" s="421"/>
      <c r="M102" s="422"/>
      <c r="N102" s="203"/>
      <c r="O102" s="203"/>
      <c r="P102" s="201"/>
      <c r="Q102" s="416"/>
    </row>
    <row r="103" spans="1:17" ht="14.25" customHeight="1">
      <c r="A103" s="3"/>
      <c r="B103" s="3"/>
      <c r="C103" s="3"/>
      <c r="D103" s="3"/>
      <c r="E103" s="206"/>
      <c r="F103" s="417"/>
      <c r="G103" s="418"/>
      <c r="H103" s="200"/>
      <c r="I103" s="200"/>
      <c r="J103" s="419"/>
      <c r="K103" s="420"/>
      <c r="L103" s="421"/>
      <c r="M103" s="422"/>
      <c r="N103" s="203"/>
      <c r="O103" s="203"/>
      <c r="P103" s="201"/>
      <c r="Q103" s="416"/>
    </row>
    <row r="104" spans="1:17" ht="14.25" customHeight="1">
      <c r="A104" s="3"/>
      <c r="B104" s="3"/>
      <c r="C104" s="3"/>
      <c r="D104" s="3"/>
      <c r="E104" s="206"/>
      <c r="F104" s="417"/>
      <c r="G104" s="418"/>
      <c r="H104" s="200"/>
      <c r="I104" s="200"/>
      <c r="J104" s="419"/>
      <c r="K104" s="420"/>
      <c r="L104" s="421"/>
      <c r="M104" s="422"/>
      <c r="N104" s="203"/>
      <c r="O104" s="203"/>
      <c r="P104" s="201"/>
      <c r="Q104" s="416"/>
    </row>
    <row r="105" spans="1:17" ht="14.25" customHeight="1">
      <c r="A105" s="3"/>
      <c r="B105" s="3"/>
      <c r="C105" s="3"/>
      <c r="D105" s="3"/>
      <c r="E105" s="206"/>
      <c r="F105" s="417"/>
      <c r="G105" s="418"/>
      <c r="H105" s="200"/>
      <c r="I105" s="200"/>
      <c r="J105" s="419"/>
      <c r="K105" s="420"/>
      <c r="L105" s="421"/>
      <c r="M105" s="422"/>
      <c r="N105" s="203"/>
      <c r="O105" s="203"/>
      <c r="P105" s="201"/>
      <c r="Q105" s="416"/>
    </row>
    <row r="106" spans="1:17" ht="14.25" customHeight="1">
      <c r="A106" s="3"/>
      <c r="B106" s="3"/>
      <c r="C106" s="3"/>
      <c r="D106" s="3"/>
      <c r="E106" s="206"/>
      <c r="F106" s="417"/>
      <c r="G106" s="418"/>
      <c r="H106" s="200"/>
      <c r="I106" s="200"/>
      <c r="J106" s="419"/>
      <c r="K106" s="420"/>
      <c r="L106" s="421"/>
      <c r="M106" s="422"/>
      <c r="N106" s="203"/>
      <c r="O106" s="203"/>
      <c r="P106" s="201"/>
      <c r="Q106" s="416"/>
    </row>
    <row r="107" spans="1:17" ht="14.25" customHeight="1">
      <c r="A107" s="3"/>
      <c r="B107" s="3"/>
      <c r="C107" s="3"/>
      <c r="D107" s="3"/>
      <c r="E107" s="206"/>
      <c r="F107" s="417"/>
      <c r="G107" s="418"/>
      <c r="H107" s="200"/>
      <c r="I107" s="200"/>
      <c r="J107" s="419"/>
      <c r="K107" s="420"/>
      <c r="L107" s="421"/>
      <c r="M107" s="422"/>
      <c r="N107" s="203"/>
      <c r="O107" s="203"/>
      <c r="P107" s="201"/>
      <c r="Q107" s="416"/>
    </row>
    <row r="108" spans="1:17" ht="14.25" customHeight="1">
      <c r="A108" s="3"/>
      <c r="B108" s="3"/>
      <c r="C108" s="3"/>
      <c r="D108" s="3"/>
      <c r="E108" s="206"/>
      <c r="F108" s="417"/>
      <c r="G108" s="418"/>
      <c r="H108" s="200"/>
      <c r="I108" s="200"/>
      <c r="J108" s="419"/>
      <c r="K108" s="420"/>
      <c r="L108" s="421"/>
      <c r="M108" s="422"/>
      <c r="N108" s="203"/>
      <c r="O108" s="203"/>
      <c r="P108" s="201"/>
      <c r="Q108" s="416"/>
    </row>
    <row r="109" spans="1:17" ht="14.25" customHeight="1">
      <c r="A109" s="3"/>
      <c r="B109" s="3"/>
      <c r="C109" s="3"/>
      <c r="D109" s="3"/>
      <c r="E109" s="206"/>
      <c r="F109" s="417"/>
      <c r="G109" s="418"/>
      <c r="H109" s="200"/>
      <c r="I109" s="200"/>
      <c r="J109" s="419"/>
      <c r="K109" s="420"/>
      <c r="L109" s="421"/>
      <c r="M109" s="422"/>
      <c r="N109" s="203"/>
      <c r="O109" s="203"/>
      <c r="P109" s="201"/>
      <c r="Q109" s="416"/>
    </row>
    <row r="110" spans="1:17" ht="14.25" customHeight="1">
      <c r="A110" s="3"/>
      <c r="B110" s="3"/>
      <c r="C110" s="3"/>
      <c r="D110" s="3"/>
      <c r="E110" s="206"/>
      <c r="F110" s="417"/>
      <c r="G110" s="418"/>
      <c r="H110" s="200"/>
      <c r="I110" s="200"/>
      <c r="J110" s="419"/>
      <c r="K110" s="420"/>
      <c r="L110" s="421"/>
      <c r="M110" s="422"/>
      <c r="N110" s="203"/>
      <c r="O110" s="203"/>
      <c r="P110" s="201"/>
      <c r="Q110" s="416"/>
    </row>
    <row r="111" spans="1:17" ht="14.25" customHeight="1">
      <c r="A111" s="3"/>
      <c r="B111" s="3"/>
      <c r="C111" s="3"/>
      <c r="D111" s="3"/>
      <c r="E111" s="206"/>
      <c r="F111" s="417"/>
      <c r="G111" s="418"/>
      <c r="H111" s="200"/>
      <c r="I111" s="200"/>
      <c r="J111" s="419"/>
      <c r="K111" s="420"/>
      <c r="L111" s="421"/>
      <c r="M111" s="422"/>
      <c r="N111" s="203"/>
      <c r="O111" s="203"/>
      <c r="P111" s="201"/>
      <c r="Q111" s="416"/>
    </row>
    <row r="112" spans="1:17" ht="14.25" customHeight="1">
      <c r="A112" s="3"/>
      <c r="B112" s="3"/>
      <c r="C112" s="3"/>
      <c r="D112" s="3"/>
      <c r="E112" s="206"/>
      <c r="F112" s="417"/>
      <c r="G112" s="418"/>
      <c r="H112" s="200"/>
      <c r="I112" s="200"/>
      <c r="J112" s="419"/>
      <c r="K112" s="420"/>
      <c r="L112" s="421"/>
      <c r="M112" s="422"/>
      <c r="N112" s="203"/>
      <c r="O112" s="203"/>
      <c r="P112" s="201"/>
      <c r="Q112" s="416"/>
    </row>
    <row r="113" spans="1:17" ht="14.25" customHeight="1">
      <c r="A113" s="3"/>
      <c r="B113" s="3"/>
      <c r="C113" s="3"/>
      <c r="D113" s="3"/>
      <c r="E113" s="206"/>
      <c r="F113" s="417"/>
      <c r="G113" s="418"/>
      <c r="H113" s="200"/>
      <c r="I113" s="200"/>
      <c r="J113" s="419"/>
      <c r="K113" s="420"/>
      <c r="L113" s="421"/>
      <c r="M113" s="422"/>
      <c r="N113" s="203"/>
      <c r="O113" s="203"/>
      <c r="P113" s="201"/>
      <c r="Q113" s="416"/>
    </row>
    <row r="114" spans="1:17" ht="14.25" customHeight="1">
      <c r="A114" s="3"/>
      <c r="B114" s="3"/>
      <c r="C114" s="3"/>
      <c r="D114" s="3"/>
      <c r="E114" s="206"/>
      <c r="F114" s="417"/>
      <c r="G114" s="418"/>
      <c r="H114" s="200"/>
      <c r="I114" s="200"/>
      <c r="J114" s="419"/>
      <c r="K114" s="420"/>
      <c r="L114" s="421"/>
      <c r="M114" s="422"/>
      <c r="N114" s="203"/>
      <c r="O114" s="203"/>
      <c r="P114" s="201"/>
      <c r="Q114" s="416"/>
    </row>
    <row r="115" spans="1:17" ht="14.25" customHeight="1">
      <c r="A115" s="3"/>
      <c r="B115" s="3"/>
      <c r="C115" s="3"/>
      <c r="D115" s="3"/>
      <c r="E115" s="206"/>
      <c r="F115" s="417"/>
      <c r="G115" s="418"/>
      <c r="H115" s="200"/>
      <c r="I115" s="200"/>
      <c r="J115" s="419"/>
      <c r="K115" s="420"/>
      <c r="L115" s="421"/>
      <c r="M115" s="422"/>
      <c r="N115" s="203"/>
      <c r="O115" s="203"/>
      <c r="P115" s="201"/>
      <c r="Q115" s="416"/>
    </row>
    <row r="116" spans="1:17" ht="14.25" customHeight="1">
      <c r="A116" s="3"/>
      <c r="B116" s="3"/>
      <c r="C116" s="3"/>
      <c r="D116" s="3"/>
      <c r="E116" s="206"/>
      <c r="F116" s="417"/>
      <c r="G116" s="418"/>
      <c r="H116" s="200"/>
      <c r="I116" s="200"/>
      <c r="J116" s="419"/>
      <c r="K116" s="420"/>
      <c r="L116" s="421"/>
      <c r="M116" s="422"/>
      <c r="N116" s="203"/>
      <c r="O116" s="203"/>
      <c r="P116" s="201"/>
      <c r="Q116" s="416"/>
    </row>
    <row r="117" spans="1:17" ht="14.25" customHeight="1">
      <c r="A117" s="3"/>
      <c r="B117" s="3"/>
      <c r="C117" s="3"/>
      <c r="D117" s="3"/>
      <c r="E117" s="206"/>
      <c r="F117" s="417"/>
      <c r="G117" s="418"/>
      <c r="H117" s="200"/>
      <c r="I117" s="200"/>
      <c r="J117" s="419"/>
      <c r="K117" s="420"/>
      <c r="L117" s="421"/>
      <c r="M117" s="422"/>
      <c r="N117" s="203"/>
      <c r="O117" s="203"/>
      <c r="P117" s="201"/>
      <c r="Q117" s="416"/>
    </row>
    <row r="118" spans="1:17" ht="14.25" customHeight="1">
      <c r="A118" s="3"/>
      <c r="B118" s="3"/>
      <c r="C118" s="3"/>
      <c r="D118" s="3"/>
      <c r="E118" s="206"/>
      <c r="F118" s="417"/>
      <c r="G118" s="418"/>
      <c r="H118" s="200"/>
      <c r="I118" s="200"/>
      <c r="J118" s="419"/>
      <c r="K118" s="420"/>
      <c r="L118" s="421"/>
      <c r="M118" s="422"/>
      <c r="N118" s="203"/>
      <c r="O118" s="203"/>
      <c r="P118" s="201"/>
      <c r="Q118" s="416"/>
    </row>
    <row r="119" spans="1:17" ht="14.25" customHeight="1">
      <c r="A119" s="3"/>
      <c r="B119" s="3"/>
      <c r="C119" s="3"/>
      <c r="D119" s="3"/>
      <c r="E119" s="206"/>
      <c r="F119" s="417"/>
      <c r="G119" s="418"/>
      <c r="H119" s="200"/>
      <c r="I119" s="200"/>
      <c r="J119" s="419"/>
      <c r="K119" s="420"/>
      <c r="L119" s="421"/>
      <c r="M119" s="422"/>
      <c r="N119" s="203"/>
      <c r="O119" s="203"/>
      <c r="P119" s="201"/>
      <c r="Q119" s="416"/>
    </row>
    <row r="120" spans="1:17" ht="14.25" customHeight="1">
      <c r="A120" s="3"/>
      <c r="B120" s="3"/>
      <c r="C120" s="3"/>
      <c r="D120" s="3"/>
      <c r="E120" s="206"/>
      <c r="F120" s="417"/>
      <c r="G120" s="418"/>
      <c r="H120" s="200"/>
      <c r="I120" s="200"/>
      <c r="J120" s="419"/>
      <c r="K120" s="420"/>
      <c r="L120" s="421"/>
      <c r="M120" s="422"/>
      <c r="N120" s="203"/>
      <c r="O120" s="203"/>
      <c r="P120" s="201"/>
      <c r="Q120" s="416"/>
    </row>
    <row r="121" spans="1:17" ht="14.25" customHeight="1">
      <c r="A121" s="3"/>
      <c r="B121" s="3"/>
      <c r="C121" s="3"/>
      <c r="D121" s="3"/>
      <c r="E121" s="206"/>
      <c r="F121" s="417"/>
      <c r="G121" s="418"/>
      <c r="H121" s="200"/>
      <c r="I121" s="200"/>
      <c r="J121" s="419"/>
      <c r="K121" s="420"/>
      <c r="L121" s="421"/>
      <c r="M121" s="422"/>
      <c r="N121" s="203"/>
      <c r="O121" s="203"/>
      <c r="P121" s="201"/>
      <c r="Q121" s="416"/>
    </row>
    <row r="122" spans="1:17" ht="14.25" customHeight="1">
      <c r="A122" s="3"/>
      <c r="B122" s="3"/>
      <c r="C122" s="3"/>
      <c r="D122" s="3"/>
      <c r="E122" s="206"/>
      <c r="F122" s="417"/>
      <c r="G122" s="418"/>
      <c r="H122" s="200"/>
      <c r="I122" s="200"/>
      <c r="J122" s="419"/>
      <c r="K122" s="420"/>
      <c r="L122" s="421"/>
      <c r="M122" s="422"/>
      <c r="N122" s="203"/>
      <c r="O122" s="203"/>
      <c r="P122" s="201"/>
      <c r="Q122" s="416"/>
    </row>
    <row r="123" spans="1:17" ht="14.25" customHeight="1">
      <c r="A123" s="3"/>
      <c r="B123" s="3"/>
      <c r="C123" s="3"/>
      <c r="D123" s="3"/>
      <c r="E123" s="206"/>
      <c r="F123" s="417"/>
      <c r="G123" s="418"/>
      <c r="H123" s="200"/>
      <c r="I123" s="200"/>
      <c r="J123" s="419"/>
      <c r="K123" s="420"/>
      <c r="L123" s="421"/>
      <c r="M123" s="422"/>
      <c r="N123" s="203"/>
      <c r="O123" s="203"/>
      <c r="P123" s="201"/>
      <c r="Q123" s="416"/>
    </row>
    <row r="124" spans="1:17" ht="14.25" customHeight="1">
      <c r="A124" s="3"/>
      <c r="B124" s="3"/>
      <c r="C124" s="3"/>
      <c r="D124" s="3"/>
      <c r="E124" s="206"/>
      <c r="F124" s="417"/>
      <c r="G124" s="418"/>
      <c r="H124" s="200"/>
      <c r="I124" s="200"/>
      <c r="J124" s="419"/>
      <c r="K124" s="420"/>
      <c r="L124" s="421"/>
      <c r="M124" s="422"/>
      <c r="N124" s="203"/>
      <c r="O124" s="203"/>
      <c r="P124" s="201"/>
      <c r="Q124" s="416"/>
    </row>
    <row r="125" spans="1:17" ht="14.25" customHeight="1">
      <c r="A125" s="3"/>
      <c r="B125" s="3"/>
      <c r="C125" s="3"/>
      <c r="D125" s="3"/>
      <c r="E125" s="206"/>
      <c r="F125" s="417"/>
      <c r="G125" s="418"/>
      <c r="H125" s="200"/>
      <c r="I125" s="200"/>
      <c r="J125" s="419"/>
      <c r="K125" s="420"/>
      <c r="L125" s="421"/>
      <c r="M125" s="422"/>
      <c r="N125" s="203"/>
      <c r="O125" s="203"/>
      <c r="P125" s="201"/>
      <c r="Q125" s="416"/>
    </row>
    <row r="126" spans="1:17" ht="14.25" customHeight="1">
      <c r="A126" s="3"/>
      <c r="B126" s="3"/>
      <c r="C126" s="3"/>
      <c r="D126" s="3"/>
      <c r="E126" s="206"/>
      <c r="F126" s="417"/>
      <c r="G126" s="418"/>
      <c r="H126" s="200"/>
      <c r="I126" s="200"/>
      <c r="J126" s="419"/>
      <c r="K126" s="420"/>
      <c r="L126" s="421"/>
      <c r="M126" s="422"/>
      <c r="N126" s="203"/>
      <c r="O126" s="203"/>
      <c r="P126" s="201"/>
      <c r="Q126" s="416"/>
    </row>
    <row r="127" spans="1:17" ht="14.25" customHeight="1">
      <c r="A127" s="3"/>
      <c r="B127" s="3"/>
      <c r="C127" s="3"/>
      <c r="D127" s="3"/>
      <c r="E127" s="206"/>
      <c r="F127" s="417"/>
      <c r="G127" s="418"/>
      <c r="H127" s="200"/>
      <c r="I127" s="200"/>
      <c r="J127" s="419"/>
      <c r="K127" s="420"/>
      <c r="L127" s="421"/>
      <c r="M127" s="422"/>
      <c r="N127" s="203"/>
      <c r="O127" s="203"/>
      <c r="P127" s="201"/>
      <c r="Q127" s="416"/>
    </row>
    <row r="128" spans="1:17" ht="14.25" customHeight="1">
      <c r="A128" s="3"/>
      <c r="B128" s="3"/>
      <c r="C128" s="3"/>
      <c r="D128" s="3"/>
      <c r="E128" s="206"/>
      <c r="F128" s="417"/>
      <c r="G128" s="418"/>
      <c r="H128" s="200"/>
      <c r="I128" s="200"/>
      <c r="J128" s="419"/>
      <c r="K128" s="420"/>
      <c r="L128" s="421"/>
      <c r="M128" s="422"/>
      <c r="N128" s="203"/>
      <c r="O128" s="203"/>
      <c r="P128" s="201"/>
      <c r="Q128" s="416"/>
    </row>
    <row r="129" spans="1:17" ht="14.25" customHeight="1">
      <c r="A129" s="3"/>
      <c r="B129" s="3"/>
      <c r="C129" s="3"/>
      <c r="D129" s="3"/>
      <c r="E129" s="206"/>
      <c r="F129" s="417"/>
      <c r="G129" s="418"/>
      <c r="H129" s="200"/>
      <c r="I129" s="200"/>
      <c r="J129" s="419"/>
      <c r="K129" s="420"/>
      <c r="L129" s="421"/>
      <c r="M129" s="422"/>
      <c r="N129" s="203"/>
      <c r="O129" s="203"/>
      <c r="P129" s="201"/>
      <c r="Q129" s="416"/>
    </row>
    <row r="130" spans="1:17" ht="14.25" customHeight="1">
      <c r="A130" s="3"/>
      <c r="B130" s="3"/>
      <c r="C130" s="3"/>
      <c r="D130" s="3"/>
      <c r="E130" s="206"/>
      <c r="F130" s="417"/>
      <c r="G130" s="418"/>
      <c r="H130" s="200"/>
      <c r="I130" s="200"/>
      <c r="J130" s="419"/>
      <c r="K130" s="420"/>
      <c r="L130" s="421"/>
      <c r="M130" s="422"/>
      <c r="N130" s="203"/>
      <c r="O130" s="203"/>
      <c r="P130" s="201"/>
      <c r="Q130" s="416"/>
    </row>
    <row r="131" spans="1:17" ht="14.25" customHeight="1">
      <c r="A131" s="3"/>
      <c r="B131" s="3"/>
      <c r="C131" s="3"/>
      <c r="D131" s="3"/>
      <c r="E131" s="206"/>
      <c r="F131" s="417"/>
      <c r="G131" s="418"/>
      <c r="H131" s="200"/>
      <c r="I131" s="200"/>
      <c r="J131" s="419"/>
      <c r="K131" s="420"/>
      <c r="L131" s="421"/>
      <c r="M131" s="422"/>
      <c r="N131" s="203"/>
      <c r="O131" s="203"/>
      <c r="P131" s="201"/>
      <c r="Q131" s="416"/>
    </row>
    <row r="132" spans="1:17" ht="14.25" customHeight="1">
      <c r="A132" s="3"/>
      <c r="B132" s="3"/>
      <c r="C132" s="3"/>
      <c r="D132" s="3"/>
      <c r="E132" s="206"/>
      <c r="F132" s="417"/>
      <c r="G132" s="418"/>
      <c r="H132" s="200"/>
      <c r="I132" s="200"/>
      <c r="J132" s="419"/>
      <c r="K132" s="420"/>
      <c r="L132" s="421"/>
      <c r="M132" s="422"/>
      <c r="N132" s="203"/>
      <c r="O132" s="203"/>
      <c r="P132" s="201"/>
      <c r="Q132" s="416"/>
    </row>
    <row r="133" spans="1:17" ht="14.25" customHeight="1">
      <c r="A133" s="3"/>
      <c r="B133" s="3"/>
      <c r="C133" s="3"/>
      <c r="D133" s="3"/>
      <c r="E133" s="206"/>
      <c r="F133" s="417"/>
      <c r="G133" s="418"/>
      <c r="H133" s="200"/>
      <c r="I133" s="200"/>
      <c r="J133" s="419"/>
      <c r="K133" s="420"/>
      <c r="L133" s="421"/>
      <c r="M133" s="422"/>
      <c r="N133" s="203"/>
      <c r="O133" s="203"/>
      <c r="P133" s="201"/>
      <c r="Q133" s="416"/>
    </row>
    <row r="134" spans="1:17" ht="14.25" customHeight="1">
      <c r="A134" s="3"/>
      <c r="B134" s="3"/>
      <c r="C134" s="3"/>
      <c r="D134" s="3"/>
      <c r="E134" s="206"/>
      <c r="F134" s="417"/>
      <c r="G134" s="418"/>
      <c r="H134" s="200"/>
      <c r="I134" s="200"/>
      <c r="J134" s="419"/>
      <c r="K134" s="420"/>
      <c r="L134" s="421"/>
      <c r="M134" s="422"/>
      <c r="N134" s="203"/>
      <c r="O134" s="203"/>
      <c r="P134" s="201"/>
      <c r="Q134" s="416"/>
    </row>
    <row r="135" spans="1:17" ht="14.25" customHeight="1">
      <c r="A135" s="3"/>
      <c r="B135" s="3"/>
      <c r="C135" s="3"/>
      <c r="D135" s="3"/>
      <c r="E135" s="206"/>
      <c r="F135" s="417"/>
      <c r="G135" s="418"/>
      <c r="H135" s="200"/>
      <c r="I135" s="200"/>
      <c r="J135" s="419"/>
      <c r="K135" s="420"/>
      <c r="L135" s="421"/>
      <c r="M135" s="422"/>
      <c r="N135" s="203"/>
      <c r="O135" s="203"/>
      <c r="P135" s="201"/>
      <c r="Q135" s="416"/>
    </row>
    <row r="136" spans="1:17" ht="14.25" customHeight="1">
      <c r="A136" s="3"/>
      <c r="B136" s="3"/>
      <c r="C136" s="3"/>
      <c r="D136" s="3"/>
      <c r="E136" s="206"/>
      <c r="F136" s="417"/>
      <c r="G136" s="418"/>
      <c r="H136" s="200"/>
      <c r="I136" s="200"/>
      <c r="J136" s="419"/>
      <c r="K136" s="420"/>
      <c r="L136" s="421"/>
      <c r="M136" s="422"/>
      <c r="N136" s="203"/>
      <c r="O136" s="203"/>
      <c r="P136" s="201"/>
      <c r="Q136" s="416"/>
    </row>
    <row r="137" spans="1:17" ht="14.25" customHeight="1">
      <c r="A137" s="3"/>
      <c r="B137" s="3"/>
      <c r="C137" s="3"/>
      <c r="D137" s="3"/>
      <c r="E137" s="206"/>
      <c r="F137" s="417"/>
      <c r="G137" s="418"/>
      <c r="H137" s="200"/>
      <c r="I137" s="200"/>
      <c r="J137" s="419"/>
      <c r="K137" s="420"/>
      <c r="L137" s="421"/>
      <c r="M137" s="422"/>
      <c r="N137" s="203"/>
      <c r="O137" s="203"/>
      <c r="P137" s="201"/>
      <c r="Q137" s="416"/>
    </row>
    <row r="138" spans="1:17" ht="14.25" customHeight="1">
      <c r="A138" s="3"/>
      <c r="B138" s="3"/>
      <c r="C138" s="3"/>
      <c r="D138" s="3"/>
      <c r="E138" s="206"/>
      <c r="F138" s="417"/>
      <c r="G138" s="418"/>
      <c r="H138" s="200"/>
      <c r="I138" s="200"/>
      <c r="J138" s="419"/>
      <c r="K138" s="420"/>
      <c r="L138" s="421"/>
      <c r="M138" s="422"/>
      <c r="N138" s="203"/>
      <c r="O138" s="203"/>
      <c r="P138" s="201"/>
      <c r="Q138" s="416"/>
    </row>
    <row r="139" spans="1:17" ht="14.25" customHeight="1">
      <c r="A139" s="3"/>
      <c r="B139" s="3"/>
      <c r="C139" s="3"/>
      <c r="D139" s="3"/>
      <c r="E139" s="206"/>
      <c r="F139" s="417"/>
      <c r="G139" s="418"/>
      <c r="H139" s="200"/>
      <c r="I139" s="200"/>
      <c r="J139" s="419"/>
      <c r="K139" s="420"/>
      <c r="L139" s="421"/>
      <c r="M139" s="422"/>
      <c r="N139" s="203"/>
      <c r="O139" s="203"/>
      <c r="P139" s="201"/>
      <c r="Q139" s="416"/>
    </row>
    <row r="140" spans="1:17" ht="14.25" customHeight="1">
      <c r="A140" s="3"/>
      <c r="B140" s="3"/>
      <c r="C140" s="3"/>
      <c r="D140" s="3"/>
      <c r="E140" s="206"/>
      <c r="F140" s="417"/>
      <c r="G140" s="418"/>
      <c r="H140" s="200"/>
      <c r="I140" s="200"/>
      <c r="J140" s="419"/>
      <c r="K140" s="420"/>
      <c r="L140" s="421"/>
      <c r="M140" s="422"/>
      <c r="N140" s="203"/>
      <c r="O140" s="203"/>
      <c r="P140" s="201"/>
      <c r="Q140" s="416"/>
    </row>
    <row r="141" spans="1:17" ht="14.25" customHeight="1">
      <c r="A141" s="3"/>
      <c r="B141" s="3"/>
      <c r="C141" s="3"/>
      <c r="D141" s="3"/>
      <c r="E141" s="206"/>
      <c r="F141" s="417"/>
      <c r="G141" s="418"/>
      <c r="H141" s="200"/>
      <c r="I141" s="200"/>
      <c r="J141" s="419"/>
      <c r="K141" s="420"/>
      <c r="L141" s="421"/>
      <c r="M141" s="422"/>
      <c r="N141" s="203"/>
      <c r="O141" s="203"/>
      <c r="P141" s="201"/>
      <c r="Q141" s="416"/>
    </row>
    <row r="142" spans="1:17" ht="14.25" customHeight="1">
      <c r="A142" s="3"/>
      <c r="B142" s="3"/>
      <c r="C142" s="3"/>
      <c r="D142" s="3"/>
      <c r="E142" s="206"/>
      <c r="F142" s="417"/>
      <c r="G142" s="418"/>
      <c r="H142" s="200"/>
      <c r="I142" s="200"/>
      <c r="J142" s="419"/>
      <c r="K142" s="420"/>
      <c r="L142" s="421"/>
      <c r="M142" s="422"/>
      <c r="N142" s="203"/>
      <c r="O142" s="203"/>
      <c r="P142" s="201"/>
      <c r="Q142" s="416"/>
    </row>
    <row r="143" spans="1:17" ht="14.25" customHeight="1">
      <c r="A143" s="3"/>
      <c r="B143" s="3"/>
      <c r="C143" s="3"/>
      <c r="D143" s="3"/>
      <c r="E143" s="206"/>
      <c r="F143" s="417"/>
      <c r="G143" s="418"/>
      <c r="H143" s="200"/>
      <c r="I143" s="200"/>
      <c r="J143" s="419"/>
      <c r="K143" s="420"/>
      <c r="L143" s="421"/>
      <c r="M143" s="422"/>
      <c r="N143" s="203"/>
      <c r="O143" s="203"/>
      <c r="P143" s="201"/>
      <c r="Q143" s="416"/>
    </row>
    <row r="144" spans="1:17" ht="14.25" customHeight="1">
      <c r="A144" s="3"/>
      <c r="B144" s="3"/>
      <c r="C144" s="3"/>
      <c r="D144" s="3"/>
      <c r="E144" s="206"/>
      <c r="F144" s="417"/>
      <c r="G144" s="418"/>
      <c r="H144" s="200"/>
      <c r="I144" s="200"/>
      <c r="J144" s="419"/>
      <c r="K144" s="420"/>
      <c r="L144" s="421"/>
      <c r="M144" s="422"/>
      <c r="N144" s="203"/>
      <c r="O144" s="203"/>
      <c r="P144" s="201"/>
      <c r="Q144" s="416"/>
    </row>
    <row r="145" spans="1:17" ht="14.25" customHeight="1">
      <c r="A145" s="3"/>
      <c r="B145" s="3"/>
      <c r="C145" s="3"/>
      <c r="D145" s="3"/>
      <c r="E145" s="206"/>
      <c r="F145" s="417"/>
      <c r="G145" s="418"/>
      <c r="H145" s="200"/>
      <c r="I145" s="200"/>
      <c r="J145" s="419"/>
      <c r="K145" s="420"/>
      <c r="L145" s="421"/>
      <c r="M145" s="422"/>
      <c r="N145" s="203"/>
      <c r="O145" s="203"/>
      <c r="P145" s="201"/>
      <c r="Q145" s="416"/>
    </row>
    <row r="146" spans="1:17" ht="14.25" customHeight="1">
      <c r="A146" s="3"/>
      <c r="B146" s="3"/>
      <c r="C146" s="3"/>
      <c r="D146" s="3"/>
      <c r="E146" s="206"/>
      <c r="F146" s="417"/>
      <c r="G146" s="418"/>
      <c r="H146" s="200"/>
      <c r="I146" s="200"/>
      <c r="J146" s="419"/>
      <c r="K146" s="420"/>
      <c r="L146" s="421"/>
      <c r="M146" s="422"/>
      <c r="N146" s="203"/>
      <c r="O146" s="203"/>
      <c r="P146" s="201"/>
      <c r="Q146" s="416"/>
    </row>
    <row r="147" spans="1:17" ht="14.25" customHeight="1">
      <c r="A147" s="3"/>
      <c r="B147" s="3"/>
      <c r="C147" s="3"/>
      <c r="D147" s="3"/>
      <c r="E147" s="206"/>
      <c r="F147" s="417"/>
      <c r="G147" s="418"/>
      <c r="H147" s="200"/>
      <c r="I147" s="200"/>
      <c r="J147" s="419"/>
      <c r="K147" s="420"/>
      <c r="L147" s="421"/>
      <c r="M147" s="422"/>
      <c r="N147" s="203"/>
      <c r="O147" s="203"/>
      <c r="P147" s="201"/>
      <c r="Q147" s="416"/>
    </row>
    <row r="148" spans="1:17" ht="14.25" customHeight="1">
      <c r="A148" s="3"/>
      <c r="B148" s="3"/>
      <c r="C148" s="3"/>
      <c r="D148" s="3"/>
      <c r="E148" s="206"/>
      <c r="F148" s="417"/>
      <c r="G148" s="418"/>
      <c r="H148" s="200"/>
      <c r="I148" s="200"/>
      <c r="J148" s="419"/>
      <c r="K148" s="420"/>
      <c r="L148" s="421"/>
      <c r="M148" s="422"/>
      <c r="N148" s="203"/>
      <c r="O148" s="203"/>
      <c r="P148" s="201"/>
      <c r="Q148" s="416"/>
    </row>
    <row r="149" spans="1:17" ht="14.25" customHeight="1">
      <c r="A149" s="3"/>
      <c r="B149" s="3"/>
      <c r="C149" s="3"/>
      <c r="D149" s="3"/>
      <c r="E149" s="206"/>
      <c r="F149" s="417"/>
      <c r="G149" s="418"/>
      <c r="H149" s="200"/>
      <c r="I149" s="200"/>
      <c r="J149" s="419"/>
      <c r="K149" s="420"/>
      <c r="L149" s="421"/>
      <c r="M149" s="422"/>
      <c r="N149" s="203"/>
      <c r="O149" s="203"/>
      <c r="P149" s="201"/>
      <c r="Q149" s="416"/>
    </row>
    <row r="150" spans="1:17" ht="14.25" customHeight="1">
      <c r="A150" s="3"/>
      <c r="B150" s="3"/>
      <c r="C150" s="3"/>
      <c r="D150" s="3"/>
      <c r="E150" s="206"/>
      <c r="F150" s="417"/>
      <c r="G150" s="418"/>
      <c r="H150" s="200"/>
      <c r="I150" s="200"/>
      <c r="J150" s="419"/>
      <c r="K150" s="420"/>
      <c r="L150" s="421"/>
      <c r="M150" s="422"/>
      <c r="N150" s="203"/>
      <c r="O150" s="203"/>
      <c r="P150" s="201"/>
      <c r="Q150" s="416"/>
    </row>
    <row r="151" spans="1:17" ht="14.25" customHeight="1">
      <c r="A151" s="3"/>
      <c r="B151" s="3"/>
      <c r="C151" s="3"/>
      <c r="D151" s="3"/>
      <c r="E151" s="206"/>
      <c r="F151" s="417"/>
      <c r="G151" s="418"/>
      <c r="H151" s="200"/>
      <c r="I151" s="200"/>
      <c r="J151" s="419"/>
      <c r="K151" s="420"/>
      <c r="L151" s="421"/>
      <c r="M151" s="422"/>
      <c r="N151" s="203"/>
      <c r="O151" s="203"/>
      <c r="P151" s="201"/>
      <c r="Q151" s="416"/>
    </row>
    <row r="152" spans="1:17" ht="14.25" customHeight="1">
      <c r="A152" s="3"/>
      <c r="B152" s="3"/>
      <c r="C152" s="3"/>
      <c r="D152" s="3"/>
      <c r="E152" s="206"/>
      <c r="F152" s="417"/>
      <c r="G152" s="418"/>
      <c r="H152" s="200"/>
      <c r="I152" s="200"/>
      <c r="J152" s="419"/>
      <c r="K152" s="420"/>
      <c r="L152" s="421"/>
      <c r="M152" s="422"/>
      <c r="N152" s="203"/>
      <c r="O152" s="203"/>
      <c r="P152" s="201"/>
      <c r="Q152" s="416"/>
    </row>
    <row r="153" spans="1:17" ht="14.25" customHeight="1">
      <c r="A153" s="3"/>
      <c r="B153" s="3"/>
      <c r="C153" s="3"/>
      <c r="D153" s="3"/>
      <c r="E153" s="206"/>
      <c r="F153" s="417"/>
      <c r="G153" s="418"/>
      <c r="H153" s="200"/>
      <c r="I153" s="200"/>
      <c r="J153" s="419"/>
      <c r="K153" s="420"/>
      <c r="L153" s="421"/>
      <c r="M153" s="422"/>
      <c r="N153" s="203"/>
      <c r="O153" s="203"/>
      <c r="P153" s="201"/>
      <c r="Q153" s="416"/>
    </row>
    <row r="154" spans="1:17" ht="14.25" customHeight="1">
      <c r="A154" s="3"/>
      <c r="B154" s="3"/>
      <c r="C154" s="3"/>
      <c r="D154" s="3"/>
      <c r="E154" s="206"/>
      <c r="F154" s="417"/>
      <c r="G154" s="418"/>
      <c r="H154" s="200"/>
      <c r="I154" s="200"/>
      <c r="J154" s="419"/>
      <c r="K154" s="420"/>
      <c r="L154" s="421"/>
      <c r="M154" s="422"/>
      <c r="N154" s="203"/>
      <c r="O154" s="203"/>
      <c r="P154" s="201"/>
      <c r="Q154" s="416"/>
    </row>
    <row r="155" spans="1:17" ht="14.25" customHeight="1">
      <c r="A155" s="3"/>
      <c r="B155" s="3"/>
      <c r="C155" s="3"/>
      <c r="D155" s="3"/>
      <c r="E155" s="206"/>
      <c r="F155" s="417"/>
      <c r="G155" s="418"/>
      <c r="H155" s="200"/>
      <c r="I155" s="200"/>
      <c r="J155" s="419"/>
      <c r="K155" s="420"/>
      <c r="L155" s="421"/>
      <c r="M155" s="422"/>
      <c r="N155" s="203"/>
      <c r="O155" s="203"/>
      <c r="P155" s="201"/>
      <c r="Q155" s="416"/>
    </row>
    <row r="156" spans="1:17" ht="14.25" customHeight="1">
      <c r="A156" s="3"/>
      <c r="B156" s="3"/>
      <c r="C156" s="3"/>
      <c r="D156" s="3"/>
      <c r="E156" s="206"/>
      <c r="F156" s="417"/>
      <c r="G156" s="418"/>
      <c r="H156" s="200"/>
      <c r="I156" s="200"/>
      <c r="J156" s="419"/>
      <c r="K156" s="420"/>
      <c r="L156" s="421"/>
      <c r="M156" s="422"/>
      <c r="N156" s="203"/>
      <c r="O156" s="203"/>
      <c r="P156" s="201"/>
      <c r="Q156" s="416"/>
    </row>
    <row r="157" spans="1:17" ht="14.25" customHeight="1">
      <c r="A157" s="3"/>
      <c r="B157" s="3"/>
      <c r="C157" s="3"/>
      <c r="D157" s="3"/>
      <c r="E157" s="206"/>
      <c r="F157" s="417"/>
      <c r="G157" s="418"/>
      <c r="H157" s="200"/>
      <c r="I157" s="200"/>
      <c r="J157" s="419"/>
      <c r="K157" s="420"/>
      <c r="L157" s="421"/>
      <c r="M157" s="422"/>
      <c r="N157" s="203"/>
      <c r="O157" s="203"/>
      <c r="P157" s="201"/>
      <c r="Q157" s="416"/>
    </row>
    <row r="158" spans="1:17" ht="14.25" customHeight="1">
      <c r="A158" s="3"/>
      <c r="B158" s="3"/>
      <c r="C158" s="3"/>
      <c r="D158" s="3"/>
      <c r="E158" s="206"/>
      <c r="F158" s="417"/>
      <c r="G158" s="418"/>
      <c r="H158" s="200"/>
      <c r="I158" s="200"/>
      <c r="J158" s="419"/>
      <c r="K158" s="420"/>
      <c r="L158" s="421"/>
      <c r="M158" s="422"/>
      <c r="N158" s="203"/>
      <c r="O158" s="203"/>
      <c r="P158" s="201"/>
      <c r="Q158" s="416"/>
    </row>
    <row r="159" spans="1:17" ht="14.25" customHeight="1">
      <c r="A159" s="3"/>
      <c r="B159" s="3"/>
      <c r="C159" s="3"/>
      <c r="D159" s="3"/>
      <c r="E159" s="206"/>
      <c r="F159" s="417"/>
      <c r="G159" s="418"/>
      <c r="H159" s="200"/>
      <c r="I159" s="200"/>
      <c r="J159" s="419"/>
      <c r="K159" s="420"/>
      <c r="L159" s="421"/>
      <c r="M159" s="422"/>
      <c r="N159" s="203"/>
      <c r="O159" s="203"/>
      <c r="P159" s="201"/>
      <c r="Q159" s="416"/>
    </row>
    <row r="160" spans="1:17" ht="14.25" customHeight="1">
      <c r="A160" s="3"/>
      <c r="B160" s="3"/>
      <c r="C160" s="3"/>
      <c r="D160" s="3"/>
      <c r="E160" s="206"/>
      <c r="F160" s="417"/>
      <c r="G160" s="418"/>
      <c r="H160" s="200"/>
      <c r="I160" s="200"/>
      <c r="J160" s="419"/>
      <c r="K160" s="420"/>
      <c r="L160" s="421"/>
      <c r="M160" s="422"/>
      <c r="N160" s="203"/>
      <c r="O160" s="203"/>
      <c r="P160" s="201"/>
      <c r="Q160" s="416"/>
    </row>
    <row r="161" spans="1:17" ht="14.25" customHeight="1">
      <c r="A161" s="3"/>
      <c r="B161" s="3"/>
      <c r="C161" s="3"/>
      <c r="D161" s="3"/>
      <c r="E161" s="206"/>
      <c r="F161" s="417"/>
      <c r="G161" s="418"/>
      <c r="H161" s="200"/>
      <c r="I161" s="200"/>
      <c r="J161" s="419"/>
      <c r="K161" s="420"/>
      <c r="L161" s="421"/>
      <c r="M161" s="422"/>
      <c r="N161" s="203"/>
      <c r="O161" s="203"/>
      <c r="P161" s="201"/>
      <c r="Q161" s="416"/>
    </row>
    <row r="162" spans="1:17" ht="14.25" customHeight="1">
      <c r="A162" s="3"/>
      <c r="B162" s="3"/>
      <c r="C162" s="3"/>
      <c r="D162" s="3"/>
      <c r="E162" s="206"/>
      <c r="F162" s="417"/>
      <c r="G162" s="418"/>
      <c r="H162" s="200"/>
      <c r="I162" s="200"/>
      <c r="J162" s="419"/>
      <c r="K162" s="420"/>
      <c r="L162" s="421"/>
      <c r="M162" s="422"/>
      <c r="N162" s="203"/>
      <c r="O162" s="203"/>
      <c r="P162" s="201"/>
      <c r="Q162" s="416"/>
    </row>
    <row r="163" spans="1:17" ht="14.25" customHeight="1">
      <c r="A163" s="3"/>
      <c r="B163" s="3"/>
      <c r="C163" s="3"/>
      <c r="D163" s="3"/>
      <c r="E163" s="206"/>
      <c r="F163" s="417"/>
      <c r="G163" s="418"/>
      <c r="H163" s="200"/>
      <c r="I163" s="200"/>
      <c r="J163" s="419"/>
      <c r="K163" s="420"/>
      <c r="L163" s="421"/>
      <c r="M163" s="422"/>
      <c r="N163" s="203"/>
      <c r="O163" s="203"/>
      <c r="P163" s="201"/>
      <c r="Q163" s="416"/>
    </row>
    <row r="164" spans="1:17" ht="14.25" customHeight="1">
      <c r="A164" s="3"/>
      <c r="B164" s="3"/>
      <c r="C164" s="3"/>
      <c r="D164" s="3"/>
      <c r="E164" s="206"/>
      <c r="F164" s="417"/>
      <c r="G164" s="418"/>
      <c r="H164" s="200"/>
      <c r="I164" s="200"/>
      <c r="J164" s="419"/>
      <c r="K164" s="420"/>
      <c r="L164" s="421"/>
      <c r="M164" s="422"/>
      <c r="N164" s="203"/>
      <c r="O164" s="203"/>
      <c r="P164" s="201"/>
      <c r="Q164" s="416"/>
    </row>
    <row r="165" spans="1:17" ht="14.25" customHeight="1">
      <c r="A165" s="3"/>
      <c r="B165" s="3"/>
      <c r="C165" s="3"/>
      <c r="D165" s="3"/>
      <c r="E165" s="206"/>
      <c r="F165" s="417"/>
      <c r="G165" s="418"/>
      <c r="H165" s="200"/>
      <c r="I165" s="200"/>
      <c r="J165" s="419"/>
      <c r="K165" s="420"/>
      <c r="L165" s="421"/>
      <c r="M165" s="422"/>
      <c r="N165" s="203"/>
      <c r="O165" s="203"/>
      <c r="P165" s="201"/>
      <c r="Q165" s="416"/>
    </row>
    <row r="166" spans="1:17" ht="14.25" customHeight="1">
      <c r="A166" s="3"/>
      <c r="B166" s="3"/>
      <c r="C166" s="3"/>
      <c r="D166" s="3"/>
      <c r="E166" s="206"/>
      <c r="F166" s="417"/>
      <c r="G166" s="418"/>
      <c r="H166" s="200"/>
      <c r="I166" s="200"/>
      <c r="J166" s="419"/>
      <c r="K166" s="420"/>
      <c r="L166" s="421"/>
      <c r="M166" s="422"/>
      <c r="N166" s="203"/>
      <c r="O166" s="203"/>
      <c r="P166" s="201"/>
      <c r="Q166" s="416"/>
    </row>
    <row r="167" spans="1:17" ht="14.25" customHeight="1">
      <c r="A167" s="3"/>
      <c r="B167" s="3"/>
      <c r="C167" s="3"/>
      <c r="D167" s="3"/>
      <c r="E167" s="206"/>
      <c r="F167" s="417"/>
      <c r="G167" s="418"/>
      <c r="H167" s="200"/>
      <c r="I167" s="200"/>
      <c r="J167" s="419"/>
      <c r="K167" s="420"/>
      <c r="L167" s="421"/>
      <c r="M167" s="422"/>
      <c r="N167" s="203"/>
      <c r="O167" s="203"/>
      <c r="P167" s="201"/>
      <c r="Q167" s="416"/>
    </row>
    <row r="168" spans="1:17" ht="14.25" customHeight="1">
      <c r="A168" s="3"/>
      <c r="B168" s="3"/>
      <c r="C168" s="3"/>
      <c r="D168" s="3"/>
      <c r="E168" s="206"/>
      <c r="F168" s="417"/>
      <c r="G168" s="418"/>
      <c r="H168" s="200"/>
      <c r="I168" s="200"/>
      <c r="J168" s="419"/>
      <c r="K168" s="420"/>
      <c r="L168" s="421"/>
      <c r="M168" s="422"/>
      <c r="N168" s="203"/>
      <c r="O168" s="203"/>
      <c r="P168" s="201"/>
      <c r="Q168" s="416"/>
    </row>
    <row r="169" spans="1:17" ht="14.25" customHeight="1">
      <c r="A169" s="3"/>
      <c r="B169" s="3"/>
      <c r="C169" s="3"/>
      <c r="D169" s="3"/>
      <c r="E169" s="206"/>
      <c r="F169" s="417"/>
      <c r="G169" s="418"/>
      <c r="H169" s="200"/>
      <c r="I169" s="200"/>
      <c r="J169" s="419"/>
      <c r="K169" s="420"/>
      <c r="L169" s="421"/>
      <c r="M169" s="422"/>
      <c r="N169" s="203"/>
      <c r="O169" s="203"/>
      <c r="P169" s="201"/>
      <c r="Q169" s="416"/>
    </row>
    <row r="170" spans="1:17" ht="14.25" customHeight="1">
      <c r="A170" s="3"/>
      <c r="B170" s="3"/>
      <c r="C170" s="3"/>
      <c r="D170" s="3"/>
      <c r="E170" s="206"/>
      <c r="F170" s="417"/>
      <c r="G170" s="418"/>
      <c r="H170" s="200"/>
      <c r="I170" s="200"/>
      <c r="J170" s="419"/>
      <c r="K170" s="420"/>
      <c r="L170" s="421"/>
      <c r="M170" s="422"/>
      <c r="N170" s="203"/>
      <c r="O170" s="203"/>
      <c r="P170" s="201"/>
      <c r="Q170" s="416"/>
    </row>
    <row r="171" spans="1:17" ht="14.25" customHeight="1">
      <c r="A171" s="3"/>
      <c r="B171" s="3"/>
      <c r="C171" s="3"/>
      <c r="D171" s="3"/>
      <c r="E171" s="206"/>
      <c r="F171" s="417"/>
      <c r="G171" s="418"/>
      <c r="H171" s="200"/>
      <c r="I171" s="200"/>
      <c r="J171" s="419"/>
      <c r="K171" s="420"/>
      <c r="L171" s="421"/>
      <c r="M171" s="422"/>
      <c r="N171" s="203"/>
      <c r="O171" s="203"/>
      <c r="P171" s="201"/>
      <c r="Q171" s="416"/>
    </row>
    <row r="172" spans="1:17" ht="14.25" customHeight="1">
      <c r="A172" s="3"/>
      <c r="B172" s="3"/>
      <c r="C172" s="3"/>
      <c r="D172" s="3"/>
      <c r="E172" s="206"/>
      <c r="F172" s="417"/>
      <c r="G172" s="418"/>
      <c r="H172" s="200"/>
      <c r="I172" s="200"/>
      <c r="J172" s="419"/>
      <c r="K172" s="420"/>
      <c r="L172" s="421"/>
      <c r="M172" s="422"/>
      <c r="N172" s="203"/>
      <c r="O172" s="203"/>
      <c r="P172" s="201"/>
      <c r="Q172" s="416"/>
    </row>
    <row r="173" spans="1:17" ht="14.25" customHeight="1">
      <c r="A173" s="3"/>
      <c r="B173" s="3"/>
      <c r="C173" s="3"/>
      <c r="D173" s="3"/>
      <c r="E173" s="206"/>
      <c r="F173" s="417"/>
      <c r="G173" s="418"/>
      <c r="H173" s="200"/>
      <c r="I173" s="200"/>
      <c r="J173" s="419"/>
      <c r="K173" s="420"/>
      <c r="L173" s="421"/>
      <c r="M173" s="422"/>
      <c r="N173" s="203"/>
      <c r="O173" s="203"/>
      <c r="P173" s="201"/>
      <c r="Q173" s="416"/>
    </row>
    <row r="174" spans="1:17" ht="14.25" customHeight="1">
      <c r="A174" s="3"/>
      <c r="B174" s="3"/>
      <c r="C174" s="3"/>
      <c r="D174" s="3"/>
      <c r="E174" s="206"/>
      <c r="F174" s="417"/>
      <c r="G174" s="418"/>
      <c r="H174" s="200"/>
      <c r="I174" s="200"/>
      <c r="J174" s="419"/>
      <c r="K174" s="420"/>
      <c r="L174" s="421"/>
      <c r="M174" s="422"/>
      <c r="N174" s="203"/>
      <c r="O174" s="203"/>
      <c r="P174" s="201"/>
      <c r="Q174" s="416"/>
    </row>
    <row r="175" spans="1:17" ht="14.25" customHeight="1">
      <c r="A175" s="3"/>
      <c r="B175" s="3"/>
      <c r="C175" s="3"/>
      <c r="D175" s="3"/>
      <c r="E175" s="206"/>
      <c r="F175" s="417"/>
      <c r="G175" s="418"/>
      <c r="H175" s="200"/>
      <c r="I175" s="200"/>
      <c r="J175" s="419"/>
      <c r="K175" s="420"/>
      <c r="L175" s="421"/>
      <c r="M175" s="422"/>
      <c r="N175" s="203"/>
      <c r="O175" s="203"/>
      <c r="P175" s="201"/>
      <c r="Q175" s="416"/>
    </row>
    <row r="176" spans="1:17" ht="14.25" customHeight="1">
      <c r="A176" s="3"/>
      <c r="B176" s="3"/>
      <c r="C176" s="3"/>
      <c r="D176" s="3"/>
      <c r="E176" s="206"/>
      <c r="F176" s="417"/>
      <c r="G176" s="418"/>
      <c r="H176" s="200"/>
      <c r="I176" s="200"/>
      <c r="J176" s="419"/>
      <c r="K176" s="420"/>
      <c r="L176" s="421"/>
      <c r="M176" s="422"/>
      <c r="N176" s="203"/>
      <c r="O176" s="203"/>
      <c r="P176" s="201"/>
      <c r="Q176" s="416"/>
    </row>
    <row r="177" spans="1:17" ht="14.25" customHeight="1">
      <c r="A177" s="3"/>
      <c r="B177" s="3"/>
      <c r="C177" s="3"/>
      <c r="D177" s="3"/>
      <c r="E177" s="206"/>
      <c r="F177" s="417"/>
      <c r="G177" s="418"/>
      <c r="H177" s="200"/>
      <c r="I177" s="200"/>
      <c r="J177" s="419"/>
      <c r="K177" s="420"/>
      <c r="L177" s="421"/>
      <c r="M177" s="422"/>
      <c r="N177" s="203"/>
      <c r="O177" s="203"/>
      <c r="P177" s="201"/>
      <c r="Q177" s="416"/>
    </row>
    <row r="178" spans="1:17" ht="14.25" customHeight="1">
      <c r="A178" s="3"/>
      <c r="B178" s="3"/>
      <c r="C178" s="3"/>
      <c r="D178" s="3"/>
      <c r="E178" s="206"/>
      <c r="F178" s="417"/>
      <c r="G178" s="418"/>
      <c r="H178" s="200"/>
      <c r="I178" s="200"/>
      <c r="J178" s="419"/>
      <c r="K178" s="420"/>
      <c r="L178" s="421"/>
      <c r="M178" s="422"/>
      <c r="N178" s="203"/>
      <c r="O178" s="203"/>
      <c r="P178" s="201"/>
      <c r="Q178" s="416"/>
    </row>
    <row r="179" spans="1:17" ht="14.25" customHeight="1">
      <c r="A179" s="3"/>
      <c r="B179" s="3"/>
      <c r="C179" s="3"/>
      <c r="D179" s="3"/>
      <c r="E179" s="206"/>
      <c r="F179" s="417"/>
      <c r="G179" s="418"/>
      <c r="H179" s="200"/>
      <c r="I179" s="200"/>
      <c r="J179" s="419"/>
      <c r="K179" s="420"/>
      <c r="L179" s="421"/>
      <c r="M179" s="422"/>
      <c r="N179" s="203"/>
      <c r="O179" s="203"/>
      <c r="P179" s="201"/>
      <c r="Q179" s="416"/>
    </row>
    <row r="180" spans="1:17" ht="14.25" customHeight="1">
      <c r="A180" s="3"/>
      <c r="B180" s="3"/>
      <c r="C180" s="3"/>
      <c r="D180" s="3"/>
      <c r="E180" s="206"/>
      <c r="F180" s="417"/>
      <c r="G180" s="418"/>
      <c r="H180" s="200"/>
      <c r="I180" s="200"/>
      <c r="J180" s="419"/>
      <c r="K180" s="420"/>
      <c r="L180" s="421"/>
      <c r="M180" s="422"/>
      <c r="N180" s="203"/>
      <c r="O180" s="203"/>
      <c r="P180" s="201"/>
      <c r="Q180" s="416"/>
    </row>
    <row r="181" spans="1:17" ht="14.25" customHeight="1">
      <c r="A181" s="3"/>
      <c r="B181" s="3"/>
      <c r="C181" s="3"/>
      <c r="D181" s="3"/>
      <c r="E181" s="206"/>
      <c r="F181" s="417"/>
      <c r="G181" s="418"/>
      <c r="H181" s="200"/>
      <c r="I181" s="200"/>
      <c r="J181" s="419"/>
      <c r="K181" s="420"/>
      <c r="L181" s="421"/>
      <c r="M181" s="422"/>
      <c r="N181" s="203"/>
      <c r="O181" s="203"/>
      <c r="P181" s="201"/>
      <c r="Q181" s="416"/>
    </row>
    <row r="182" spans="1:17" ht="14.25" customHeight="1">
      <c r="A182" s="3"/>
      <c r="B182" s="3"/>
      <c r="C182" s="3"/>
      <c r="D182" s="3"/>
      <c r="E182" s="206"/>
      <c r="F182" s="417"/>
      <c r="G182" s="418"/>
      <c r="H182" s="200"/>
      <c r="I182" s="200"/>
      <c r="J182" s="419"/>
      <c r="K182" s="420"/>
      <c r="L182" s="421"/>
      <c r="M182" s="422"/>
      <c r="N182" s="203"/>
      <c r="O182" s="203"/>
      <c r="P182" s="201"/>
      <c r="Q182" s="416"/>
    </row>
    <row r="183" spans="1:17" ht="14.25" customHeight="1">
      <c r="A183" s="3"/>
      <c r="B183" s="3"/>
      <c r="C183" s="3"/>
      <c r="D183" s="3"/>
      <c r="E183" s="206"/>
      <c r="F183" s="417"/>
      <c r="G183" s="418"/>
      <c r="H183" s="200"/>
      <c r="I183" s="200"/>
      <c r="J183" s="419"/>
      <c r="K183" s="420"/>
      <c r="L183" s="421"/>
      <c r="M183" s="422"/>
      <c r="N183" s="203"/>
      <c r="O183" s="203"/>
      <c r="P183" s="201"/>
      <c r="Q183" s="416"/>
    </row>
    <row r="184" spans="1:17" ht="14.25" customHeight="1">
      <c r="A184" s="3"/>
      <c r="B184" s="3"/>
      <c r="C184" s="3"/>
      <c r="D184" s="3"/>
      <c r="E184" s="206"/>
      <c r="F184" s="417"/>
      <c r="G184" s="418"/>
      <c r="H184" s="200"/>
      <c r="I184" s="200"/>
      <c r="J184" s="419"/>
      <c r="K184" s="420"/>
      <c r="L184" s="421"/>
      <c r="M184" s="422"/>
      <c r="N184" s="203"/>
      <c r="O184" s="203"/>
      <c r="P184" s="201"/>
      <c r="Q184" s="416"/>
    </row>
    <row r="185" spans="1:17" ht="14.25" customHeight="1">
      <c r="A185" s="3"/>
      <c r="B185" s="3"/>
      <c r="C185" s="3"/>
      <c r="D185" s="3"/>
      <c r="E185" s="206"/>
      <c r="F185" s="417"/>
      <c r="G185" s="418"/>
      <c r="H185" s="200"/>
      <c r="I185" s="200"/>
      <c r="J185" s="419"/>
      <c r="K185" s="420"/>
      <c r="L185" s="421"/>
      <c r="M185" s="422"/>
      <c r="N185" s="203"/>
      <c r="O185" s="203"/>
      <c r="P185" s="201"/>
      <c r="Q185" s="416"/>
    </row>
    <row r="186" spans="1:17" ht="14.25" customHeight="1">
      <c r="A186" s="3"/>
      <c r="B186" s="3"/>
      <c r="C186" s="3"/>
      <c r="D186" s="3"/>
      <c r="E186" s="206"/>
      <c r="F186" s="417"/>
      <c r="G186" s="418"/>
      <c r="H186" s="200"/>
      <c r="I186" s="200"/>
      <c r="J186" s="419"/>
      <c r="K186" s="420"/>
      <c r="L186" s="421"/>
      <c r="M186" s="422"/>
      <c r="N186" s="203"/>
      <c r="O186" s="203"/>
      <c r="P186" s="201"/>
      <c r="Q186" s="416"/>
    </row>
    <row r="187" spans="1:17" ht="14.25" customHeight="1">
      <c r="A187" s="3"/>
      <c r="B187" s="3"/>
      <c r="C187" s="3"/>
      <c r="D187" s="3"/>
      <c r="E187" s="206"/>
      <c r="F187" s="417"/>
      <c r="G187" s="418"/>
      <c r="H187" s="200"/>
      <c r="I187" s="200"/>
      <c r="J187" s="419"/>
      <c r="K187" s="420"/>
      <c r="L187" s="421"/>
      <c r="M187" s="422"/>
      <c r="N187" s="203"/>
      <c r="O187" s="203"/>
      <c r="P187" s="201"/>
      <c r="Q187" s="416"/>
    </row>
    <row r="188" spans="1:17" ht="14.25" customHeight="1">
      <c r="A188" s="3"/>
      <c r="B188" s="3"/>
      <c r="C188" s="3"/>
      <c r="D188" s="3"/>
      <c r="E188" s="206"/>
      <c r="F188" s="417"/>
      <c r="G188" s="418"/>
      <c r="H188" s="200"/>
      <c r="I188" s="200"/>
      <c r="J188" s="419"/>
      <c r="K188" s="420"/>
      <c r="L188" s="421"/>
      <c r="M188" s="422"/>
      <c r="N188" s="203"/>
      <c r="O188" s="203"/>
      <c r="P188" s="201"/>
      <c r="Q188" s="416"/>
    </row>
    <row r="189" spans="1:17" ht="14.25" customHeight="1">
      <c r="A189" s="3"/>
      <c r="B189" s="3"/>
      <c r="C189" s="3"/>
      <c r="D189" s="3"/>
      <c r="E189" s="206"/>
      <c r="F189" s="417"/>
      <c r="G189" s="418"/>
      <c r="H189" s="200"/>
      <c r="I189" s="200"/>
      <c r="J189" s="419"/>
      <c r="K189" s="420"/>
      <c r="L189" s="421"/>
      <c r="M189" s="422"/>
      <c r="N189" s="203"/>
      <c r="O189" s="203"/>
      <c r="P189" s="201"/>
      <c r="Q189" s="416"/>
    </row>
    <row r="190" spans="1:17" ht="14.25" customHeight="1">
      <c r="A190" s="3"/>
      <c r="B190" s="3"/>
      <c r="C190" s="3"/>
      <c r="D190" s="3"/>
      <c r="E190" s="206"/>
      <c r="F190" s="417"/>
      <c r="G190" s="418"/>
      <c r="H190" s="200"/>
      <c r="I190" s="200"/>
      <c r="J190" s="419"/>
      <c r="K190" s="420"/>
      <c r="L190" s="421"/>
      <c r="M190" s="422"/>
      <c r="N190" s="203"/>
      <c r="O190" s="203"/>
      <c r="P190" s="201"/>
      <c r="Q190" s="416"/>
    </row>
    <row r="191" spans="1:17" ht="14.25" customHeight="1">
      <c r="A191" s="3"/>
      <c r="B191" s="3"/>
      <c r="C191" s="3"/>
      <c r="D191" s="3"/>
      <c r="E191" s="206"/>
      <c r="F191" s="417"/>
      <c r="G191" s="418"/>
      <c r="H191" s="200"/>
      <c r="I191" s="200"/>
      <c r="J191" s="419"/>
      <c r="K191" s="420"/>
      <c r="L191" s="421"/>
      <c r="M191" s="422"/>
      <c r="N191" s="203"/>
      <c r="O191" s="203"/>
      <c r="P191" s="201"/>
      <c r="Q191" s="416"/>
    </row>
    <row r="192" spans="1:17" ht="14.25" customHeight="1">
      <c r="A192" s="3"/>
      <c r="B192" s="3"/>
      <c r="C192" s="3"/>
      <c r="D192" s="3"/>
      <c r="E192" s="206"/>
      <c r="F192" s="417"/>
      <c r="G192" s="418"/>
      <c r="H192" s="200"/>
      <c r="I192" s="200"/>
      <c r="J192" s="419"/>
      <c r="K192" s="420"/>
      <c r="L192" s="421"/>
      <c r="M192" s="422"/>
      <c r="N192" s="203"/>
      <c r="O192" s="203"/>
      <c r="P192" s="201"/>
      <c r="Q192" s="416"/>
    </row>
    <row r="193" spans="1:17" ht="14.25" customHeight="1">
      <c r="A193" s="3"/>
      <c r="B193" s="3"/>
      <c r="C193" s="3"/>
      <c r="D193" s="3"/>
      <c r="E193" s="206"/>
      <c r="F193" s="417"/>
      <c r="G193" s="418"/>
      <c r="H193" s="200"/>
      <c r="I193" s="200"/>
      <c r="J193" s="419"/>
      <c r="K193" s="420"/>
      <c r="L193" s="421"/>
      <c r="M193" s="422"/>
      <c r="N193" s="203"/>
      <c r="O193" s="203"/>
      <c r="P193" s="201"/>
      <c r="Q193" s="416"/>
    </row>
    <row r="194" spans="1:17" ht="14.25" customHeight="1">
      <c r="A194" s="3"/>
      <c r="B194" s="3"/>
      <c r="C194" s="3"/>
      <c r="D194" s="3"/>
      <c r="E194" s="206"/>
      <c r="F194" s="417"/>
      <c r="G194" s="418"/>
      <c r="H194" s="200"/>
      <c r="I194" s="200"/>
      <c r="J194" s="419"/>
      <c r="K194" s="420"/>
      <c r="L194" s="421"/>
      <c r="M194" s="422"/>
      <c r="N194" s="203"/>
      <c r="O194" s="203"/>
      <c r="P194" s="201"/>
      <c r="Q194" s="416"/>
    </row>
    <row r="195" spans="1:17" ht="14.25" customHeight="1">
      <c r="A195" s="3"/>
      <c r="B195" s="3"/>
      <c r="C195" s="3"/>
      <c r="D195" s="3"/>
      <c r="E195" s="206"/>
      <c r="F195" s="417"/>
      <c r="G195" s="418"/>
      <c r="H195" s="200"/>
      <c r="I195" s="200"/>
      <c r="J195" s="419"/>
      <c r="K195" s="420"/>
      <c r="L195" s="421"/>
      <c r="M195" s="422"/>
      <c r="N195" s="203"/>
      <c r="O195" s="203"/>
      <c r="P195" s="201"/>
      <c r="Q195" s="416"/>
    </row>
    <row r="196" spans="1:17" ht="14.25" customHeight="1">
      <c r="A196" s="3"/>
      <c r="B196" s="3"/>
      <c r="C196" s="3"/>
      <c r="D196" s="3"/>
      <c r="E196" s="206"/>
      <c r="F196" s="417"/>
      <c r="G196" s="418"/>
      <c r="H196" s="200"/>
      <c r="I196" s="200"/>
      <c r="J196" s="419"/>
      <c r="K196" s="420"/>
      <c r="L196" s="421"/>
      <c r="M196" s="422"/>
      <c r="N196" s="203"/>
      <c r="O196" s="203"/>
      <c r="P196" s="201"/>
      <c r="Q196" s="416"/>
    </row>
    <row r="197" spans="1:17" ht="14.25" customHeight="1">
      <c r="A197" s="3"/>
      <c r="B197" s="3"/>
      <c r="C197" s="3"/>
      <c r="D197" s="3"/>
      <c r="E197" s="206"/>
      <c r="F197" s="417"/>
      <c r="G197" s="418"/>
      <c r="H197" s="200"/>
      <c r="I197" s="200"/>
      <c r="J197" s="419"/>
      <c r="K197" s="420"/>
      <c r="L197" s="421"/>
      <c r="M197" s="422"/>
      <c r="N197" s="203"/>
      <c r="O197" s="203"/>
      <c r="P197" s="201"/>
      <c r="Q197" s="416"/>
    </row>
    <row r="198" spans="1:17" ht="14.25" customHeight="1">
      <c r="A198" s="3"/>
      <c r="B198" s="3"/>
      <c r="C198" s="3"/>
      <c r="D198" s="3"/>
      <c r="E198" s="206"/>
      <c r="F198" s="417"/>
      <c r="G198" s="418"/>
      <c r="H198" s="200"/>
      <c r="I198" s="200"/>
      <c r="J198" s="419"/>
      <c r="K198" s="420"/>
      <c r="L198" s="421"/>
      <c r="M198" s="422"/>
      <c r="N198" s="203"/>
      <c r="O198" s="203"/>
      <c r="P198" s="201"/>
      <c r="Q198" s="416"/>
    </row>
    <row r="199" spans="1:17" ht="14.25" customHeight="1">
      <c r="A199" s="3"/>
      <c r="B199" s="3"/>
      <c r="C199" s="3"/>
      <c r="D199" s="3"/>
      <c r="E199" s="206"/>
      <c r="F199" s="417"/>
      <c r="G199" s="418"/>
      <c r="H199" s="200"/>
      <c r="I199" s="200"/>
      <c r="J199" s="419"/>
      <c r="K199" s="420"/>
      <c r="L199" s="421"/>
      <c r="M199" s="422"/>
      <c r="N199" s="203"/>
      <c r="O199" s="203"/>
      <c r="P199" s="201"/>
      <c r="Q199" s="416"/>
    </row>
    <row r="200" spans="1:17" ht="14.25" customHeight="1">
      <c r="A200" s="3"/>
      <c r="B200" s="3"/>
      <c r="C200" s="3"/>
      <c r="D200" s="3"/>
      <c r="E200" s="206"/>
      <c r="F200" s="417"/>
      <c r="G200" s="418"/>
      <c r="H200" s="200"/>
      <c r="I200" s="200"/>
      <c r="J200" s="419"/>
      <c r="K200" s="420"/>
      <c r="L200" s="421"/>
      <c r="M200" s="422"/>
      <c r="N200" s="203"/>
      <c r="O200" s="203"/>
      <c r="P200" s="201"/>
      <c r="Q200" s="416"/>
    </row>
    <row r="201" spans="1:17" ht="14.25" customHeight="1">
      <c r="A201" s="3"/>
      <c r="B201" s="3"/>
      <c r="C201" s="3"/>
      <c r="D201" s="3"/>
      <c r="E201" s="206"/>
      <c r="F201" s="417"/>
      <c r="G201" s="418"/>
      <c r="H201" s="200"/>
      <c r="I201" s="200"/>
      <c r="J201" s="419"/>
      <c r="K201" s="420"/>
      <c r="L201" s="421"/>
      <c r="M201" s="422"/>
      <c r="N201" s="203"/>
      <c r="O201" s="203"/>
      <c r="P201" s="201"/>
      <c r="Q201" s="416"/>
    </row>
    <row r="202" spans="1:17" ht="14.25" customHeight="1">
      <c r="A202" s="3"/>
      <c r="B202" s="3"/>
      <c r="C202" s="3"/>
      <c r="D202" s="3"/>
      <c r="E202" s="206"/>
      <c r="F202" s="417"/>
      <c r="G202" s="418"/>
      <c r="H202" s="200"/>
      <c r="I202" s="200"/>
      <c r="J202" s="419"/>
      <c r="K202" s="420"/>
      <c r="L202" s="421"/>
      <c r="M202" s="422"/>
      <c r="N202" s="203"/>
      <c r="O202" s="203"/>
      <c r="P202" s="201"/>
      <c r="Q202" s="416"/>
    </row>
    <row r="203" spans="1:17" ht="14.25" customHeight="1">
      <c r="A203" s="3"/>
      <c r="B203" s="3"/>
      <c r="C203" s="3"/>
      <c r="D203" s="3"/>
      <c r="E203" s="206"/>
      <c r="F203" s="417"/>
      <c r="G203" s="418"/>
      <c r="H203" s="200"/>
      <c r="I203" s="200"/>
      <c r="J203" s="419"/>
      <c r="K203" s="420"/>
      <c r="L203" s="421"/>
      <c r="M203" s="422"/>
      <c r="N203" s="203"/>
      <c r="O203" s="203"/>
      <c r="P203" s="201"/>
      <c r="Q203" s="416"/>
    </row>
    <row r="204" spans="1:17" ht="14.25" customHeight="1">
      <c r="A204" s="3"/>
      <c r="B204" s="3"/>
      <c r="C204" s="3"/>
      <c r="D204" s="3"/>
      <c r="E204" s="206"/>
      <c r="F204" s="417"/>
      <c r="G204" s="418"/>
      <c r="H204" s="200"/>
      <c r="I204" s="200"/>
      <c r="J204" s="419"/>
      <c r="K204" s="420"/>
      <c r="L204" s="421"/>
      <c r="M204" s="422"/>
      <c r="N204" s="203"/>
      <c r="O204" s="203"/>
      <c r="P204" s="201"/>
      <c r="Q204" s="416"/>
    </row>
    <row r="205" spans="1:17" ht="14.25" customHeight="1">
      <c r="A205" s="3"/>
      <c r="B205" s="3"/>
      <c r="C205" s="3"/>
      <c r="D205" s="3"/>
      <c r="E205" s="206"/>
      <c r="F205" s="417"/>
      <c r="G205" s="418"/>
      <c r="H205" s="200"/>
      <c r="I205" s="200"/>
      <c r="J205" s="419"/>
      <c r="K205" s="420"/>
      <c r="L205" s="421"/>
      <c r="M205" s="422"/>
      <c r="N205" s="203"/>
      <c r="O205" s="203"/>
      <c r="P205" s="201"/>
      <c r="Q205" s="416"/>
    </row>
    <row r="206" spans="1:17" ht="14.25" customHeight="1">
      <c r="A206" s="3"/>
      <c r="B206" s="3"/>
      <c r="C206" s="3"/>
      <c r="D206" s="3"/>
      <c r="E206" s="206"/>
      <c r="F206" s="417"/>
      <c r="G206" s="418"/>
      <c r="H206" s="200"/>
      <c r="I206" s="200"/>
      <c r="J206" s="419"/>
      <c r="K206" s="420"/>
      <c r="L206" s="421"/>
      <c r="M206" s="422"/>
      <c r="N206" s="203"/>
      <c r="O206" s="203"/>
      <c r="P206" s="201"/>
      <c r="Q206" s="416"/>
    </row>
    <row r="207" spans="1:17" ht="14.25" customHeight="1">
      <c r="A207" s="3"/>
      <c r="B207" s="3"/>
      <c r="C207" s="3"/>
      <c r="D207" s="3"/>
      <c r="E207" s="206"/>
      <c r="F207" s="417"/>
      <c r="G207" s="418"/>
      <c r="H207" s="200"/>
      <c r="I207" s="200"/>
      <c r="J207" s="419"/>
      <c r="K207" s="420"/>
      <c r="L207" s="421"/>
      <c r="M207" s="422"/>
      <c r="N207" s="203"/>
      <c r="O207" s="203"/>
      <c r="P207" s="201"/>
      <c r="Q207" s="416"/>
    </row>
    <row r="208" spans="1:17" ht="14.25" customHeight="1">
      <c r="A208" s="3"/>
      <c r="B208" s="3"/>
      <c r="C208" s="3"/>
      <c r="D208" s="3"/>
      <c r="E208" s="206"/>
      <c r="F208" s="417"/>
      <c r="G208" s="418"/>
      <c r="H208" s="200"/>
      <c r="I208" s="200"/>
      <c r="J208" s="419"/>
      <c r="K208" s="420"/>
      <c r="L208" s="421"/>
      <c r="M208" s="422"/>
      <c r="N208" s="203"/>
      <c r="O208" s="203"/>
      <c r="P208" s="201"/>
      <c r="Q208" s="416"/>
    </row>
    <row r="209" spans="1:17" ht="14.25" customHeight="1">
      <c r="A209" s="3"/>
      <c r="B209" s="3"/>
      <c r="C209" s="3"/>
      <c r="D209" s="3"/>
      <c r="E209" s="206"/>
      <c r="F209" s="417"/>
      <c r="G209" s="418"/>
      <c r="H209" s="200"/>
      <c r="I209" s="200"/>
      <c r="J209" s="419"/>
      <c r="K209" s="420"/>
      <c r="L209" s="421"/>
      <c r="M209" s="422"/>
      <c r="N209" s="203"/>
      <c r="O209" s="203"/>
      <c r="P209" s="201"/>
      <c r="Q209" s="416"/>
    </row>
    <row r="210" spans="1:17" ht="14.25" customHeight="1">
      <c r="A210" s="3"/>
      <c r="B210" s="3"/>
      <c r="C210" s="3"/>
      <c r="D210" s="3"/>
      <c r="E210" s="206"/>
      <c r="F210" s="417"/>
      <c r="G210" s="418"/>
      <c r="H210" s="200"/>
      <c r="I210" s="200"/>
      <c r="J210" s="419"/>
      <c r="K210" s="420"/>
      <c r="L210" s="421"/>
      <c r="M210" s="422"/>
      <c r="N210" s="203"/>
      <c r="O210" s="203"/>
      <c r="P210" s="201"/>
      <c r="Q210" s="416"/>
    </row>
    <row r="211" spans="1:17" ht="14.25" customHeight="1">
      <c r="A211" s="3"/>
      <c r="B211" s="3"/>
      <c r="C211" s="3"/>
      <c r="D211" s="3"/>
      <c r="E211" s="206"/>
      <c r="F211" s="417"/>
      <c r="G211" s="418"/>
      <c r="H211" s="200"/>
      <c r="I211" s="200"/>
      <c r="J211" s="419"/>
      <c r="K211" s="420"/>
      <c r="L211" s="421"/>
      <c r="M211" s="422"/>
      <c r="N211" s="203"/>
      <c r="O211" s="203"/>
      <c r="P211" s="201"/>
      <c r="Q211" s="416"/>
    </row>
    <row r="212" spans="1:17" ht="14.25" customHeight="1">
      <c r="A212" s="3"/>
      <c r="B212" s="3"/>
      <c r="C212" s="3"/>
      <c r="D212" s="3"/>
      <c r="E212" s="206"/>
      <c r="F212" s="417"/>
      <c r="G212" s="418"/>
      <c r="H212" s="200"/>
      <c r="I212" s="200"/>
      <c r="J212" s="419"/>
      <c r="K212" s="420"/>
      <c r="L212" s="421"/>
      <c r="M212" s="422"/>
      <c r="N212" s="203"/>
      <c r="O212" s="203"/>
      <c r="P212" s="201"/>
      <c r="Q212" s="416"/>
    </row>
    <row r="213" spans="1:17" ht="14.25" customHeight="1">
      <c r="A213" s="3"/>
      <c r="B213" s="3"/>
      <c r="C213" s="3"/>
      <c r="D213" s="3"/>
      <c r="E213" s="206"/>
      <c r="F213" s="417"/>
      <c r="G213" s="418"/>
      <c r="H213" s="200"/>
      <c r="I213" s="200"/>
      <c r="J213" s="419"/>
      <c r="K213" s="420"/>
      <c r="L213" s="421"/>
      <c r="M213" s="422"/>
      <c r="N213" s="203"/>
      <c r="O213" s="203"/>
      <c r="P213" s="201"/>
      <c r="Q213" s="416"/>
    </row>
    <row r="214" spans="1:17" ht="14.25" customHeight="1">
      <c r="A214" s="3"/>
      <c r="B214" s="3"/>
      <c r="C214" s="3"/>
      <c r="D214" s="3"/>
      <c r="E214" s="206"/>
      <c r="F214" s="417"/>
      <c r="G214" s="418"/>
      <c r="H214" s="200"/>
      <c r="I214" s="200"/>
      <c r="J214" s="419"/>
      <c r="K214" s="420"/>
      <c r="L214" s="421"/>
      <c r="M214" s="422"/>
      <c r="N214" s="203"/>
      <c r="O214" s="203"/>
      <c r="P214" s="201"/>
      <c r="Q214" s="416"/>
    </row>
    <row r="215" spans="1:17" ht="14.25" customHeight="1">
      <c r="A215" s="3"/>
      <c r="B215" s="3"/>
      <c r="C215" s="3"/>
      <c r="D215" s="3"/>
      <c r="E215" s="206"/>
      <c r="F215" s="417"/>
      <c r="G215" s="418"/>
      <c r="H215" s="200"/>
      <c r="I215" s="200"/>
      <c r="J215" s="419"/>
      <c r="K215" s="420"/>
      <c r="L215" s="421"/>
      <c r="M215" s="422"/>
      <c r="N215" s="203"/>
      <c r="O215" s="203"/>
      <c r="P215" s="201"/>
      <c r="Q215" s="416"/>
    </row>
    <row r="216" spans="1:17" ht="14.25" customHeight="1">
      <c r="A216" s="3"/>
      <c r="B216" s="3"/>
      <c r="C216" s="3"/>
      <c r="D216" s="3"/>
      <c r="E216" s="206"/>
      <c r="F216" s="417"/>
      <c r="G216" s="418"/>
      <c r="H216" s="200"/>
      <c r="I216" s="200"/>
      <c r="J216" s="419"/>
      <c r="K216" s="420"/>
      <c r="L216" s="421"/>
      <c r="M216" s="422"/>
      <c r="N216" s="203"/>
      <c r="O216" s="203"/>
      <c r="P216" s="201"/>
      <c r="Q216" s="416"/>
    </row>
    <row r="217" spans="1:17" ht="14.25" customHeight="1">
      <c r="A217" s="3"/>
      <c r="B217" s="3"/>
      <c r="C217" s="3"/>
      <c r="D217" s="3"/>
      <c r="E217" s="206"/>
      <c r="F217" s="417"/>
      <c r="G217" s="418"/>
      <c r="H217" s="200"/>
      <c r="I217" s="200"/>
      <c r="J217" s="419"/>
      <c r="K217" s="420"/>
      <c r="L217" s="421"/>
      <c r="M217" s="422"/>
      <c r="N217" s="203"/>
      <c r="O217" s="203"/>
      <c r="P217" s="201"/>
      <c r="Q217" s="416"/>
    </row>
    <row r="218" spans="1:17" ht="14.25" customHeight="1">
      <c r="A218" s="3"/>
      <c r="B218" s="3"/>
      <c r="C218" s="3"/>
      <c r="D218" s="3"/>
      <c r="E218" s="206"/>
      <c r="F218" s="417"/>
      <c r="G218" s="418"/>
      <c r="H218" s="200"/>
      <c r="I218" s="200"/>
      <c r="J218" s="419"/>
      <c r="K218" s="420"/>
      <c r="L218" s="421"/>
      <c r="M218" s="422"/>
      <c r="N218" s="203"/>
      <c r="O218" s="203"/>
      <c r="P218" s="201"/>
      <c r="Q218" s="416"/>
    </row>
    <row r="219" spans="1:17" ht="14.25" customHeight="1">
      <c r="A219" s="3"/>
      <c r="B219" s="3"/>
      <c r="C219" s="3"/>
      <c r="D219" s="3"/>
      <c r="E219" s="206"/>
      <c r="F219" s="417"/>
      <c r="G219" s="418"/>
      <c r="H219" s="200"/>
      <c r="I219" s="200"/>
      <c r="J219" s="419"/>
      <c r="K219" s="420"/>
      <c r="L219" s="421"/>
      <c r="M219" s="422"/>
      <c r="N219" s="203"/>
      <c r="O219" s="203"/>
      <c r="P219" s="201"/>
      <c r="Q219" s="416"/>
    </row>
    <row r="220" spans="1:17" ht="14.25" customHeight="1">
      <c r="A220" s="3"/>
      <c r="B220" s="3"/>
      <c r="C220" s="3"/>
      <c r="D220" s="3"/>
      <c r="E220" s="206"/>
      <c r="F220" s="417"/>
      <c r="G220" s="418"/>
      <c r="H220" s="200"/>
      <c r="I220" s="200"/>
      <c r="J220" s="419"/>
      <c r="K220" s="420"/>
      <c r="L220" s="421"/>
      <c r="M220" s="422"/>
      <c r="N220" s="203"/>
      <c r="O220" s="203"/>
      <c r="P220" s="201"/>
      <c r="Q220" s="416"/>
    </row>
    <row r="221" spans="1:17" ht="14.25" customHeight="1">
      <c r="A221" s="3"/>
      <c r="B221" s="3"/>
      <c r="C221" s="3"/>
      <c r="D221" s="3"/>
      <c r="E221" s="206"/>
      <c r="F221" s="417"/>
      <c r="G221" s="418"/>
      <c r="H221" s="200"/>
      <c r="I221" s="200"/>
      <c r="J221" s="419"/>
      <c r="K221" s="420"/>
      <c r="L221" s="421"/>
      <c r="M221" s="422"/>
      <c r="N221" s="203"/>
      <c r="O221" s="203"/>
      <c r="P221" s="201"/>
      <c r="Q221" s="416"/>
    </row>
    <row r="222" spans="1:17" ht="14.25" customHeight="1">
      <c r="A222" s="3"/>
      <c r="B222" s="3"/>
      <c r="C222" s="3"/>
      <c r="D222" s="3"/>
      <c r="E222" s="206"/>
      <c r="F222" s="417"/>
      <c r="G222" s="418"/>
      <c r="H222" s="200"/>
      <c r="I222" s="200"/>
      <c r="J222" s="419"/>
      <c r="K222" s="420"/>
      <c r="L222" s="421"/>
      <c r="M222" s="422"/>
      <c r="N222" s="203"/>
      <c r="O222" s="203"/>
      <c r="P222" s="201"/>
      <c r="Q222" s="416"/>
    </row>
    <row r="223" spans="1:17" ht="14.25" customHeight="1">
      <c r="A223" s="3"/>
      <c r="B223" s="3"/>
      <c r="C223" s="3"/>
      <c r="D223" s="3"/>
      <c r="E223" s="206"/>
      <c r="F223" s="417"/>
      <c r="G223" s="418"/>
      <c r="H223" s="200"/>
      <c r="I223" s="200"/>
      <c r="J223" s="419"/>
      <c r="K223" s="420"/>
      <c r="L223" s="421"/>
      <c r="M223" s="422"/>
      <c r="N223" s="203"/>
      <c r="O223" s="203"/>
      <c r="P223" s="201"/>
      <c r="Q223" s="416"/>
    </row>
    <row r="224" spans="1:17" ht="14.25" customHeight="1">
      <c r="A224" s="3"/>
      <c r="B224" s="3"/>
      <c r="C224" s="3"/>
      <c r="D224" s="3"/>
      <c r="E224" s="206"/>
      <c r="F224" s="417"/>
      <c r="G224" s="418"/>
      <c r="H224" s="200"/>
      <c r="I224" s="200"/>
      <c r="J224" s="419"/>
      <c r="K224" s="420"/>
      <c r="L224" s="421"/>
      <c r="M224" s="422"/>
      <c r="N224" s="203"/>
      <c r="O224" s="203"/>
      <c r="P224" s="201"/>
      <c r="Q224" s="416"/>
    </row>
    <row r="225" spans="1:17" ht="14.25" customHeight="1">
      <c r="A225" s="3"/>
      <c r="B225" s="3"/>
      <c r="C225" s="3"/>
      <c r="D225" s="3"/>
      <c r="E225" s="206"/>
      <c r="F225" s="417"/>
      <c r="G225" s="418"/>
      <c r="H225" s="200"/>
      <c r="I225" s="200"/>
      <c r="J225" s="419"/>
      <c r="K225" s="420"/>
      <c r="L225" s="421"/>
      <c r="M225" s="422"/>
      <c r="N225" s="203"/>
      <c r="O225" s="203"/>
      <c r="P225" s="201"/>
      <c r="Q225" s="416"/>
    </row>
    <row r="226" spans="1:17" ht="14.25" customHeight="1">
      <c r="A226" s="3"/>
      <c r="B226" s="3"/>
      <c r="C226" s="3"/>
      <c r="D226" s="3"/>
      <c r="E226" s="206"/>
      <c r="F226" s="417"/>
      <c r="G226" s="418"/>
      <c r="H226" s="200"/>
      <c r="I226" s="200"/>
      <c r="J226" s="419"/>
      <c r="K226" s="420"/>
      <c r="L226" s="421"/>
      <c r="M226" s="422"/>
      <c r="N226" s="203"/>
      <c r="O226" s="203"/>
      <c r="P226" s="201"/>
      <c r="Q226" s="416"/>
    </row>
    <row r="227" spans="1:17" ht="14.25" customHeight="1">
      <c r="A227" s="3"/>
      <c r="B227" s="3"/>
      <c r="C227" s="3"/>
      <c r="D227" s="3"/>
      <c r="E227" s="206"/>
      <c r="F227" s="417"/>
      <c r="G227" s="418"/>
      <c r="H227" s="200"/>
      <c r="I227" s="200"/>
      <c r="J227" s="419"/>
      <c r="K227" s="420"/>
      <c r="L227" s="421"/>
      <c r="M227" s="422"/>
      <c r="N227" s="203"/>
      <c r="O227" s="203"/>
      <c r="P227" s="201"/>
      <c r="Q227" s="416"/>
    </row>
    <row r="228" spans="1:17" ht="14.25" customHeight="1">
      <c r="A228" s="3"/>
      <c r="B228" s="3"/>
      <c r="C228" s="3"/>
      <c r="D228" s="3"/>
      <c r="E228" s="206"/>
      <c r="F228" s="417"/>
      <c r="G228" s="418"/>
      <c r="H228" s="200"/>
      <c r="I228" s="200"/>
      <c r="J228" s="419"/>
      <c r="K228" s="420"/>
      <c r="L228" s="421"/>
      <c r="M228" s="422"/>
      <c r="N228" s="203"/>
      <c r="O228" s="203"/>
      <c r="P228" s="201"/>
      <c r="Q228" s="416"/>
    </row>
    <row r="229" spans="1:17" ht="14.25" customHeight="1">
      <c r="A229" s="3"/>
      <c r="B229" s="3"/>
      <c r="C229" s="3"/>
      <c r="D229" s="3"/>
      <c r="E229" s="206"/>
      <c r="F229" s="417"/>
      <c r="G229" s="418"/>
      <c r="H229" s="200"/>
      <c r="I229" s="200"/>
      <c r="J229" s="419"/>
      <c r="K229" s="420"/>
      <c r="L229" s="421"/>
      <c r="M229" s="422"/>
      <c r="N229" s="203"/>
      <c r="O229" s="203"/>
      <c r="P229" s="201"/>
      <c r="Q229" s="416"/>
    </row>
    <row r="230" spans="1:17" ht="14.25" customHeight="1">
      <c r="A230" s="3"/>
      <c r="B230" s="3"/>
      <c r="C230" s="3"/>
      <c r="D230" s="3"/>
      <c r="E230" s="206"/>
      <c r="F230" s="417"/>
      <c r="G230" s="418"/>
      <c r="H230" s="200"/>
      <c r="I230" s="200"/>
      <c r="J230" s="419"/>
      <c r="K230" s="420"/>
      <c r="L230" s="421"/>
      <c r="M230" s="422"/>
      <c r="N230" s="203"/>
      <c r="O230" s="203"/>
      <c r="P230" s="201"/>
      <c r="Q230" s="416"/>
    </row>
    <row r="231" spans="1:17" ht="14.25" customHeight="1">
      <c r="A231" s="3"/>
      <c r="B231" s="3"/>
      <c r="C231" s="3"/>
      <c r="D231" s="3"/>
      <c r="E231" s="206"/>
      <c r="F231" s="417"/>
      <c r="G231" s="418"/>
      <c r="H231" s="200"/>
      <c r="I231" s="200"/>
      <c r="J231" s="419"/>
      <c r="K231" s="420"/>
      <c r="L231" s="421"/>
      <c r="M231" s="422"/>
      <c r="N231" s="203"/>
      <c r="O231" s="203"/>
      <c r="P231" s="201"/>
      <c r="Q231" s="416"/>
    </row>
    <row r="232" spans="1:17" ht="14.25" customHeight="1">
      <c r="A232" s="3"/>
      <c r="B232" s="3"/>
      <c r="C232" s="3"/>
      <c r="D232" s="3"/>
      <c r="E232" s="206"/>
      <c r="F232" s="417"/>
      <c r="G232" s="418"/>
      <c r="H232" s="200"/>
      <c r="I232" s="200"/>
      <c r="J232" s="419"/>
      <c r="K232" s="420"/>
      <c r="L232" s="421"/>
      <c r="M232" s="422"/>
      <c r="N232" s="203"/>
      <c r="O232" s="203"/>
      <c r="P232" s="201"/>
      <c r="Q232" s="416"/>
    </row>
    <row r="233" spans="1:17" ht="14.25" customHeight="1">
      <c r="A233" s="3"/>
      <c r="B233" s="3"/>
      <c r="C233" s="3"/>
      <c r="D233" s="3"/>
      <c r="E233" s="206"/>
      <c r="F233" s="417"/>
      <c r="G233" s="418"/>
      <c r="H233" s="200"/>
      <c r="I233" s="200"/>
      <c r="J233" s="419"/>
      <c r="K233" s="420"/>
      <c r="L233" s="421"/>
      <c r="M233" s="422"/>
      <c r="N233" s="203"/>
      <c r="O233" s="203"/>
      <c r="P233" s="201"/>
      <c r="Q233" s="416"/>
    </row>
    <row r="234" spans="1:17" ht="14.25" customHeight="1">
      <c r="A234" s="3"/>
      <c r="B234" s="3"/>
      <c r="C234" s="3"/>
      <c r="D234" s="3"/>
      <c r="E234" s="206"/>
      <c r="F234" s="417"/>
      <c r="G234" s="418"/>
      <c r="H234" s="200"/>
      <c r="I234" s="200"/>
      <c r="J234" s="419"/>
      <c r="K234" s="420"/>
      <c r="L234" s="421"/>
      <c r="M234" s="422"/>
      <c r="N234" s="203"/>
      <c r="O234" s="203"/>
      <c r="P234" s="201"/>
      <c r="Q234" s="416"/>
    </row>
    <row r="235" spans="1:17" ht="14.25" customHeight="1">
      <c r="A235" s="3"/>
      <c r="B235" s="3"/>
      <c r="C235" s="3"/>
      <c r="D235" s="3"/>
      <c r="E235" s="206"/>
      <c r="F235" s="417"/>
      <c r="G235" s="418"/>
      <c r="H235" s="200"/>
      <c r="I235" s="200"/>
      <c r="J235" s="419"/>
      <c r="K235" s="420"/>
      <c r="L235" s="421"/>
      <c r="M235" s="422"/>
      <c r="N235" s="203"/>
      <c r="O235" s="203"/>
      <c r="P235" s="201"/>
      <c r="Q235" s="416"/>
    </row>
    <row r="236" spans="1:17" ht="14.25" customHeight="1">
      <c r="A236" s="3"/>
      <c r="B236" s="3"/>
      <c r="C236" s="3"/>
      <c r="D236" s="3"/>
      <c r="E236" s="206"/>
      <c r="F236" s="417"/>
      <c r="G236" s="418"/>
      <c r="H236" s="200"/>
      <c r="I236" s="200"/>
      <c r="J236" s="419"/>
      <c r="K236" s="420"/>
      <c r="L236" s="421"/>
      <c r="M236" s="422"/>
      <c r="N236" s="203"/>
      <c r="O236" s="203"/>
      <c r="P236" s="201"/>
      <c r="Q236" s="416"/>
    </row>
    <row r="237" spans="1:17" ht="14.25" customHeight="1">
      <c r="A237" s="3"/>
      <c r="B237" s="3"/>
      <c r="C237" s="3"/>
      <c r="D237" s="3"/>
      <c r="E237" s="206"/>
      <c r="F237" s="417"/>
      <c r="G237" s="418"/>
      <c r="H237" s="200"/>
      <c r="I237" s="200"/>
      <c r="J237" s="419"/>
      <c r="K237" s="420"/>
      <c r="L237" s="421"/>
      <c r="M237" s="422"/>
      <c r="N237" s="203"/>
      <c r="O237" s="203"/>
      <c r="P237" s="201"/>
      <c r="Q237" s="416"/>
    </row>
    <row r="238" spans="1:17" ht="14.25" customHeight="1">
      <c r="A238" s="3"/>
      <c r="B238" s="3"/>
      <c r="C238" s="3"/>
      <c r="D238" s="3"/>
      <c r="E238" s="206"/>
      <c r="F238" s="417"/>
      <c r="G238" s="418"/>
      <c r="H238" s="200"/>
      <c r="I238" s="200"/>
      <c r="J238" s="419"/>
      <c r="K238" s="420"/>
      <c r="L238" s="421"/>
      <c r="M238" s="422"/>
      <c r="N238" s="203"/>
      <c r="O238" s="203"/>
      <c r="P238" s="201"/>
      <c r="Q238" s="416"/>
    </row>
    <row r="239" spans="1:17" ht="14.25" customHeight="1">
      <c r="A239" s="3"/>
      <c r="B239" s="3"/>
      <c r="C239" s="3"/>
      <c r="D239" s="3"/>
      <c r="E239" s="206"/>
      <c r="F239" s="417"/>
      <c r="G239" s="418"/>
      <c r="H239" s="200"/>
      <c r="I239" s="200"/>
      <c r="J239" s="419"/>
      <c r="K239" s="420"/>
      <c r="L239" s="421"/>
      <c r="M239" s="422"/>
      <c r="N239" s="203"/>
      <c r="O239" s="203"/>
      <c r="P239" s="201"/>
      <c r="Q239" s="416"/>
    </row>
    <row r="240" spans="1:17" ht="14.25" customHeight="1">
      <c r="A240" s="3"/>
      <c r="B240" s="3"/>
      <c r="C240" s="3"/>
      <c r="D240" s="3"/>
      <c r="E240" s="206"/>
      <c r="F240" s="417"/>
      <c r="G240" s="418"/>
      <c r="H240" s="200"/>
      <c r="I240" s="200"/>
      <c r="J240" s="419"/>
      <c r="K240" s="420"/>
      <c r="L240" s="421"/>
      <c r="M240" s="422"/>
      <c r="N240" s="203"/>
      <c r="O240" s="203"/>
      <c r="P240" s="201"/>
      <c r="Q240" s="416"/>
    </row>
    <row r="241" spans="1:17" ht="14.25" customHeight="1">
      <c r="A241" s="3"/>
      <c r="B241" s="3"/>
      <c r="C241" s="3"/>
      <c r="D241" s="3"/>
      <c r="E241" s="206"/>
      <c r="F241" s="417"/>
      <c r="G241" s="418"/>
      <c r="H241" s="200"/>
      <c r="I241" s="200"/>
      <c r="J241" s="419"/>
      <c r="K241" s="420"/>
      <c r="L241" s="421"/>
      <c r="M241" s="422"/>
      <c r="N241" s="203"/>
      <c r="O241" s="203"/>
      <c r="P241" s="201"/>
      <c r="Q241" s="416"/>
    </row>
    <row r="242" spans="1:17" ht="14.25" customHeight="1">
      <c r="A242" s="3"/>
      <c r="B242" s="3"/>
      <c r="C242" s="3"/>
      <c r="D242" s="3"/>
      <c r="E242" s="206"/>
      <c r="F242" s="417"/>
      <c r="G242" s="418"/>
      <c r="H242" s="200"/>
      <c r="I242" s="200"/>
      <c r="J242" s="419"/>
      <c r="K242" s="420"/>
      <c r="L242" s="421"/>
      <c r="M242" s="422"/>
      <c r="N242" s="203"/>
      <c r="O242" s="203"/>
      <c r="P242" s="201"/>
      <c r="Q242" s="416"/>
    </row>
    <row r="243" spans="1:17" ht="14.25" customHeight="1">
      <c r="A243" s="3"/>
      <c r="B243" s="3"/>
      <c r="C243" s="3"/>
      <c r="D243" s="3"/>
      <c r="E243" s="206"/>
      <c r="F243" s="417"/>
      <c r="G243" s="418"/>
      <c r="H243" s="200"/>
      <c r="I243" s="200"/>
      <c r="J243" s="419"/>
      <c r="K243" s="420"/>
      <c r="L243" s="421"/>
      <c r="M243" s="422"/>
      <c r="N243" s="203"/>
      <c r="O243" s="203"/>
      <c r="P243" s="201"/>
      <c r="Q243" s="416"/>
    </row>
    <row r="244" spans="1:17" ht="14.25" customHeight="1">
      <c r="A244" s="3"/>
      <c r="B244" s="3"/>
      <c r="C244" s="3"/>
      <c r="D244" s="3"/>
      <c r="E244" s="206"/>
      <c r="F244" s="417"/>
      <c r="G244" s="418"/>
      <c r="H244" s="200"/>
      <c r="I244" s="200"/>
      <c r="J244" s="419"/>
      <c r="K244" s="420"/>
      <c r="L244" s="421"/>
      <c r="M244" s="422"/>
      <c r="N244" s="203"/>
      <c r="O244" s="203"/>
      <c r="P244" s="201"/>
      <c r="Q244" s="416"/>
    </row>
    <row r="245" spans="1:17" ht="14.25" customHeight="1">
      <c r="A245" s="3"/>
      <c r="B245" s="3"/>
      <c r="C245" s="3"/>
      <c r="D245" s="3"/>
      <c r="E245" s="206"/>
      <c r="F245" s="417"/>
      <c r="G245" s="418"/>
      <c r="H245" s="200"/>
      <c r="I245" s="200"/>
      <c r="J245" s="419"/>
      <c r="K245" s="420"/>
      <c r="L245" s="421"/>
      <c r="M245" s="422"/>
      <c r="N245" s="203"/>
      <c r="O245" s="203"/>
      <c r="P245" s="201"/>
      <c r="Q245" s="416"/>
    </row>
    <row r="246" spans="1:17" ht="14.25" customHeight="1">
      <c r="A246" s="3"/>
      <c r="B246" s="3"/>
      <c r="C246" s="3"/>
      <c r="D246" s="3"/>
      <c r="E246" s="206"/>
      <c r="F246" s="417"/>
      <c r="G246" s="418"/>
      <c r="H246" s="200"/>
      <c r="I246" s="200"/>
      <c r="J246" s="419"/>
      <c r="K246" s="420"/>
      <c r="L246" s="421"/>
      <c r="M246" s="422"/>
      <c r="N246" s="203"/>
      <c r="O246" s="203"/>
      <c r="P246" s="201"/>
      <c r="Q246" s="416"/>
    </row>
    <row r="247" spans="1:17" ht="14.25" customHeight="1">
      <c r="A247" s="3"/>
      <c r="B247" s="3"/>
      <c r="C247" s="3"/>
      <c r="D247" s="3"/>
      <c r="E247" s="206"/>
      <c r="F247" s="417"/>
      <c r="G247" s="418"/>
      <c r="H247" s="200"/>
      <c r="I247" s="200"/>
      <c r="J247" s="419"/>
      <c r="K247" s="420"/>
      <c r="L247" s="421"/>
      <c r="M247" s="422"/>
      <c r="N247" s="203"/>
      <c r="O247" s="203"/>
      <c r="P247" s="201"/>
      <c r="Q247" s="416"/>
    </row>
    <row r="248" spans="1:17" ht="14.25" customHeight="1">
      <c r="A248" s="3"/>
      <c r="B248" s="3"/>
      <c r="C248" s="3"/>
      <c r="D248" s="3"/>
      <c r="E248" s="206"/>
      <c r="F248" s="417"/>
      <c r="G248" s="418"/>
      <c r="H248" s="200"/>
      <c r="I248" s="200"/>
      <c r="J248" s="419"/>
      <c r="K248" s="420"/>
      <c r="L248" s="421"/>
      <c r="M248" s="422"/>
      <c r="N248" s="203"/>
      <c r="O248" s="203"/>
      <c r="P248" s="201"/>
      <c r="Q248" s="416"/>
    </row>
    <row r="249" spans="1:17" ht="14.25" customHeight="1">
      <c r="A249" s="3"/>
      <c r="B249" s="3"/>
      <c r="C249" s="3"/>
      <c r="D249" s="3"/>
      <c r="E249" s="206"/>
      <c r="F249" s="417"/>
      <c r="G249" s="418"/>
      <c r="H249" s="200"/>
      <c r="I249" s="200"/>
      <c r="J249" s="419"/>
      <c r="K249" s="420"/>
      <c r="L249" s="421"/>
      <c r="M249" s="422"/>
      <c r="N249" s="203"/>
      <c r="O249" s="203"/>
      <c r="P249" s="201"/>
      <c r="Q249" s="416"/>
    </row>
    <row r="250" spans="1:17" ht="14.25" customHeight="1">
      <c r="A250" s="3"/>
      <c r="B250" s="3"/>
      <c r="C250" s="3"/>
      <c r="D250" s="3"/>
      <c r="E250" s="206"/>
      <c r="F250" s="417"/>
      <c r="G250" s="418"/>
      <c r="H250" s="200"/>
      <c r="I250" s="200"/>
      <c r="J250" s="419"/>
      <c r="K250" s="420"/>
      <c r="L250" s="421"/>
      <c r="M250" s="422"/>
      <c r="N250" s="203"/>
      <c r="O250" s="203"/>
      <c r="P250" s="201"/>
      <c r="Q250" s="416"/>
    </row>
    <row r="251" spans="1:17" ht="14.25" customHeight="1">
      <c r="A251" s="3"/>
      <c r="B251" s="3"/>
      <c r="C251" s="3"/>
      <c r="D251" s="3"/>
      <c r="E251" s="206"/>
      <c r="F251" s="417"/>
      <c r="G251" s="418"/>
      <c r="H251" s="200"/>
      <c r="I251" s="200"/>
      <c r="J251" s="419"/>
      <c r="K251" s="420"/>
      <c r="L251" s="421"/>
      <c r="M251" s="422"/>
      <c r="N251" s="203"/>
      <c r="O251" s="203"/>
      <c r="P251" s="201"/>
      <c r="Q251" s="416"/>
    </row>
    <row r="252" spans="1:17" ht="14.25" customHeight="1">
      <c r="A252" s="3"/>
      <c r="B252" s="3"/>
      <c r="C252" s="3"/>
      <c r="D252" s="3"/>
      <c r="E252" s="206"/>
      <c r="F252" s="417"/>
      <c r="G252" s="418"/>
      <c r="H252" s="200"/>
      <c r="I252" s="200"/>
      <c r="J252" s="419"/>
      <c r="K252" s="420"/>
      <c r="L252" s="421"/>
      <c r="M252" s="422"/>
      <c r="N252" s="203"/>
      <c r="O252" s="203"/>
      <c r="P252" s="201"/>
      <c r="Q252" s="416"/>
    </row>
    <row r="253" spans="1:17" ht="14.25" customHeight="1">
      <c r="A253" s="3"/>
      <c r="B253" s="3"/>
      <c r="C253" s="3"/>
      <c r="D253" s="3"/>
      <c r="E253" s="206"/>
      <c r="F253" s="417"/>
      <c r="G253" s="418"/>
      <c r="H253" s="200"/>
      <c r="I253" s="200"/>
      <c r="J253" s="419"/>
      <c r="K253" s="420"/>
      <c r="L253" s="421"/>
      <c r="M253" s="422"/>
      <c r="N253" s="203"/>
      <c r="O253" s="203"/>
      <c r="P253" s="201"/>
      <c r="Q253" s="416"/>
    </row>
    <row r="254" spans="1:17" ht="14.25" customHeight="1">
      <c r="A254" s="3"/>
      <c r="B254" s="3"/>
      <c r="C254" s="3"/>
      <c r="D254" s="3"/>
      <c r="E254" s="206"/>
      <c r="F254" s="417"/>
      <c r="G254" s="418"/>
      <c r="H254" s="200"/>
      <c r="I254" s="200"/>
      <c r="J254" s="419"/>
      <c r="K254" s="420"/>
      <c r="L254" s="421"/>
      <c r="M254" s="422"/>
      <c r="N254" s="203"/>
      <c r="O254" s="203"/>
      <c r="P254" s="201"/>
      <c r="Q254" s="416"/>
    </row>
    <row r="255" spans="1:17" ht="14.25" customHeight="1">
      <c r="A255" s="3"/>
      <c r="B255" s="3"/>
      <c r="C255" s="3"/>
      <c r="D255" s="3"/>
      <c r="E255" s="206"/>
      <c r="F255" s="417"/>
      <c r="G255" s="418"/>
      <c r="H255" s="200"/>
      <c r="I255" s="200"/>
      <c r="J255" s="419"/>
      <c r="K255" s="420"/>
      <c r="L255" s="421"/>
      <c r="M255" s="422"/>
      <c r="N255" s="203"/>
      <c r="O255" s="203"/>
      <c r="P255" s="201"/>
      <c r="Q255" s="416"/>
    </row>
    <row r="256" spans="1:17" ht="14.25" customHeight="1">
      <c r="A256" s="3"/>
      <c r="B256" s="3"/>
      <c r="C256" s="3"/>
      <c r="D256" s="3"/>
      <c r="E256" s="206"/>
      <c r="F256" s="417"/>
      <c r="G256" s="418"/>
      <c r="H256" s="200"/>
      <c r="I256" s="200"/>
      <c r="J256" s="419"/>
      <c r="K256" s="420"/>
      <c r="L256" s="421"/>
      <c r="M256" s="422"/>
      <c r="N256" s="203"/>
      <c r="O256" s="203"/>
      <c r="P256" s="201"/>
      <c r="Q256" s="416"/>
    </row>
    <row r="257" spans="1:17" ht="14.25" customHeight="1">
      <c r="A257" s="3"/>
      <c r="B257" s="3"/>
      <c r="C257" s="3"/>
      <c r="D257" s="3"/>
      <c r="E257" s="206"/>
      <c r="F257" s="417"/>
      <c r="G257" s="418"/>
      <c r="H257" s="200"/>
      <c r="I257" s="200"/>
      <c r="J257" s="419"/>
      <c r="K257" s="420"/>
      <c r="L257" s="421"/>
      <c r="M257" s="422"/>
      <c r="N257" s="203"/>
      <c r="O257" s="203"/>
      <c r="P257" s="201"/>
      <c r="Q257" s="416"/>
    </row>
    <row r="258" spans="1:17" ht="14.25" customHeight="1">
      <c r="A258" s="3"/>
      <c r="B258" s="3"/>
      <c r="C258" s="3"/>
      <c r="D258" s="3"/>
      <c r="E258" s="206"/>
      <c r="F258" s="417"/>
      <c r="G258" s="418"/>
      <c r="H258" s="200"/>
      <c r="I258" s="200"/>
      <c r="J258" s="419"/>
      <c r="K258" s="420"/>
      <c r="L258" s="421"/>
      <c r="M258" s="422"/>
      <c r="N258" s="203"/>
      <c r="O258" s="203"/>
      <c r="P258" s="201"/>
      <c r="Q258" s="416"/>
    </row>
    <row r="259" spans="1:17" ht="14.25" customHeight="1">
      <c r="A259" s="3"/>
      <c r="B259" s="3"/>
      <c r="C259" s="3"/>
      <c r="D259" s="3"/>
      <c r="E259" s="206"/>
      <c r="F259" s="417"/>
      <c r="G259" s="418"/>
      <c r="H259" s="200"/>
      <c r="I259" s="200"/>
      <c r="J259" s="419"/>
      <c r="K259" s="420"/>
      <c r="L259" s="421"/>
      <c r="M259" s="422"/>
      <c r="N259" s="203"/>
      <c r="O259" s="203"/>
      <c r="P259" s="201"/>
      <c r="Q259" s="416"/>
    </row>
    <row r="260" spans="1:17" ht="14.25" customHeight="1">
      <c r="A260" s="3"/>
      <c r="B260" s="3"/>
      <c r="C260" s="3"/>
      <c r="D260" s="3"/>
      <c r="E260" s="206"/>
      <c r="F260" s="417"/>
      <c r="G260" s="418"/>
      <c r="H260" s="200"/>
      <c r="I260" s="200"/>
      <c r="J260" s="419"/>
      <c r="K260" s="420"/>
      <c r="L260" s="421"/>
      <c r="M260" s="422"/>
      <c r="N260" s="203"/>
      <c r="O260" s="203"/>
      <c r="P260" s="201"/>
      <c r="Q260" s="416"/>
    </row>
    <row r="261" spans="1:17" ht="14.25" customHeight="1">
      <c r="A261" s="3"/>
      <c r="B261" s="3"/>
      <c r="C261" s="3"/>
      <c r="D261" s="3"/>
      <c r="E261" s="206"/>
      <c r="F261" s="417"/>
      <c r="G261" s="418"/>
      <c r="H261" s="200"/>
      <c r="I261" s="200"/>
      <c r="J261" s="419"/>
      <c r="K261" s="420"/>
      <c r="L261" s="421"/>
      <c r="M261" s="422"/>
      <c r="N261" s="203"/>
      <c r="O261" s="203"/>
      <c r="P261" s="201"/>
      <c r="Q261" s="416"/>
    </row>
    <row r="262" spans="1:17" ht="14.25" customHeight="1">
      <c r="A262" s="3"/>
      <c r="B262" s="3"/>
      <c r="C262" s="3"/>
      <c r="D262" s="3"/>
      <c r="E262" s="206"/>
      <c r="F262" s="417"/>
      <c r="G262" s="418"/>
      <c r="H262" s="200"/>
      <c r="I262" s="200"/>
      <c r="J262" s="419"/>
      <c r="K262" s="420"/>
      <c r="L262" s="421"/>
      <c r="M262" s="422"/>
      <c r="N262" s="203"/>
      <c r="O262" s="203"/>
      <c r="P262" s="201"/>
      <c r="Q262" s="416"/>
    </row>
    <row r="263" spans="1:17" ht="14.25" customHeight="1">
      <c r="A263" s="3"/>
      <c r="B263" s="3"/>
      <c r="C263" s="3"/>
      <c r="D263" s="3"/>
      <c r="E263" s="206"/>
      <c r="F263" s="417"/>
      <c r="G263" s="418"/>
      <c r="H263" s="200"/>
      <c r="I263" s="200"/>
      <c r="J263" s="419"/>
      <c r="K263" s="420"/>
      <c r="L263" s="421"/>
      <c r="M263" s="422"/>
      <c r="N263" s="203"/>
      <c r="O263" s="203"/>
      <c r="P263" s="201"/>
      <c r="Q263" s="416"/>
    </row>
    <row r="264" spans="1:17" ht="14.25" customHeight="1">
      <c r="A264" s="3"/>
      <c r="B264" s="3"/>
      <c r="C264" s="3"/>
      <c r="D264" s="3"/>
      <c r="E264" s="206"/>
      <c r="F264" s="417"/>
      <c r="G264" s="418"/>
      <c r="H264" s="200"/>
      <c r="I264" s="200"/>
      <c r="J264" s="419"/>
      <c r="K264" s="420"/>
      <c r="L264" s="421"/>
      <c r="M264" s="422"/>
      <c r="N264" s="203"/>
      <c r="O264" s="203"/>
      <c r="P264" s="201"/>
      <c r="Q264" s="416"/>
    </row>
    <row r="265" spans="1:17" ht="14.25" customHeight="1">
      <c r="A265" s="3"/>
      <c r="B265" s="3"/>
      <c r="C265" s="3"/>
      <c r="D265" s="3"/>
      <c r="E265" s="206"/>
      <c r="F265" s="417"/>
      <c r="G265" s="418"/>
      <c r="H265" s="200"/>
      <c r="I265" s="200"/>
      <c r="J265" s="419"/>
      <c r="K265" s="420"/>
      <c r="L265" s="421"/>
      <c r="M265" s="422"/>
      <c r="N265" s="203"/>
      <c r="O265" s="203"/>
      <c r="P265" s="201"/>
      <c r="Q265" s="416"/>
    </row>
    <row r="266" spans="1:17" ht="14.25" customHeight="1">
      <c r="A266" s="3"/>
      <c r="B266" s="3"/>
      <c r="C266" s="3"/>
      <c r="D266" s="3"/>
      <c r="E266" s="206"/>
      <c r="F266" s="417"/>
      <c r="G266" s="418"/>
      <c r="H266" s="200"/>
      <c r="I266" s="200"/>
      <c r="J266" s="419"/>
      <c r="K266" s="420"/>
      <c r="L266" s="421"/>
      <c r="M266" s="422"/>
      <c r="N266" s="203"/>
      <c r="O266" s="203"/>
      <c r="P266" s="201"/>
      <c r="Q266" s="416"/>
    </row>
    <row r="267" spans="1:17" ht="14.25" customHeight="1">
      <c r="A267" s="3"/>
      <c r="B267" s="3"/>
      <c r="C267" s="3"/>
      <c r="D267" s="3"/>
      <c r="E267" s="206"/>
      <c r="F267" s="417"/>
      <c r="G267" s="418"/>
      <c r="H267" s="200"/>
      <c r="I267" s="200"/>
      <c r="J267" s="419"/>
      <c r="K267" s="420"/>
      <c r="L267" s="421"/>
      <c r="M267" s="422"/>
      <c r="N267" s="203"/>
      <c r="O267" s="203"/>
      <c r="P267" s="201"/>
      <c r="Q267" s="416"/>
    </row>
    <row r="268" spans="1:17" ht="14.25" customHeight="1">
      <c r="A268" s="3"/>
      <c r="B268" s="3"/>
      <c r="C268" s="3"/>
      <c r="D268" s="3"/>
      <c r="E268" s="206"/>
      <c r="F268" s="417"/>
      <c r="G268" s="418"/>
      <c r="H268" s="200"/>
      <c r="I268" s="200"/>
      <c r="J268" s="419"/>
      <c r="K268" s="420"/>
      <c r="L268" s="421"/>
      <c r="M268" s="422"/>
      <c r="N268" s="203"/>
      <c r="O268" s="203"/>
      <c r="P268" s="201"/>
      <c r="Q268" s="416"/>
    </row>
    <row r="269" spans="1:17" ht="14.25" customHeight="1">
      <c r="A269" s="3"/>
      <c r="B269" s="3"/>
      <c r="C269" s="3"/>
      <c r="D269" s="3"/>
      <c r="E269" s="206"/>
      <c r="F269" s="417"/>
      <c r="G269" s="418"/>
      <c r="H269" s="200"/>
      <c r="I269" s="200"/>
      <c r="J269" s="419"/>
      <c r="K269" s="420"/>
      <c r="L269" s="421"/>
      <c r="M269" s="422"/>
      <c r="N269" s="203"/>
      <c r="O269" s="203"/>
      <c r="P269" s="201"/>
      <c r="Q269" s="416"/>
    </row>
    <row r="270" spans="1:17" ht="14.25" customHeight="1">
      <c r="A270" s="3"/>
      <c r="B270" s="3"/>
      <c r="C270" s="3"/>
      <c r="D270" s="3"/>
      <c r="E270" s="206"/>
      <c r="F270" s="417"/>
      <c r="G270" s="418"/>
      <c r="H270" s="200"/>
      <c r="I270" s="200"/>
      <c r="J270" s="419"/>
      <c r="K270" s="420"/>
      <c r="L270" s="421"/>
      <c r="M270" s="422"/>
      <c r="N270" s="203"/>
      <c r="O270" s="203"/>
      <c r="P270" s="201"/>
      <c r="Q270" s="416"/>
    </row>
    <row r="271" spans="1:17" ht="14.25" customHeight="1">
      <c r="A271" s="3"/>
      <c r="B271" s="3"/>
      <c r="C271" s="3"/>
      <c r="D271" s="3"/>
      <c r="E271" s="206"/>
      <c r="F271" s="417"/>
      <c r="G271" s="418"/>
      <c r="H271" s="200"/>
      <c r="I271" s="200"/>
      <c r="J271" s="419"/>
      <c r="K271" s="420"/>
      <c r="L271" s="421"/>
      <c r="M271" s="422"/>
      <c r="N271" s="203"/>
      <c r="O271" s="203"/>
      <c r="P271" s="201"/>
      <c r="Q271" s="416"/>
    </row>
    <row r="272" spans="1:17" ht="14.25" customHeight="1">
      <c r="A272" s="3"/>
      <c r="B272" s="3"/>
      <c r="C272" s="3"/>
      <c r="D272" s="3"/>
      <c r="E272" s="206"/>
      <c r="F272" s="417"/>
      <c r="G272" s="418"/>
      <c r="H272" s="200"/>
      <c r="I272" s="200"/>
      <c r="J272" s="419"/>
      <c r="K272" s="420"/>
      <c r="L272" s="421"/>
      <c r="M272" s="422"/>
      <c r="N272" s="203"/>
      <c r="O272" s="203"/>
      <c r="P272" s="201"/>
      <c r="Q272" s="416"/>
    </row>
    <row r="273" spans="1:17" ht="14.25" customHeight="1">
      <c r="A273" s="3"/>
      <c r="B273" s="3"/>
      <c r="C273" s="3"/>
      <c r="D273" s="3"/>
      <c r="E273" s="206"/>
      <c r="F273" s="417"/>
      <c r="G273" s="418"/>
      <c r="H273" s="200"/>
      <c r="I273" s="200"/>
      <c r="J273" s="419"/>
      <c r="K273" s="420"/>
      <c r="L273" s="421"/>
      <c r="M273" s="422"/>
      <c r="N273" s="203"/>
      <c r="O273" s="203"/>
      <c r="P273" s="201"/>
      <c r="Q273" s="416"/>
    </row>
    <row r="274" spans="1:17" ht="14.25" customHeight="1">
      <c r="A274" s="3"/>
      <c r="B274" s="3"/>
      <c r="C274" s="3"/>
      <c r="D274" s="3"/>
      <c r="E274" s="206"/>
      <c r="F274" s="417"/>
      <c r="G274" s="418"/>
      <c r="H274" s="200"/>
      <c r="I274" s="200"/>
      <c r="J274" s="419"/>
      <c r="K274" s="420"/>
      <c r="L274" s="421"/>
      <c r="M274" s="422"/>
      <c r="N274" s="203"/>
      <c r="O274" s="203"/>
      <c r="P274" s="201"/>
      <c r="Q274" s="416"/>
    </row>
    <row r="275" spans="1:17" ht="14.25" customHeight="1">
      <c r="A275" s="3"/>
      <c r="B275" s="3"/>
      <c r="C275" s="3"/>
      <c r="D275" s="3"/>
      <c r="E275" s="206"/>
      <c r="F275" s="417"/>
      <c r="G275" s="418"/>
      <c r="H275" s="200"/>
      <c r="I275" s="200"/>
      <c r="J275" s="419"/>
      <c r="K275" s="420"/>
      <c r="L275" s="421"/>
      <c r="M275" s="422"/>
      <c r="N275" s="203"/>
      <c r="O275" s="203"/>
      <c r="P275" s="201"/>
      <c r="Q275" s="416"/>
    </row>
    <row r="276" spans="1:17" ht="14.25" customHeight="1">
      <c r="A276" s="3"/>
      <c r="B276" s="3"/>
      <c r="C276" s="3"/>
      <c r="D276" s="3"/>
      <c r="E276" s="206"/>
      <c r="F276" s="417"/>
      <c r="G276" s="418"/>
      <c r="H276" s="200"/>
      <c r="I276" s="200"/>
      <c r="J276" s="419"/>
      <c r="K276" s="420"/>
      <c r="L276" s="421"/>
      <c r="M276" s="422"/>
      <c r="N276" s="203"/>
      <c r="O276" s="203"/>
      <c r="P276" s="201"/>
      <c r="Q276" s="416"/>
    </row>
    <row r="277" spans="1:17" ht="14.25" customHeight="1">
      <c r="A277" s="3"/>
      <c r="B277" s="3"/>
      <c r="C277" s="3"/>
      <c r="D277" s="3"/>
      <c r="E277" s="206"/>
      <c r="F277" s="417"/>
      <c r="G277" s="418"/>
      <c r="H277" s="200"/>
      <c r="I277" s="200"/>
      <c r="J277" s="419"/>
      <c r="K277" s="420"/>
      <c r="L277" s="421"/>
      <c r="M277" s="422"/>
      <c r="N277" s="203"/>
      <c r="O277" s="203"/>
      <c r="P277" s="201"/>
      <c r="Q277" s="416"/>
    </row>
    <row r="278" spans="1:17" ht="14.25" customHeight="1">
      <c r="A278" s="3"/>
      <c r="B278" s="3"/>
      <c r="C278" s="3"/>
      <c r="D278" s="3"/>
      <c r="E278" s="206"/>
      <c r="F278" s="417"/>
      <c r="G278" s="418"/>
      <c r="H278" s="200"/>
      <c r="I278" s="200"/>
      <c r="J278" s="419"/>
      <c r="K278" s="420"/>
      <c r="L278" s="421"/>
      <c r="M278" s="422"/>
      <c r="N278" s="203"/>
      <c r="O278" s="203"/>
      <c r="P278" s="201"/>
      <c r="Q278" s="416"/>
    </row>
    <row r="279" spans="1:17" ht="14.25" customHeight="1">
      <c r="A279" s="3"/>
      <c r="B279" s="3"/>
      <c r="C279" s="3"/>
      <c r="D279" s="3"/>
      <c r="E279" s="206"/>
      <c r="F279" s="417"/>
      <c r="G279" s="418"/>
      <c r="H279" s="200"/>
      <c r="I279" s="200"/>
      <c r="J279" s="419"/>
      <c r="K279" s="420"/>
      <c r="L279" s="421"/>
      <c r="M279" s="422"/>
      <c r="N279" s="203"/>
      <c r="O279" s="203"/>
      <c r="P279" s="201"/>
      <c r="Q279" s="416"/>
    </row>
    <row r="280" spans="1:17" ht="14.25" customHeight="1">
      <c r="A280" s="3"/>
      <c r="B280" s="3"/>
      <c r="C280" s="3"/>
      <c r="D280" s="3"/>
      <c r="E280" s="206"/>
      <c r="F280" s="417"/>
      <c r="G280" s="418"/>
      <c r="H280" s="200"/>
      <c r="I280" s="200"/>
      <c r="J280" s="419"/>
      <c r="K280" s="420"/>
      <c r="L280" s="421"/>
      <c r="M280" s="422"/>
      <c r="N280" s="203"/>
      <c r="O280" s="203"/>
      <c r="P280" s="201"/>
      <c r="Q280" s="416"/>
    </row>
    <row r="281" spans="1:17" ht="14.25" customHeight="1">
      <c r="A281" s="3"/>
      <c r="B281" s="3"/>
      <c r="C281" s="3"/>
      <c r="D281" s="3"/>
      <c r="E281" s="206"/>
      <c r="F281" s="417"/>
      <c r="G281" s="418"/>
      <c r="H281" s="200"/>
      <c r="I281" s="200"/>
      <c r="J281" s="419"/>
      <c r="K281" s="420"/>
      <c r="L281" s="421"/>
      <c r="M281" s="422"/>
      <c r="N281" s="203"/>
      <c r="O281" s="203"/>
      <c r="P281" s="201"/>
      <c r="Q281" s="416"/>
    </row>
    <row r="282" spans="1:17" ht="14.25" customHeight="1">
      <c r="A282" s="3"/>
      <c r="B282" s="3"/>
      <c r="C282" s="3"/>
      <c r="D282" s="3"/>
      <c r="E282" s="206"/>
      <c r="F282" s="417"/>
      <c r="G282" s="418"/>
      <c r="H282" s="200"/>
      <c r="I282" s="200"/>
      <c r="J282" s="419"/>
      <c r="K282" s="420"/>
      <c r="L282" s="421"/>
      <c r="M282" s="422"/>
      <c r="N282" s="203"/>
      <c r="O282" s="203"/>
      <c r="P282" s="201"/>
      <c r="Q282" s="416"/>
    </row>
    <row r="283" spans="1:17" ht="14.25" customHeight="1">
      <c r="A283" s="3"/>
      <c r="B283" s="3"/>
      <c r="C283" s="3"/>
      <c r="D283" s="3"/>
      <c r="E283" s="206"/>
      <c r="F283" s="417"/>
      <c r="G283" s="418"/>
      <c r="H283" s="200"/>
      <c r="I283" s="200"/>
      <c r="J283" s="419"/>
      <c r="K283" s="420"/>
      <c r="L283" s="421"/>
      <c r="M283" s="422"/>
      <c r="N283" s="203"/>
      <c r="O283" s="203"/>
      <c r="P283" s="201"/>
      <c r="Q283" s="416"/>
    </row>
    <row r="284" spans="1:17" ht="14.25" customHeight="1">
      <c r="A284" s="3"/>
      <c r="B284" s="3"/>
      <c r="C284" s="3"/>
      <c r="D284" s="3"/>
      <c r="E284" s="206"/>
      <c r="F284" s="417"/>
      <c r="G284" s="418"/>
      <c r="H284" s="200"/>
      <c r="I284" s="200"/>
      <c r="J284" s="419"/>
      <c r="K284" s="420"/>
      <c r="L284" s="421"/>
      <c r="M284" s="422"/>
      <c r="N284" s="203"/>
      <c r="O284" s="203"/>
      <c r="P284" s="201"/>
      <c r="Q284" s="416"/>
    </row>
    <row r="285" spans="1:17" ht="14.25" customHeight="1">
      <c r="A285" s="3"/>
      <c r="B285" s="3"/>
      <c r="C285" s="3"/>
      <c r="D285" s="3"/>
      <c r="E285" s="206"/>
      <c r="F285" s="417"/>
      <c r="G285" s="418"/>
      <c r="H285" s="200"/>
      <c r="I285" s="200"/>
      <c r="J285" s="419"/>
      <c r="K285" s="420"/>
      <c r="L285" s="421"/>
      <c r="M285" s="422"/>
      <c r="N285" s="203"/>
      <c r="O285" s="203"/>
      <c r="P285" s="201"/>
      <c r="Q285" s="416"/>
    </row>
    <row r="286" spans="1:17" ht="14.25" customHeight="1">
      <c r="A286" s="3"/>
      <c r="B286" s="3"/>
      <c r="C286" s="3"/>
      <c r="D286" s="3"/>
      <c r="E286" s="206"/>
      <c r="F286" s="417"/>
      <c r="G286" s="418"/>
      <c r="H286" s="200"/>
      <c r="I286" s="200"/>
      <c r="J286" s="419"/>
      <c r="K286" s="420"/>
      <c r="L286" s="421"/>
      <c r="M286" s="422"/>
      <c r="N286" s="203"/>
      <c r="O286" s="203"/>
      <c r="P286" s="201"/>
      <c r="Q286" s="416"/>
    </row>
    <row r="287" spans="1:17" ht="14.25" customHeight="1">
      <c r="A287" s="3"/>
      <c r="B287" s="3"/>
      <c r="C287" s="3"/>
      <c r="D287" s="3"/>
      <c r="E287" s="206"/>
      <c r="F287" s="417"/>
      <c r="G287" s="418"/>
      <c r="H287" s="200"/>
      <c r="I287" s="200"/>
      <c r="J287" s="419"/>
      <c r="K287" s="420"/>
      <c r="L287" s="421"/>
      <c r="M287" s="422"/>
      <c r="N287" s="203"/>
      <c r="O287" s="203"/>
      <c r="P287" s="201"/>
      <c r="Q287" s="416"/>
    </row>
    <row r="288" spans="1:17" ht="14.25" customHeight="1">
      <c r="A288" s="3"/>
      <c r="B288" s="3"/>
      <c r="C288" s="3"/>
      <c r="D288" s="3"/>
      <c r="E288" s="206"/>
      <c r="F288" s="417"/>
      <c r="G288" s="418"/>
      <c r="H288" s="200"/>
      <c r="I288" s="200"/>
      <c r="J288" s="419"/>
      <c r="K288" s="420"/>
      <c r="L288" s="421"/>
      <c r="M288" s="422"/>
      <c r="N288" s="203"/>
      <c r="O288" s="203"/>
      <c r="P288" s="201"/>
      <c r="Q288" s="416"/>
    </row>
    <row r="289" spans="1:17" ht="14.25" customHeight="1">
      <c r="A289" s="3"/>
      <c r="B289" s="3"/>
      <c r="C289" s="3"/>
      <c r="D289" s="3"/>
      <c r="E289" s="206"/>
      <c r="F289" s="417"/>
      <c r="G289" s="418"/>
      <c r="H289" s="200"/>
      <c r="I289" s="200"/>
      <c r="J289" s="419"/>
      <c r="K289" s="420"/>
      <c r="L289" s="421"/>
      <c r="M289" s="422"/>
      <c r="N289" s="203"/>
      <c r="O289" s="203"/>
      <c r="P289" s="201"/>
      <c r="Q289" s="416"/>
    </row>
    <row r="290" spans="1:17" ht="14.25" customHeight="1">
      <c r="A290" s="3"/>
      <c r="B290" s="3"/>
      <c r="C290" s="3"/>
      <c r="D290" s="3"/>
      <c r="E290" s="206"/>
      <c r="F290" s="417"/>
      <c r="G290" s="418"/>
      <c r="H290" s="200"/>
      <c r="I290" s="200"/>
      <c r="J290" s="419"/>
      <c r="K290" s="420"/>
      <c r="L290" s="421"/>
      <c r="M290" s="422"/>
      <c r="N290" s="203"/>
      <c r="O290" s="203"/>
      <c r="P290" s="201"/>
      <c r="Q290" s="416"/>
    </row>
    <row r="291" spans="1:17" ht="14.25" customHeight="1">
      <c r="A291" s="3"/>
      <c r="B291" s="3"/>
      <c r="C291" s="3"/>
      <c r="D291" s="3"/>
      <c r="E291" s="206"/>
      <c r="F291" s="417"/>
      <c r="G291" s="418"/>
      <c r="H291" s="200"/>
      <c r="I291" s="200"/>
      <c r="J291" s="419"/>
      <c r="K291" s="420"/>
      <c r="L291" s="421"/>
      <c r="M291" s="422"/>
      <c r="N291" s="203"/>
      <c r="O291" s="203"/>
      <c r="P291" s="201"/>
      <c r="Q291" s="416"/>
    </row>
    <row r="292" spans="1:17" ht="14.25" customHeight="1">
      <c r="A292" s="3"/>
      <c r="B292" s="3"/>
      <c r="C292" s="3"/>
      <c r="D292" s="3"/>
      <c r="E292" s="206"/>
      <c r="F292" s="417"/>
      <c r="G292" s="418"/>
      <c r="H292" s="200"/>
      <c r="I292" s="200"/>
      <c r="J292" s="419"/>
      <c r="K292" s="420"/>
      <c r="L292" s="421"/>
      <c r="M292" s="422"/>
      <c r="N292" s="203"/>
      <c r="O292" s="203"/>
      <c r="P292" s="201"/>
      <c r="Q292" s="416"/>
    </row>
    <row r="293" spans="1:17" ht="14.25" customHeight="1">
      <c r="A293" s="3"/>
      <c r="B293" s="3"/>
      <c r="C293" s="3"/>
      <c r="D293" s="3"/>
      <c r="E293" s="206"/>
      <c r="F293" s="417"/>
      <c r="G293" s="418"/>
      <c r="H293" s="200"/>
      <c r="I293" s="200"/>
      <c r="J293" s="419"/>
      <c r="K293" s="420"/>
      <c r="L293" s="421"/>
      <c r="M293" s="422"/>
      <c r="N293" s="203"/>
      <c r="O293" s="203"/>
      <c r="P293" s="201"/>
      <c r="Q293" s="416"/>
    </row>
    <row r="294" spans="1:17" ht="14.25" customHeight="1">
      <c r="A294" s="3"/>
      <c r="B294" s="3"/>
      <c r="C294" s="3"/>
      <c r="D294" s="3"/>
      <c r="E294" s="206"/>
      <c r="F294" s="417"/>
      <c r="G294" s="418"/>
      <c r="H294" s="200"/>
      <c r="I294" s="200"/>
      <c r="J294" s="419"/>
      <c r="K294" s="420"/>
      <c r="L294" s="421"/>
      <c r="M294" s="422"/>
      <c r="N294" s="203"/>
      <c r="O294" s="203"/>
      <c r="P294" s="201"/>
      <c r="Q294" s="416"/>
    </row>
    <row r="295" spans="1:17" ht="14.25" customHeight="1">
      <c r="A295" s="3"/>
      <c r="B295" s="3"/>
      <c r="C295" s="3"/>
      <c r="D295" s="3"/>
      <c r="E295" s="206"/>
      <c r="F295" s="417"/>
      <c r="G295" s="418"/>
      <c r="H295" s="200"/>
      <c r="I295" s="200"/>
      <c r="J295" s="419"/>
      <c r="K295" s="420"/>
      <c r="L295" s="421"/>
      <c r="M295" s="422"/>
      <c r="N295" s="203"/>
      <c r="O295" s="203"/>
      <c r="P295" s="201"/>
      <c r="Q295" s="416"/>
    </row>
    <row r="296" spans="1:17" ht="14.25" customHeight="1">
      <c r="A296" s="3"/>
      <c r="B296" s="3"/>
      <c r="C296" s="3"/>
      <c r="D296" s="3"/>
      <c r="E296" s="206"/>
      <c r="F296" s="417"/>
      <c r="G296" s="418"/>
      <c r="H296" s="200"/>
      <c r="I296" s="200"/>
      <c r="J296" s="419"/>
      <c r="K296" s="420"/>
      <c r="L296" s="421"/>
      <c r="M296" s="422"/>
      <c r="N296" s="203"/>
      <c r="O296" s="203"/>
      <c r="P296" s="201"/>
      <c r="Q296" s="416"/>
    </row>
    <row r="297" spans="1:17" ht="14.25" customHeight="1">
      <c r="A297" s="3"/>
      <c r="B297" s="3"/>
      <c r="C297" s="3"/>
      <c r="D297" s="3"/>
      <c r="E297" s="206"/>
      <c r="F297" s="417"/>
      <c r="G297" s="418"/>
      <c r="H297" s="200"/>
      <c r="I297" s="200"/>
      <c r="J297" s="419"/>
      <c r="K297" s="420"/>
      <c r="L297" s="421"/>
      <c r="M297" s="422"/>
      <c r="N297" s="203"/>
      <c r="O297" s="203"/>
      <c r="P297" s="201"/>
      <c r="Q297" s="416"/>
    </row>
    <row r="298" spans="1:17" ht="14.25" customHeight="1">
      <c r="A298" s="3"/>
      <c r="B298" s="3"/>
      <c r="C298" s="3"/>
      <c r="D298" s="3"/>
      <c r="E298" s="206"/>
      <c r="F298" s="417"/>
      <c r="G298" s="418"/>
      <c r="H298" s="200"/>
      <c r="I298" s="200"/>
      <c r="J298" s="419"/>
      <c r="K298" s="420"/>
      <c r="L298" s="421"/>
      <c r="M298" s="422"/>
      <c r="N298" s="203"/>
      <c r="O298" s="203"/>
      <c r="P298" s="201"/>
      <c r="Q298" s="416"/>
    </row>
    <row r="299" spans="1:17" ht="14.25" customHeight="1">
      <c r="A299" s="3"/>
      <c r="B299" s="3"/>
      <c r="C299" s="3"/>
      <c r="D299" s="3"/>
      <c r="E299" s="206"/>
      <c r="F299" s="417"/>
      <c r="G299" s="418"/>
      <c r="H299" s="200"/>
      <c r="I299" s="200"/>
      <c r="J299" s="419"/>
      <c r="K299" s="420"/>
      <c r="L299" s="421"/>
      <c r="M299" s="422"/>
      <c r="N299" s="203"/>
      <c r="O299" s="203"/>
      <c r="P299" s="201"/>
      <c r="Q299" s="416"/>
    </row>
    <row r="300" spans="1:17" ht="14.25" customHeight="1">
      <c r="A300" s="3"/>
      <c r="B300" s="3"/>
      <c r="C300" s="3"/>
      <c r="D300" s="3"/>
      <c r="E300" s="206"/>
      <c r="F300" s="417"/>
      <c r="G300" s="418"/>
      <c r="H300" s="200"/>
      <c r="I300" s="200"/>
      <c r="J300" s="419"/>
      <c r="K300" s="420"/>
      <c r="L300" s="421"/>
      <c r="M300" s="422"/>
      <c r="N300" s="203"/>
      <c r="O300" s="203"/>
      <c r="P300" s="201"/>
      <c r="Q300" s="416"/>
    </row>
    <row r="301" spans="1:17" ht="14.25" customHeight="1">
      <c r="A301" s="3"/>
      <c r="B301" s="3"/>
      <c r="C301" s="3"/>
      <c r="D301" s="3"/>
      <c r="E301" s="206"/>
      <c r="F301" s="417"/>
      <c r="G301" s="418"/>
      <c r="H301" s="200"/>
      <c r="I301" s="200"/>
      <c r="J301" s="419"/>
      <c r="K301" s="420"/>
      <c r="L301" s="421"/>
      <c r="M301" s="422"/>
      <c r="N301" s="203"/>
      <c r="O301" s="203"/>
      <c r="P301" s="201"/>
      <c r="Q301" s="416"/>
    </row>
    <row r="302" spans="1:17" ht="14.25" customHeight="1">
      <c r="A302" s="3"/>
      <c r="B302" s="3"/>
      <c r="C302" s="3"/>
      <c r="D302" s="3"/>
      <c r="E302" s="206"/>
      <c r="F302" s="417"/>
      <c r="G302" s="418"/>
      <c r="H302" s="200"/>
      <c r="I302" s="200"/>
      <c r="J302" s="419"/>
      <c r="K302" s="420"/>
      <c r="L302" s="421"/>
      <c r="M302" s="422"/>
      <c r="N302" s="203"/>
      <c r="O302" s="203"/>
      <c r="P302" s="201"/>
      <c r="Q302" s="416"/>
    </row>
    <row r="303" spans="1:17" ht="14.25" customHeight="1">
      <c r="A303" s="3"/>
      <c r="B303" s="3"/>
      <c r="C303" s="3"/>
      <c r="D303" s="3"/>
      <c r="E303" s="206"/>
      <c r="F303" s="417"/>
      <c r="G303" s="418"/>
      <c r="H303" s="200"/>
      <c r="I303" s="200"/>
      <c r="J303" s="419"/>
      <c r="K303" s="420"/>
      <c r="L303" s="421"/>
      <c r="M303" s="422"/>
      <c r="N303" s="203"/>
      <c r="O303" s="203"/>
      <c r="P303" s="201"/>
      <c r="Q303" s="416"/>
    </row>
    <row r="304" spans="1:17" ht="14.25" customHeight="1">
      <c r="A304" s="3"/>
      <c r="B304" s="3"/>
      <c r="C304" s="3"/>
      <c r="D304" s="3"/>
      <c r="E304" s="206"/>
      <c r="F304" s="417"/>
      <c r="G304" s="418"/>
      <c r="H304" s="200"/>
      <c r="I304" s="200"/>
      <c r="J304" s="419"/>
      <c r="K304" s="420"/>
      <c r="L304" s="421"/>
      <c r="M304" s="422"/>
      <c r="N304" s="203"/>
      <c r="O304" s="203"/>
      <c r="P304" s="201"/>
      <c r="Q304" s="416"/>
    </row>
    <row r="305" spans="1:17" ht="14.25" customHeight="1">
      <c r="A305" s="3"/>
      <c r="B305" s="3"/>
      <c r="C305" s="3"/>
      <c r="D305" s="3"/>
      <c r="E305" s="206"/>
      <c r="F305" s="417"/>
      <c r="G305" s="418"/>
      <c r="H305" s="200"/>
      <c r="I305" s="200"/>
      <c r="J305" s="419"/>
      <c r="K305" s="420"/>
      <c r="L305" s="421"/>
      <c r="M305" s="422"/>
      <c r="N305" s="203"/>
      <c r="O305" s="203"/>
      <c r="P305" s="201"/>
      <c r="Q305" s="416"/>
    </row>
    <row r="306" spans="1:17" ht="14.25" customHeight="1">
      <c r="A306" s="3"/>
      <c r="B306" s="3"/>
      <c r="C306" s="3"/>
      <c r="D306" s="3"/>
      <c r="E306" s="206"/>
      <c r="F306" s="417"/>
      <c r="G306" s="418"/>
      <c r="H306" s="200"/>
      <c r="I306" s="200"/>
      <c r="J306" s="419"/>
      <c r="K306" s="420"/>
      <c r="L306" s="421"/>
      <c r="M306" s="422"/>
      <c r="N306" s="203"/>
      <c r="O306" s="203"/>
      <c r="P306" s="201"/>
      <c r="Q306" s="416"/>
    </row>
    <row r="307" spans="1:17" ht="14.25" customHeight="1">
      <c r="A307" s="3"/>
      <c r="B307" s="3"/>
      <c r="C307" s="3"/>
      <c r="D307" s="3"/>
      <c r="E307" s="206"/>
      <c r="F307" s="417"/>
      <c r="G307" s="418"/>
      <c r="H307" s="200"/>
      <c r="I307" s="200"/>
      <c r="J307" s="419"/>
      <c r="K307" s="420"/>
      <c r="L307" s="421"/>
      <c r="M307" s="422"/>
      <c r="N307" s="203"/>
      <c r="O307" s="203"/>
      <c r="P307" s="201"/>
      <c r="Q307" s="416"/>
    </row>
    <row r="308" spans="1:17" ht="14.25" customHeight="1">
      <c r="A308" s="3"/>
      <c r="B308" s="3"/>
      <c r="C308" s="3"/>
      <c r="D308" s="3"/>
      <c r="E308" s="206"/>
      <c r="F308" s="417"/>
      <c r="G308" s="418"/>
      <c r="H308" s="200"/>
      <c r="I308" s="200"/>
      <c r="J308" s="419"/>
      <c r="K308" s="420"/>
      <c r="L308" s="421"/>
      <c r="M308" s="422"/>
      <c r="N308" s="203"/>
      <c r="O308" s="203"/>
      <c r="P308" s="201"/>
      <c r="Q308" s="416"/>
    </row>
    <row r="309" spans="1:17" ht="14.25" customHeight="1">
      <c r="A309" s="3"/>
      <c r="B309" s="3"/>
      <c r="C309" s="3"/>
      <c r="D309" s="3"/>
      <c r="E309" s="206"/>
      <c r="F309" s="417"/>
      <c r="G309" s="418"/>
      <c r="H309" s="200"/>
      <c r="I309" s="200"/>
      <c r="J309" s="419"/>
      <c r="K309" s="420"/>
      <c r="L309" s="421"/>
      <c r="M309" s="422"/>
      <c r="N309" s="203"/>
      <c r="O309" s="203"/>
      <c r="P309" s="201"/>
      <c r="Q309" s="416"/>
    </row>
    <row r="310" spans="1:17" ht="14.25" customHeight="1">
      <c r="A310" s="3"/>
      <c r="B310" s="3"/>
      <c r="C310" s="3"/>
      <c r="D310" s="3"/>
      <c r="E310" s="206"/>
      <c r="F310" s="417"/>
      <c r="G310" s="418"/>
      <c r="H310" s="200"/>
      <c r="I310" s="200"/>
      <c r="J310" s="419"/>
      <c r="K310" s="420"/>
      <c r="L310" s="421"/>
      <c r="M310" s="422"/>
      <c r="N310" s="203"/>
      <c r="O310" s="203"/>
      <c r="P310" s="201"/>
      <c r="Q310" s="416"/>
    </row>
    <row r="311" spans="1:17" ht="14.25" customHeight="1">
      <c r="A311" s="3"/>
      <c r="B311" s="3"/>
      <c r="C311" s="3"/>
      <c r="D311" s="3"/>
      <c r="E311" s="206"/>
      <c r="F311" s="417"/>
      <c r="G311" s="418"/>
      <c r="H311" s="200"/>
      <c r="I311" s="200"/>
      <c r="J311" s="419"/>
      <c r="K311" s="420"/>
      <c r="L311" s="421"/>
      <c r="M311" s="422"/>
      <c r="N311" s="203"/>
      <c r="O311" s="203"/>
      <c r="P311" s="201"/>
      <c r="Q311" s="416"/>
    </row>
    <row r="312" spans="1:17" ht="14.25" customHeight="1">
      <c r="A312" s="3"/>
      <c r="B312" s="3"/>
      <c r="C312" s="3"/>
      <c r="D312" s="3"/>
      <c r="E312" s="206"/>
      <c r="F312" s="417"/>
      <c r="G312" s="418"/>
      <c r="H312" s="200"/>
      <c r="I312" s="200"/>
      <c r="J312" s="419"/>
      <c r="K312" s="420"/>
      <c r="L312" s="421"/>
      <c r="M312" s="422"/>
      <c r="N312" s="203"/>
      <c r="O312" s="203"/>
      <c r="P312" s="201"/>
      <c r="Q312" s="416"/>
    </row>
    <row r="313" spans="1:17" ht="14.25" customHeight="1">
      <c r="A313" s="3"/>
      <c r="B313" s="3"/>
      <c r="C313" s="3"/>
      <c r="D313" s="3"/>
      <c r="E313" s="206"/>
      <c r="F313" s="417"/>
      <c r="G313" s="418"/>
      <c r="H313" s="200"/>
      <c r="I313" s="200"/>
      <c r="J313" s="419"/>
      <c r="K313" s="420"/>
      <c r="L313" s="421"/>
      <c r="M313" s="422"/>
      <c r="N313" s="203"/>
      <c r="O313" s="203"/>
      <c r="P313" s="201"/>
      <c r="Q313" s="416"/>
    </row>
    <row r="314" spans="1:17" ht="14.25" customHeight="1">
      <c r="A314" s="3"/>
      <c r="B314" s="3"/>
      <c r="C314" s="3"/>
      <c r="D314" s="3"/>
      <c r="E314" s="206"/>
      <c r="F314" s="417"/>
      <c r="G314" s="418"/>
      <c r="H314" s="200"/>
      <c r="I314" s="200"/>
      <c r="J314" s="419"/>
      <c r="K314" s="420"/>
      <c r="L314" s="421"/>
      <c r="M314" s="422"/>
      <c r="N314" s="203"/>
      <c r="O314" s="203"/>
      <c r="P314" s="201"/>
      <c r="Q314" s="416"/>
    </row>
    <row r="315" spans="1:17" ht="14.25" customHeight="1">
      <c r="A315" s="3"/>
      <c r="B315" s="3"/>
      <c r="C315" s="3"/>
      <c r="D315" s="3"/>
      <c r="E315" s="206"/>
      <c r="F315" s="417"/>
      <c r="G315" s="418"/>
      <c r="H315" s="200"/>
      <c r="I315" s="200"/>
      <c r="J315" s="419"/>
      <c r="K315" s="420"/>
      <c r="L315" s="421"/>
      <c r="M315" s="422"/>
      <c r="N315" s="203"/>
      <c r="O315" s="203"/>
      <c r="P315" s="201"/>
      <c r="Q315" s="416"/>
    </row>
    <row r="316" spans="1:17" ht="14.25" customHeight="1">
      <c r="A316" s="3"/>
      <c r="B316" s="3"/>
      <c r="C316" s="3"/>
      <c r="D316" s="3"/>
      <c r="E316" s="206"/>
      <c r="F316" s="417"/>
      <c r="G316" s="418"/>
      <c r="H316" s="200"/>
      <c r="I316" s="200"/>
      <c r="J316" s="419"/>
      <c r="K316" s="420"/>
      <c r="L316" s="421"/>
      <c r="M316" s="422"/>
      <c r="N316" s="203"/>
      <c r="O316" s="203"/>
      <c r="P316" s="201"/>
      <c r="Q316" s="416"/>
    </row>
    <row r="317" spans="1:17" ht="14.25" customHeight="1">
      <c r="A317" s="3"/>
      <c r="B317" s="3"/>
      <c r="C317" s="3"/>
      <c r="D317" s="3"/>
      <c r="E317" s="206"/>
      <c r="F317" s="417"/>
      <c r="G317" s="418"/>
      <c r="H317" s="200"/>
      <c r="I317" s="200"/>
      <c r="J317" s="419"/>
      <c r="K317" s="420"/>
      <c r="L317" s="421"/>
      <c r="M317" s="422"/>
      <c r="N317" s="203"/>
      <c r="O317" s="203"/>
      <c r="P317" s="201"/>
      <c r="Q317" s="416"/>
    </row>
    <row r="318" spans="1:17" ht="14.25" customHeight="1">
      <c r="A318" s="3"/>
      <c r="B318" s="3"/>
      <c r="C318" s="3"/>
      <c r="D318" s="3"/>
      <c r="E318" s="206"/>
      <c r="F318" s="417"/>
      <c r="G318" s="418"/>
      <c r="H318" s="200"/>
      <c r="I318" s="200"/>
      <c r="J318" s="419"/>
      <c r="K318" s="420"/>
      <c r="L318" s="421"/>
      <c r="M318" s="422"/>
      <c r="N318" s="203"/>
      <c r="O318" s="203"/>
      <c r="P318" s="201"/>
      <c r="Q318" s="416"/>
    </row>
    <row r="319" spans="1:17" ht="14.25" customHeight="1">
      <c r="A319" s="3"/>
      <c r="B319" s="3"/>
      <c r="C319" s="3"/>
      <c r="D319" s="3"/>
      <c r="E319" s="206"/>
      <c r="F319" s="417"/>
      <c r="G319" s="418"/>
      <c r="H319" s="200"/>
      <c r="I319" s="200"/>
      <c r="J319" s="419"/>
      <c r="K319" s="420"/>
      <c r="L319" s="421"/>
      <c r="M319" s="422"/>
      <c r="N319" s="203"/>
      <c r="O319" s="203"/>
      <c r="P319" s="201"/>
      <c r="Q319" s="416"/>
    </row>
    <row r="320" spans="1:17" ht="14.25" customHeight="1">
      <c r="A320" s="3"/>
      <c r="B320" s="3"/>
      <c r="C320" s="3"/>
      <c r="D320" s="3"/>
      <c r="E320" s="206"/>
      <c r="F320" s="417"/>
      <c r="G320" s="418"/>
      <c r="H320" s="200"/>
      <c r="I320" s="200"/>
      <c r="J320" s="419"/>
      <c r="K320" s="420"/>
      <c r="L320" s="421"/>
      <c r="M320" s="422"/>
      <c r="N320" s="203"/>
      <c r="O320" s="203"/>
      <c r="P320" s="201"/>
      <c r="Q320" s="416"/>
    </row>
    <row r="321" spans="1:17" ht="14.25" customHeight="1">
      <c r="A321" s="3"/>
      <c r="B321" s="3"/>
      <c r="C321" s="3"/>
      <c r="D321" s="3"/>
      <c r="E321" s="206"/>
      <c r="F321" s="417"/>
      <c r="G321" s="418"/>
      <c r="H321" s="200"/>
      <c r="I321" s="200"/>
      <c r="J321" s="419"/>
      <c r="K321" s="420"/>
      <c r="L321" s="421"/>
      <c r="M321" s="422"/>
      <c r="N321" s="203"/>
      <c r="O321" s="203"/>
      <c r="P321" s="201"/>
      <c r="Q321" s="416"/>
    </row>
    <row r="322" spans="1:17" ht="14.25" customHeight="1">
      <c r="A322" s="3"/>
      <c r="B322" s="3"/>
      <c r="C322" s="3"/>
      <c r="D322" s="3"/>
      <c r="E322" s="206"/>
      <c r="F322" s="417"/>
      <c r="G322" s="418"/>
      <c r="H322" s="200"/>
      <c r="I322" s="200"/>
      <c r="J322" s="419"/>
      <c r="K322" s="420"/>
      <c r="L322" s="421"/>
      <c r="M322" s="422"/>
      <c r="N322" s="203"/>
      <c r="O322" s="203"/>
      <c r="P322" s="201"/>
      <c r="Q322" s="416"/>
    </row>
    <row r="323" spans="1:17" ht="14.25" customHeight="1">
      <c r="A323" s="3"/>
      <c r="B323" s="3"/>
      <c r="C323" s="3"/>
      <c r="D323" s="3"/>
      <c r="E323" s="206"/>
      <c r="F323" s="417"/>
      <c r="G323" s="418"/>
      <c r="H323" s="200"/>
      <c r="I323" s="200"/>
      <c r="J323" s="419"/>
      <c r="K323" s="420"/>
      <c r="L323" s="421"/>
      <c r="M323" s="422"/>
      <c r="N323" s="203"/>
      <c r="O323" s="203"/>
      <c r="P323" s="201"/>
      <c r="Q323" s="416"/>
    </row>
    <row r="324" spans="1:17" ht="14.25" customHeight="1">
      <c r="A324" s="3"/>
      <c r="B324" s="3"/>
      <c r="C324" s="3"/>
      <c r="D324" s="3"/>
      <c r="E324" s="206"/>
      <c r="F324" s="417"/>
      <c r="G324" s="418"/>
      <c r="H324" s="200"/>
      <c r="I324" s="200"/>
      <c r="J324" s="419"/>
      <c r="K324" s="420"/>
      <c r="L324" s="421"/>
      <c r="M324" s="422"/>
      <c r="N324" s="203"/>
      <c r="O324" s="203"/>
      <c r="P324" s="201"/>
      <c r="Q324" s="416"/>
    </row>
    <row r="325" spans="1:17" ht="14.25" customHeight="1">
      <c r="A325" s="3"/>
      <c r="B325" s="3"/>
      <c r="C325" s="3"/>
      <c r="D325" s="3"/>
      <c r="E325" s="206"/>
      <c r="F325" s="417"/>
      <c r="G325" s="418"/>
      <c r="H325" s="200"/>
      <c r="I325" s="200"/>
      <c r="J325" s="419"/>
      <c r="K325" s="420"/>
      <c r="L325" s="421"/>
      <c r="M325" s="422"/>
      <c r="N325" s="203"/>
      <c r="O325" s="203"/>
      <c r="P325" s="201"/>
      <c r="Q325" s="416"/>
    </row>
    <row r="326" spans="1:17" ht="14.25" customHeight="1">
      <c r="A326" s="3"/>
      <c r="B326" s="3"/>
      <c r="C326" s="3"/>
      <c r="D326" s="3"/>
      <c r="E326" s="206"/>
      <c r="F326" s="417"/>
      <c r="G326" s="418"/>
      <c r="H326" s="200"/>
      <c r="I326" s="200"/>
      <c r="J326" s="419"/>
      <c r="K326" s="420"/>
      <c r="L326" s="421"/>
      <c r="M326" s="422"/>
      <c r="N326" s="203"/>
      <c r="O326" s="203"/>
      <c r="P326" s="201"/>
      <c r="Q326" s="416"/>
    </row>
    <row r="327" spans="1:17" ht="14.25" customHeight="1">
      <c r="A327" s="3"/>
      <c r="B327" s="3"/>
      <c r="C327" s="3"/>
      <c r="D327" s="3"/>
      <c r="E327" s="206"/>
      <c r="F327" s="417"/>
      <c r="G327" s="418"/>
      <c r="H327" s="200"/>
      <c r="I327" s="200"/>
      <c r="J327" s="419"/>
      <c r="K327" s="420"/>
      <c r="L327" s="421"/>
      <c r="M327" s="422"/>
      <c r="N327" s="203"/>
      <c r="O327" s="203"/>
      <c r="P327" s="201"/>
      <c r="Q327" s="416"/>
    </row>
    <row r="328" spans="1:17" ht="14.25" customHeight="1">
      <c r="A328" s="3"/>
      <c r="B328" s="3"/>
      <c r="C328" s="3"/>
      <c r="D328" s="3"/>
      <c r="E328" s="206"/>
      <c r="F328" s="417"/>
      <c r="G328" s="418"/>
      <c r="H328" s="200"/>
      <c r="I328" s="200"/>
      <c r="J328" s="419"/>
      <c r="K328" s="420"/>
      <c r="L328" s="421"/>
      <c r="M328" s="422"/>
      <c r="N328" s="203"/>
      <c r="O328" s="203"/>
      <c r="P328" s="201"/>
      <c r="Q328" s="416"/>
    </row>
    <row r="329" spans="1:17" ht="14.25" customHeight="1">
      <c r="A329" s="3"/>
      <c r="B329" s="3"/>
      <c r="C329" s="3"/>
      <c r="D329" s="3"/>
      <c r="E329" s="206"/>
      <c r="F329" s="417"/>
      <c r="G329" s="418"/>
      <c r="H329" s="200"/>
      <c r="I329" s="200"/>
      <c r="J329" s="419"/>
      <c r="K329" s="420"/>
      <c r="L329" s="421"/>
      <c r="M329" s="422"/>
      <c r="N329" s="203"/>
      <c r="O329" s="203"/>
      <c r="P329" s="201"/>
      <c r="Q329" s="416"/>
    </row>
    <row r="330" spans="1:17" ht="14.25" customHeight="1">
      <c r="A330" s="3"/>
      <c r="B330" s="3"/>
      <c r="C330" s="3"/>
      <c r="D330" s="3"/>
      <c r="E330" s="206"/>
      <c r="F330" s="417"/>
      <c r="G330" s="418"/>
      <c r="H330" s="200"/>
      <c r="I330" s="200"/>
      <c r="J330" s="419"/>
      <c r="K330" s="420"/>
      <c r="L330" s="421"/>
      <c r="M330" s="422"/>
      <c r="N330" s="203"/>
      <c r="O330" s="203"/>
      <c r="P330" s="201"/>
      <c r="Q330" s="416"/>
    </row>
    <row r="331" spans="1:17" ht="14.25" customHeight="1">
      <c r="A331" s="3"/>
      <c r="B331" s="3"/>
      <c r="C331" s="3"/>
      <c r="D331" s="3"/>
      <c r="E331" s="206"/>
      <c r="F331" s="417"/>
      <c r="G331" s="418"/>
      <c r="H331" s="200"/>
      <c r="I331" s="200"/>
      <c r="J331" s="419"/>
      <c r="K331" s="420"/>
      <c r="L331" s="421"/>
      <c r="M331" s="422"/>
      <c r="N331" s="203"/>
      <c r="O331" s="203"/>
      <c r="P331" s="201"/>
      <c r="Q331" s="416"/>
    </row>
    <row r="332" spans="1:17" ht="14.25" customHeight="1">
      <c r="A332" s="3"/>
      <c r="B332" s="3"/>
      <c r="C332" s="3"/>
      <c r="D332" s="3"/>
      <c r="E332" s="206"/>
      <c r="F332" s="417"/>
      <c r="G332" s="418"/>
      <c r="H332" s="200"/>
      <c r="I332" s="200"/>
      <c r="J332" s="419"/>
      <c r="K332" s="420"/>
      <c r="L332" s="421"/>
      <c r="M332" s="422"/>
      <c r="N332" s="203"/>
      <c r="O332" s="203"/>
      <c r="P332" s="201"/>
      <c r="Q332" s="416"/>
    </row>
    <row r="333" spans="1:17" ht="14.25" customHeight="1">
      <c r="A333" s="3"/>
      <c r="B333" s="3"/>
      <c r="C333" s="3"/>
      <c r="D333" s="3"/>
      <c r="E333" s="206"/>
      <c r="F333" s="417"/>
      <c r="G333" s="418"/>
      <c r="H333" s="200"/>
      <c r="I333" s="200"/>
      <c r="J333" s="419"/>
      <c r="K333" s="420"/>
      <c r="L333" s="421"/>
      <c r="M333" s="422"/>
      <c r="N333" s="203"/>
      <c r="O333" s="203"/>
      <c r="P333" s="201"/>
      <c r="Q333" s="416"/>
    </row>
    <row r="334" spans="1:17" ht="14.25" customHeight="1">
      <c r="A334" s="3"/>
      <c r="B334" s="3"/>
      <c r="C334" s="3"/>
      <c r="D334" s="3"/>
      <c r="E334" s="206"/>
      <c r="F334" s="417"/>
      <c r="G334" s="418"/>
      <c r="H334" s="200"/>
      <c r="I334" s="200"/>
      <c r="J334" s="419"/>
      <c r="K334" s="420"/>
      <c r="L334" s="421"/>
      <c r="M334" s="422"/>
      <c r="N334" s="203"/>
      <c r="O334" s="203"/>
      <c r="P334" s="201"/>
      <c r="Q334" s="416"/>
    </row>
    <row r="335" spans="1:17" ht="14.25" customHeight="1">
      <c r="A335" s="3"/>
      <c r="B335" s="3"/>
      <c r="C335" s="3"/>
      <c r="D335" s="3"/>
      <c r="E335" s="206"/>
      <c r="F335" s="417"/>
      <c r="G335" s="418"/>
      <c r="H335" s="200"/>
      <c r="I335" s="200"/>
      <c r="J335" s="419"/>
      <c r="K335" s="420"/>
      <c r="L335" s="421"/>
      <c r="M335" s="422"/>
      <c r="N335" s="203"/>
      <c r="O335" s="203"/>
      <c r="P335" s="201"/>
      <c r="Q335" s="416"/>
    </row>
    <row r="336" spans="1:17" ht="14.25" customHeight="1">
      <c r="A336" s="3"/>
      <c r="B336" s="3"/>
      <c r="C336" s="3"/>
      <c r="D336" s="3"/>
      <c r="E336" s="206"/>
      <c r="F336" s="417"/>
      <c r="G336" s="418"/>
      <c r="H336" s="200"/>
      <c r="I336" s="200"/>
      <c r="J336" s="419"/>
      <c r="K336" s="420"/>
      <c r="L336" s="421"/>
      <c r="M336" s="422"/>
      <c r="N336" s="203"/>
      <c r="O336" s="203"/>
      <c r="P336" s="201"/>
      <c r="Q336" s="416"/>
    </row>
    <row r="337" spans="1:17" ht="14.25" customHeight="1">
      <c r="A337" s="3"/>
      <c r="B337" s="3"/>
      <c r="C337" s="3"/>
      <c r="D337" s="3"/>
      <c r="E337" s="206"/>
      <c r="F337" s="417"/>
      <c r="G337" s="418"/>
      <c r="H337" s="200"/>
      <c r="I337" s="200"/>
      <c r="J337" s="419"/>
      <c r="K337" s="420"/>
      <c r="L337" s="421"/>
      <c r="M337" s="422"/>
      <c r="N337" s="203"/>
      <c r="O337" s="203"/>
      <c r="P337" s="201"/>
      <c r="Q337" s="416"/>
    </row>
    <row r="338" spans="1:17" ht="14.25" customHeight="1">
      <c r="A338" s="3"/>
      <c r="B338" s="3"/>
      <c r="C338" s="3"/>
      <c r="D338" s="3"/>
      <c r="E338" s="206"/>
      <c r="F338" s="417"/>
      <c r="G338" s="418"/>
      <c r="H338" s="200"/>
      <c r="I338" s="200"/>
      <c r="J338" s="419"/>
      <c r="K338" s="420"/>
      <c r="L338" s="421"/>
      <c r="M338" s="422"/>
      <c r="N338" s="203"/>
      <c r="O338" s="203"/>
      <c r="P338" s="201"/>
      <c r="Q338" s="416"/>
    </row>
    <row r="339" spans="1:17" ht="14.25" customHeight="1">
      <c r="A339" s="3"/>
      <c r="B339" s="3"/>
      <c r="C339" s="3"/>
      <c r="D339" s="3"/>
      <c r="E339" s="206"/>
      <c r="F339" s="417"/>
      <c r="G339" s="418"/>
      <c r="H339" s="200"/>
      <c r="I339" s="200"/>
      <c r="J339" s="419"/>
      <c r="K339" s="420"/>
      <c r="L339" s="421"/>
      <c r="M339" s="422"/>
      <c r="N339" s="203"/>
      <c r="O339" s="203"/>
      <c r="P339" s="201"/>
      <c r="Q339" s="416"/>
    </row>
    <row r="340" spans="1:17" ht="14.25" customHeight="1">
      <c r="A340" s="3"/>
      <c r="B340" s="3"/>
      <c r="C340" s="3"/>
      <c r="D340" s="3"/>
      <c r="E340" s="206"/>
      <c r="F340" s="417"/>
      <c r="G340" s="418"/>
      <c r="H340" s="200"/>
      <c r="I340" s="200"/>
      <c r="J340" s="419"/>
      <c r="K340" s="420"/>
      <c r="L340" s="421"/>
      <c r="M340" s="422"/>
      <c r="N340" s="203"/>
      <c r="O340" s="203"/>
      <c r="P340" s="201"/>
      <c r="Q340" s="416"/>
    </row>
    <row r="341" spans="1:17" ht="14.25" customHeight="1">
      <c r="A341" s="3"/>
      <c r="B341" s="3"/>
      <c r="C341" s="3"/>
      <c r="D341" s="3"/>
      <c r="E341" s="206"/>
      <c r="F341" s="417"/>
      <c r="G341" s="418"/>
      <c r="H341" s="200"/>
      <c r="I341" s="200"/>
      <c r="J341" s="419"/>
      <c r="K341" s="420"/>
      <c r="L341" s="421"/>
      <c r="M341" s="422"/>
      <c r="N341" s="203"/>
      <c r="O341" s="203"/>
      <c r="P341" s="201"/>
      <c r="Q341" s="416"/>
    </row>
    <row r="342" spans="1:17" ht="14.25" customHeight="1">
      <c r="A342" s="3"/>
      <c r="B342" s="3"/>
      <c r="C342" s="3"/>
      <c r="D342" s="3"/>
      <c r="E342" s="206"/>
      <c r="F342" s="417"/>
      <c r="G342" s="418"/>
      <c r="H342" s="200"/>
      <c r="I342" s="200"/>
      <c r="J342" s="419"/>
      <c r="K342" s="420"/>
      <c r="L342" s="421"/>
      <c r="M342" s="422"/>
      <c r="N342" s="203"/>
      <c r="O342" s="203"/>
      <c r="P342" s="201"/>
      <c r="Q342" s="416"/>
    </row>
    <row r="343" spans="1:17" ht="14.25" customHeight="1">
      <c r="A343" s="3"/>
      <c r="B343" s="3"/>
      <c r="C343" s="3"/>
      <c r="D343" s="3"/>
      <c r="E343" s="206"/>
      <c r="F343" s="417"/>
      <c r="G343" s="418"/>
      <c r="H343" s="200"/>
      <c r="I343" s="200"/>
      <c r="J343" s="419"/>
      <c r="K343" s="420"/>
      <c r="L343" s="421"/>
      <c r="M343" s="422"/>
      <c r="N343" s="203"/>
      <c r="O343" s="203"/>
      <c r="P343" s="201"/>
      <c r="Q343" s="416"/>
    </row>
    <row r="344" spans="1:17" ht="14.25" customHeight="1">
      <c r="A344" s="3"/>
      <c r="B344" s="3"/>
      <c r="C344" s="3"/>
      <c r="D344" s="3"/>
      <c r="E344" s="206"/>
      <c r="F344" s="417"/>
      <c r="G344" s="418"/>
      <c r="H344" s="200"/>
      <c r="I344" s="200"/>
      <c r="J344" s="419"/>
      <c r="K344" s="420"/>
      <c r="L344" s="421"/>
      <c r="M344" s="422"/>
      <c r="N344" s="203"/>
      <c r="O344" s="203"/>
      <c r="P344" s="201"/>
      <c r="Q344" s="416"/>
    </row>
    <row r="345" spans="1:17" ht="14.25" customHeight="1">
      <c r="A345" s="3"/>
      <c r="B345" s="3"/>
      <c r="C345" s="3"/>
      <c r="D345" s="3"/>
      <c r="E345" s="206"/>
      <c r="F345" s="417"/>
      <c r="G345" s="418"/>
      <c r="H345" s="200"/>
      <c r="I345" s="200"/>
      <c r="J345" s="419"/>
      <c r="K345" s="420"/>
      <c r="L345" s="421"/>
      <c r="M345" s="422"/>
      <c r="N345" s="203"/>
      <c r="O345" s="203"/>
      <c r="P345" s="201"/>
      <c r="Q345" s="416"/>
    </row>
    <row r="346" spans="1:17" ht="14.25" customHeight="1">
      <c r="A346" s="3"/>
      <c r="B346" s="3"/>
      <c r="C346" s="3"/>
      <c r="D346" s="3"/>
      <c r="E346" s="206"/>
      <c r="F346" s="417"/>
      <c r="G346" s="418"/>
      <c r="H346" s="200"/>
      <c r="I346" s="200"/>
      <c r="J346" s="419"/>
      <c r="K346" s="420"/>
      <c r="L346" s="421"/>
      <c r="M346" s="422"/>
      <c r="N346" s="203"/>
      <c r="O346" s="203"/>
      <c r="P346" s="201"/>
      <c r="Q346" s="416"/>
    </row>
    <row r="347" spans="1:17" ht="14.25" customHeight="1">
      <c r="A347" s="3"/>
      <c r="B347" s="3"/>
      <c r="C347" s="3"/>
      <c r="D347" s="3"/>
      <c r="E347" s="206"/>
      <c r="F347" s="417"/>
      <c r="G347" s="418"/>
      <c r="H347" s="200"/>
      <c r="I347" s="200"/>
      <c r="J347" s="419"/>
      <c r="K347" s="420"/>
      <c r="L347" s="421"/>
      <c r="M347" s="422"/>
      <c r="N347" s="203"/>
      <c r="O347" s="203"/>
      <c r="P347" s="201"/>
      <c r="Q347" s="416"/>
    </row>
    <row r="348" spans="1:17" ht="14.25" customHeight="1">
      <c r="A348" s="3"/>
      <c r="B348" s="3"/>
      <c r="C348" s="3"/>
      <c r="D348" s="3"/>
      <c r="E348" s="206"/>
      <c r="F348" s="417"/>
      <c r="G348" s="418"/>
      <c r="H348" s="200"/>
      <c r="I348" s="200"/>
      <c r="J348" s="419"/>
      <c r="K348" s="420"/>
      <c r="L348" s="421"/>
      <c r="M348" s="422"/>
      <c r="N348" s="203"/>
      <c r="O348" s="203"/>
      <c r="P348" s="201"/>
      <c r="Q348" s="416"/>
    </row>
    <row r="349" spans="1:17" ht="14.25" customHeight="1">
      <c r="A349" s="3"/>
      <c r="B349" s="3"/>
      <c r="C349" s="3"/>
      <c r="D349" s="3"/>
      <c r="E349" s="206"/>
      <c r="F349" s="417"/>
      <c r="G349" s="418"/>
      <c r="H349" s="200"/>
      <c r="I349" s="200"/>
      <c r="J349" s="419"/>
      <c r="K349" s="420"/>
      <c r="L349" s="421"/>
      <c r="M349" s="422"/>
      <c r="N349" s="203"/>
      <c r="O349" s="203"/>
      <c r="P349" s="201"/>
      <c r="Q349" s="416"/>
    </row>
    <row r="350" spans="1:17" ht="14.25" customHeight="1">
      <c r="A350" s="3"/>
      <c r="B350" s="3"/>
      <c r="C350" s="3"/>
      <c r="D350" s="3"/>
      <c r="E350" s="206"/>
      <c r="F350" s="417"/>
      <c r="G350" s="418"/>
      <c r="H350" s="200"/>
      <c r="I350" s="200"/>
      <c r="J350" s="419"/>
      <c r="K350" s="420"/>
      <c r="L350" s="421"/>
      <c r="M350" s="422"/>
      <c r="N350" s="203"/>
      <c r="O350" s="203"/>
      <c r="P350" s="201"/>
      <c r="Q350" s="416"/>
    </row>
    <row r="351" spans="1:17" ht="14.25" customHeight="1">
      <c r="A351" s="3"/>
      <c r="B351" s="3"/>
      <c r="C351" s="3"/>
      <c r="D351" s="3"/>
      <c r="E351" s="206"/>
      <c r="F351" s="417"/>
      <c r="G351" s="418"/>
      <c r="H351" s="200"/>
      <c r="I351" s="200"/>
      <c r="J351" s="419"/>
      <c r="K351" s="420"/>
      <c r="L351" s="421"/>
      <c r="M351" s="422"/>
      <c r="N351" s="203"/>
      <c r="O351" s="203"/>
      <c r="P351" s="201"/>
      <c r="Q351" s="416"/>
    </row>
    <row r="352" spans="1:17" ht="14.25" customHeight="1">
      <c r="A352" s="3"/>
      <c r="B352" s="3"/>
      <c r="C352" s="3"/>
      <c r="D352" s="3"/>
      <c r="E352" s="206"/>
      <c r="F352" s="417"/>
      <c r="G352" s="418"/>
      <c r="H352" s="200"/>
      <c r="I352" s="200"/>
      <c r="J352" s="419"/>
      <c r="K352" s="420"/>
      <c r="L352" s="421"/>
      <c r="M352" s="422"/>
      <c r="N352" s="203"/>
      <c r="O352" s="203"/>
      <c r="P352" s="201"/>
      <c r="Q352" s="416"/>
    </row>
    <row r="353" spans="1:17" ht="14.25" customHeight="1">
      <c r="A353" s="3"/>
      <c r="B353" s="3"/>
      <c r="C353" s="3"/>
      <c r="D353" s="3"/>
      <c r="E353" s="206"/>
      <c r="F353" s="417"/>
      <c r="G353" s="418"/>
      <c r="H353" s="200"/>
      <c r="I353" s="200"/>
      <c r="J353" s="419"/>
      <c r="K353" s="420"/>
      <c r="L353" s="421"/>
      <c r="M353" s="422"/>
      <c r="N353" s="203"/>
      <c r="O353" s="203"/>
      <c r="P353" s="201"/>
      <c r="Q353" s="416"/>
    </row>
    <row r="354" spans="1:17" ht="14.25" customHeight="1">
      <c r="A354" s="3"/>
      <c r="B354" s="3"/>
      <c r="C354" s="3"/>
      <c r="D354" s="3"/>
      <c r="E354" s="206"/>
      <c r="F354" s="417"/>
      <c r="G354" s="418"/>
      <c r="H354" s="200"/>
      <c r="I354" s="200"/>
      <c r="J354" s="419"/>
      <c r="K354" s="420"/>
      <c r="L354" s="421"/>
      <c r="M354" s="422"/>
      <c r="N354" s="203"/>
      <c r="O354" s="203"/>
      <c r="P354" s="201"/>
      <c r="Q354" s="416"/>
    </row>
    <row r="355" spans="1:17" ht="14.25" customHeight="1">
      <c r="A355" s="3"/>
      <c r="B355" s="3"/>
      <c r="C355" s="3"/>
      <c r="D355" s="3"/>
      <c r="E355" s="206"/>
      <c r="F355" s="417"/>
      <c r="G355" s="418"/>
      <c r="H355" s="200"/>
      <c r="I355" s="200"/>
      <c r="J355" s="419"/>
      <c r="K355" s="420"/>
      <c r="L355" s="421"/>
      <c r="M355" s="422"/>
      <c r="N355" s="203"/>
      <c r="O355" s="203"/>
      <c r="P355" s="201"/>
      <c r="Q355" s="416"/>
    </row>
    <row r="356" spans="1:17" ht="14.25" customHeight="1">
      <c r="A356" s="3"/>
      <c r="B356" s="3"/>
      <c r="C356" s="3"/>
      <c r="D356" s="3"/>
      <c r="E356" s="206"/>
      <c r="F356" s="417"/>
      <c r="G356" s="418"/>
      <c r="H356" s="200"/>
      <c r="I356" s="200"/>
      <c r="J356" s="419"/>
      <c r="K356" s="420"/>
      <c r="L356" s="421"/>
      <c r="M356" s="422"/>
      <c r="N356" s="203"/>
      <c r="O356" s="203"/>
      <c r="P356" s="201"/>
      <c r="Q356" s="416"/>
    </row>
    <row r="357" spans="1:17" ht="14.25" customHeight="1">
      <c r="A357" s="3"/>
      <c r="B357" s="3"/>
      <c r="C357" s="3"/>
      <c r="D357" s="3"/>
      <c r="E357" s="206"/>
      <c r="F357" s="417"/>
      <c r="G357" s="418"/>
      <c r="H357" s="200"/>
      <c r="I357" s="200"/>
      <c r="J357" s="419"/>
      <c r="K357" s="420"/>
      <c r="L357" s="421"/>
      <c r="M357" s="422"/>
      <c r="N357" s="203"/>
      <c r="O357" s="203"/>
      <c r="P357" s="201"/>
      <c r="Q357" s="416"/>
    </row>
    <row r="358" spans="1:17" ht="14.25" customHeight="1">
      <c r="A358" s="3"/>
      <c r="B358" s="3"/>
      <c r="C358" s="3"/>
      <c r="D358" s="3"/>
      <c r="E358" s="206"/>
      <c r="F358" s="417"/>
      <c r="G358" s="418"/>
      <c r="H358" s="200"/>
      <c r="I358" s="200"/>
      <c r="J358" s="419"/>
      <c r="K358" s="420"/>
      <c r="L358" s="421"/>
      <c r="M358" s="422"/>
      <c r="N358" s="203"/>
      <c r="O358" s="203"/>
      <c r="P358" s="201"/>
      <c r="Q358" s="416"/>
    </row>
    <row r="359" spans="1:17" ht="14.25" customHeight="1">
      <c r="A359" s="3"/>
      <c r="B359" s="3"/>
      <c r="C359" s="3"/>
      <c r="D359" s="3"/>
      <c r="E359" s="206"/>
      <c r="F359" s="417"/>
      <c r="G359" s="418"/>
      <c r="H359" s="200"/>
      <c r="I359" s="200"/>
      <c r="J359" s="419"/>
      <c r="K359" s="420"/>
      <c r="L359" s="421"/>
      <c r="M359" s="422"/>
      <c r="N359" s="203"/>
      <c r="O359" s="203"/>
      <c r="P359" s="201"/>
      <c r="Q359" s="416"/>
    </row>
    <row r="360" spans="1:17" ht="14.25" customHeight="1">
      <c r="A360" s="3"/>
      <c r="B360" s="3"/>
      <c r="C360" s="3"/>
      <c r="D360" s="3"/>
      <c r="E360" s="206"/>
      <c r="F360" s="417"/>
      <c r="G360" s="418"/>
      <c r="H360" s="200"/>
      <c r="I360" s="200"/>
      <c r="J360" s="419"/>
      <c r="K360" s="420"/>
      <c r="L360" s="421"/>
      <c r="M360" s="422"/>
      <c r="N360" s="203"/>
      <c r="O360" s="203"/>
      <c r="P360" s="201"/>
      <c r="Q360" s="416"/>
    </row>
    <row r="361" spans="1:17" ht="14.25" customHeight="1">
      <c r="A361" s="3"/>
      <c r="B361" s="3"/>
      <c r="C361" s="3"/>
      <c r="D361" s="3"/>
      <c r="E361" s="206"/>
      <c r="F361" s="417"/>
      <c r="G361" s="418"/>
      <c r="H361" s="200"/>
      <c r="I361" s="200"/>
      <c r="J361" s="419"/>
      <c r="K361" s="420"/>
      <c r="L361" s="421"/>
      <c r="M361" s="422"/>
      <c r="N361" s="203"/>
      <c r="O361" s="203"/>
      <c r="P361" s="201"/>
      <c r="Q361" s="416"/>
    </row>
    <row r="362" spans="1:17" ht="14.25" customHeight="1">
      <c r="A362" s="3"/>
      <c r="B362" s="3"/>
      <c r="C362" s="3"/>
      <c r="D362" s="3"/>
      <c r="E362" s="206"/>
      <c r="F362" s="417"/>
      <c r="G362" s="418"/>
      <c r="H362" s="200"/>
      <c r="I362" s="200"/>
      <c r="J362" s="419"/>
      <c r="K362" s="420"/>
      <c r="L362" s="421"/>
      <c r="M362" s="422"/>
      <c r="N362" s="203"/>
      <c r="O362" s="203"/>
      <c r="P362" s="201"/>
      <c r="Q362" s="416"/>
    </row>
    <row r="363" spans="1:17" ht="14.25" customHeight="1">
      <c r="A363" s="3"/>
      <c r="B363" s="3"/>
      <c r="C363" s="3"/>
      <c r="D363" s="3"/>
      <c r="E363" s="206"/>
      <c r="F363" s="417"/>
      <c r="G363" s="418"/>
      <c r="H363" s="200"/>
      <c r="I363" s="200"/>
      <c r="J363" s="419"/>
      <c r="K363" s="420"/>
      <c r="L363" s="421"/>
      <c r="M363" s="422"/>
      <c r="N363" s="203"/>
      <c r="O363" s="203"/>
      <c r="P363" s="201"/>
      <c r="Q363" s="416"/>
    </row>
    <row r="364" spans="1:17" ht="14.25" customHeight="1">
      <c r="A364" s="3"/>
      <c r="B364" s="3"/>
      <c r="C364" s="3"/>
      <c r="D364" s="3"/>
      <c r="E364" s="206"/>
      <c r="F364" s="417"/>
      <c r="G364" s="418"/>
      <c r="H364" s="200"/>
      <c r="I364" s="200"/>
      <c r="J364" s="419"/>
      <c r="K364" s="420"/>
      <c r="L364" s="421"/>
      <c r="M364" s="422"/>
      <c r="N364" s="203"/>
      <c r="O364" s="203"/>
      <c r="P364" s="201"/>
      <c r="Q364" s="416"/>
    </row>
    <row r="365" spans="1:17" ht="14.25" customHeight="1">
      <c r="A365" s="3"/>
      <c r="B365" s="3"/>
      <c r="C365" s="3"/>
      <c r="D365" s="3"/>
      <c r="E365" s="206"/>
      <c r="F365" s="417"/>
      <c r="G365" s="418"/>
      <c r="H365" s="200"/>
      <c r="I365" s="200"/>
      <c r="J365" s="419"/>
      <c r="K365" s="420"/>
      <c r="L365" s="421"/>
      <c r="M365" s="422"/>
      <c r="N365" s="203"/>
      <c r="O365" s="203"/>
      <c r="P365" s="201"/>
      <c r="Q365" s="416"/>
    </row>
    <row r="366" spans="1:17" ht="14.25" customHeight="1">
      <c r="A366" s="3"/>
      <c r="B366" s="3"/>
      <c r="C366" s="3"/>
      <c r="D366" s="3"/>
      <c r="E366" s="206"/>
      <c r="F366" s="417"/>
      <c r="G366" s="418"/>
      <c r="H366" s="200"/>
      <c r="I366" s="200"/>
      <c r="J366" s="419"/>
      <c r="K366" s="420"/>
      <c r="L366" s="421"/>
      <c r="M366" s="422"/>
      <c r="N366" s="203"/>
      <c r="O366" s="203"/>
      <c r="P366" s="201"/>
      <c r="Q366" s="416"/>
    </row>
    <row r="367" spans="1:17" ht="14.25" customHeight="1">
      <c r="A367" s="3"/>
      <c r="B367" s="3"/>
      <c r="C367" s="3"/>
      <c r="D367" s="3"/>
      <c r="E367" s="206"/>
      <c r="F367" s="417"/>
      <c r="G367" s="418"/>
      <c r="H367" s="200"/>
      <c r="I367" s="200"/>
      <c r="J367" s="419"/>
      <c r="K367" s="420"/>
      <c r="L367" s="421"/>
      <c r="M367" s="422"/>
      <c r="N367" s="203"/>
      <c r="O367" s="203"/>
      <c r="P367" s="201"/>
      <c r="Q367" s="416"/>
    </row>
    <row r="368" spans="1:17" ht="14.25" customHeight="1">
      <c r="A368" s="3"/>
      <c r="B368" s="3"/>
      <c r="C368" s="3"/>
      <c r="D368" s="3"/>
      <c r="E368" s="206"/>
      <c r="F368" s="417"/>
      <c r="G368" s="418"/>
      <c r="H368" s="200"/>
      <c r="I368" s="200"/>
      <c r="J368" s="419"/>
      <c r="K368" s="420"/>
      <c r="L368" s="421"/>
      <c r="M368" s="422"/>
      <c r="N368" s="203"/>
      <c r="O368" s="203"/>
      <c r="P368" s="201"/>
      <c r="Q368" s="416"/>
    </row>
    <row r="369" spans="1:17" ht="14.25" customHeight="1">
      <c r="A369" s="3"/>
      <c r="B369" s="3"/>
      <c r="C369" s="3"/>
      <c r="D369" s="3"/>
      <c r="E369" s="206"/>
      <c r="F369" s="417"/>
      <c r="G369" s="418"/>
      <c r="H369" s="200"/>
      <c r="I369" s="200"/>
      <c r="J369" s="419"/>
      <c r="K369" s="420"/>
      <c r="L369" s="421"/>
      <c r="M369" s="422"/>
      <c r="N369" s="203"/>
      <c r="O369" s="203"/>
      <c r="P369" s="201"/>
      <c r="Q369" s="416"/>
    </row>
    <row r="370" spans="1:17" ht="14.25" customHeight="1">
      <c r="A370" s="3"/>
      <c r="B370" s="3"/>
      <c r="C370" s="3"/>
      <c r="D370" s="3"/>
      <c r="E370" s="206"/>
      <c r="F370" s="417"/>
      <c r="G370" s="418"/>
      <c r="H370" s="200"/>
      <c r="I370" s="200"/>
      <c r="J370" s="419"/>
      <c r="K370" s="420"/>
      <c r="L370" s="421"/>
      <c r="M370" s="422"/>
      <c r="N370" s="203"/>
      <c r="O370" s="203"/>
      <c r="P370" s="201"/>
      <c r="Q370" s="416"/>
    </row>
    <row r="371" spans="1:17" ht="14.25" customHeight="1">
      <c r="A371" s="3"/>
      <c r="B371" s="3"/>
      <c r="C371" s="3"/>
      <c r="D371" s="3"/>
      <c r="E371" s="206"/>
      <c r="F371" s="417"/>
      <c r="G371" s="418"/>
      <c r="H371" s="200"/>
      <c r="I371" s="200"/>
      <c r="J371" s="419"/>
      <c r="K371" s="420"/>
      <c r="L371" s="421"/>
      <c r="M371" s="422"/>
      <c r="N371" s="203"/>
      <c r="O371" s="203"/>
      <c r="P371" s="201"/>
      <c r="Q371" s="416"/>
    </row>
    <row r="372" spans="1:17" ht="14.25" customHeight="1">
      <c r="A372" s="3"/>
      <c r="B372" s="3"/>
      <c r="C372" s="3"/>
      <c r="D372" s="3"/>
      <c r="E372" s="206"/>
      <c r="F372" s="417"/>
      <c r="G372" s="418"/>
      <c r="H372" s="200"/>
      <c r="I372" s="200"/>
      <c r="J372" s="419"/>
      <c r="K372" s="420"/>
      <c r="L372" s="421"/>
      <c r="M372" s="422"/>
      <c r="N372" s="203"/>
      <c r="O372" s="203"/>
      <c r="P372" s="201"/>
      <c r="Q372" s="416"/>
    </row>
    <row r="373" spans="1:17" ht="14.25" customHeight="1">
      <c r="A373" s="3"/>
      <c r="B373" s="3"/>
      <c r="C373" s="3"/>
      <c r="D373" s="3"/>
      <c r="E373" s="206"/>
      <c r="F373" s="417"/>
      <c r="G373" s="418"/>
      <c r="H373" s="200"/>
      <c r="I373" s="200"/>
      <c r="J373" s="419"/>
      <c r="K373" s="420"/>
      <c r="L373" s="421"/>
      <c r="M373" s="422"/>
      <c r="N373" s="203"/>
      <c r="O373" s="203"/>
      <c r="P373" s="201"/>
      <c r="Q373" s="416"/>
    </row>
    <row r="374" spans="1:17" ht="14.25" customHeight="1">
      <c r="A374" s="3"/>
      <c r="B374" s="3"/>
      <c r="C374" s="3"/>
      <c r="D374" s="3"/>
      <c r="E374" s="206"/>
      <c r="F374" s="417"/>
      <c r="G374" s="418"/>
      <c r="H374" s="200"/>
      <c r="I374" s="200"/>
      <c r="J374" s="419"/>
      <c r="K374" s="420"/>
      <c r="L374" s="421"/>
      <c r="M374" s="422"/>
      <c r="N374" s="203"/>
      <c r="O374" s="203"/>
      <c r="P374" s="201"/>
      <c r="Q374" s="416"/>
    </row>
    <row r="375" spans="1:17" ht="14.25" customHeight="1">
      <c r="A375" s="3"/>
      <c r="B375" s="3"/>
      <c r="C375" s="3"/>
      <c r="D375" s="3"/>
      <c r="E375" s="206"/>
      <c r="F375" s="417"/>
      <c r="G375" s="418"/>
      <c r="H375" s="200"/>
      <c r="I375" s="200"/>
      <c r="J375" s="419"/>
      <c r="K375" s="420"/>
      <c r="L375" s="421"/>
      <c r="M375" s="422"/>
      <c r="N375" s="203"/>
      <c r="O375" s="203"/>
      <c r="P375" s="201"/>
      <c r="Q375" s="416"/>
    </row>
    <row r="376" spans="1:17" ht="14.25" customHeight="1">
      <c r="A376" s="3"/>
      <c r="B376" s="3"/>
      <c r="C376" s="3"/>
      <c r="D376" s="3"/>
      <c r="E376" s="206"/>
      <c r="F376" s="417"/>
      <c r="G376" s="418"/>
      <c r="H376" s="200"/>
      <c r="I376" s="200"/>
      <c r="J376" s="419"/>
      <c r="K376" s="420"/>
      <c r="L376" s="421"/>
      <c r="M376" s="422"/>
      <c r="N376" s="203"/>
      <c r="O376" s="203"/>
      <c r="P376" s="201"/>
      <c r="Q376" s="416"/>
    </row>
    <row r="377" spans="1:17" ht="14.25" customHeight="1">
      <c r="A377" s="3"/>
      <c r="B377" s="3"/>
      <c r="C377" s="3"/>
      <c r="D377" s="3"/>
      <c r="E377" s="206"/>
      <c r="F377" s="417"/>
      <c r="G377" s="418"/>
      <c r="H377" s="200"/>
      <c r="I377" s="200"/>
      <c r="J377" s="419"/>
      <c r="K377" s="420"/>
      <c r="L377" s="421"/>
      <c r="M377" s="422"/>
      <c r="N377" s="203"/>
      <c r="O377" s="203"/>
      <c r="P377" s="201"/>
      <c r="Q377" s="416"/>
    </row>
    <row r="378" spans="1:17" ht="14.25" customHeight="1">
      <c r="A378" s="3"/>
      <c r="B378" s="3"/>
      <c r="C378" s="3"/>
      <c r="D378" s="3"/>
      <c r="E378" s="206"/>
      <c r="F378" s="417"/>
      <c r="G378" s="418"/>
      <c r="H378" s="200"/>
      <c r="I378" s="200"/>
      <c r="J378" s="419"/>
      <c r="K378" s="420"/>
      <c r="L378" s="421"/>
      <c r="M378" s="422"/>
      <c r="N378" s="203"/>
      <c r="O378" s="203"/>
      <c r="P378" s="201"/>
      <c r="Q378" s="416"/>
    </row>
    <row r="379" spans="1:17" ht="14.25" customHeight="1">
      <c r="A379" s="3"/>
      <c r="B379" s="3"/>
      <c r="C379" s="3"/>
      <c r="D379" s="3"/>
      <c r="E379" s="206"/>
      <c r="F379" s="417"/>
      <c r="G379" s="418"/>
      <c r="H379" s="200"/>
      <c r="I379" s="200"/>
      <c r="J379" s="419"/>
      <c r="K379" s="420"/>
      <c r="L379" s="421"/>
      <c r="M379" s="422"/>
      <c r="N379" s="203"/>
      <c r="O379" s="203"/>
      <c r="P379" s="201"/>
      <c r="Q379" s="416"/>
    </row>
    <row r="380" spans="1:17" ht="14.25" customHeight="1">
      <c r="A380" s="3"/>
      <c r="B380" s="3"/>
      <c r="C380" s="3"/>
      <c r="D380" s="3"/>
      <c r="E380" s="206"/>
      <c r="F380" s="417"/>
      <c r="G380" s="418"/>
      <c r="H380" s="200"/>
      <c r="I380" s="200"/>
      <c r="J380" s="419"/>
      <c r="K380" s="420"/>
      <c r="L380" s="421"/>
      <c r="M380" s="422"/>
      <c r="N380" s="203"/>
      <c r="O380" s="203"/>
      <c r="P380" s="201"/>
      <c r="Q380" s="416"/>
    </row>
    <row r="381" spans="1:17" ht="14.25" customHeight="1">
      <c r="A381" s="3"/>
      <c r="B381" s="3"/>
      <c r="C381" s="3"/>
      <c r="D381" s="3"/>
      <c r="E381" s="206"/>
      <c r="F381" s="417"/>
      <c r="G381" s="418"/>
      <c r="H381" s="200"/>
      <c r="I381" s="200"/>
      <c r="J381" s="419"/>
      <c r="K381" s="420"/>
      <c r="L381" s="421"/>
      <c r="M381" s="422"/>
      <c r="N381" s="203"/>
      <c r="O381" s="203"/>
      <c r="P381" s="201"/>
      <c r="Q381" s="416"/>
    </row>
    <row r="382" spans="1:17" ht="14.25" customHeight="1">
      <c r="A382" s="3"/>
      <c r="B382" s="3"/>
      <c r="C382" s="3"/>
      <c r="D382" s="3"/>
      <c r="E382" s="206"/>
      <c r="F382" s="417"/>
      <c r="G382" s="418"/>
      <c r="H382" s="200"/>
      <c r="I382" s="200"/>
      <c r="J382" s="419"/>
      <c r="K382" s="420"/>
      <c r="L382" s="421"/>
      <c r="M382" s="422"/>
      <c r="N382" s="203"/>
      <c r="O382" s="203"/>
      <c r="P382" s="201"/>
      <c r="Q382" s="416"/>
    </row>
    <row r="383" spans="1:17" ht="14.25" customHeight="1">
      <c r="A383" s="3"/>
      <c r="B383" s="3"/>
      <c r="C383" s="3"/>
      <c r="D383" s="3"/>
      <c r="E383" s="206"/>
      <c r="F383" s="417"/>
      <c r="G383" s="418"/>
      <c r="H383" s="200"/>
      <c r="I383" s="200"/>
      <c r="J383" s="419"/>
      <c r="K383" s="420"/>
      <c r="L383" s="421"/>
      <c r="M383" s="422"/>
      <c r="N383" s="203"/>
      <c r="O383" s="203"/>
      <c r="P383" s="201"/>
      <c r="Q383" s="416"/>
    </row>
    <row r="384" spans="1:17" ht="14.25" customHeight="1">
      <c r="A384" s="3"/>
      <c r="B384" s="3"/>
      <c r="C384" s="3"/>
      <c r="D384" s="3"/>
      <c r="E384" s="206"/>
      <c r="F384" s="417"/>
      <c r="G384" s="418"/>
      <c r="H384" s="200"/>
      <c r="I384" s="200"/>
      <c r="J384" s="419"/>
      <c r="K384" s="420"/>
      <c r="L384" s="421"/>
      <c r="M384" s="422"/>
      <c r="N384" s="203"/>
      <c r="O384" s="203"/>
      <c r="P384" s="201"/>
      <c r="Q384" s="416"/>
    </row>
    <row r="385" spans="1:17" ht="14.25" customHeight="1">
      <c r="A385" s="3"/>
      <c r="B385" s="3"/>
      <c r="C385" s="3"/>
      <c r="D385" s="3"/>
      <c r="E385" s="206"/>
      <c r="F385" s="417"/>
      <c r="G385" s="418"/>
      <c r="H385" s="200"/>
      <c r="I385" s="200"/>
      <c r="J385" s="419"/>
      <c r="K385" s="420"/>
      <c r="L385" s="421"/>
      <c r="M385" s="422"/>
      <c r="N385" s="203"/>
      <c r="O385" s="203"/>
      <c r="P385" s="201"/>
      <c r="Q385" s="416"/>
    </row>
    <row r="386" spans="1:17" ht="14.25" customHeight="1">
      <c r="A386" s="3"/>
      <c r="B386" s="3"/>
      <c r="C386" s="3"/>
      <c r="D386" s="3"/>
      <c r="E386" s="206"/>
      <c r="F386" s="417"/>
      <c r="G386" s="418"/>
      <c r="H386" s="200"/>
      <c r="I386" s="200"/>
      <c r="J386" s="419"/>
      <c r="K386" s="420"/>
      <c r="L386" s="421"/>
      <c r="M386" s="422"/>
      <c r="N386" s="203"/>
      <c r="O386" s="203"/>
      <c r="P386" s="201"/>
      <c r="Q386" s="416"/>
    </row>
    <row r="387" spans="1:17" ht="14.25" customHeight="1">
      <c r="A387" s="3"/>
      <c r="B387" s="3"/>
      <c r="C387" s="3"/>
      <c r="D387" s="3"/>
      <c r="E387" s="206"/>
      <c r="F387" s="417"/>
      <c r="G387" s="418"/>
      <c r="H387" s="200"/>
      <c r="I387" s="200"/>
      <c r="J387" s="419"/>
      <c r="K387" s="420"/>
      <c r="L387" s="421"/>
      <c r="M387" s="422"/>
      <c r="N387" s="203"/>
      <c r="O387" s="203"/>
      <c r="P387" s="201"/>
      <c r="Q387" s="416"/>
    </row>
    <row r="388" spans="1:17" ht="14.25" customHeight="1">
      <c r="A388" s="3"/>
      <c r="B388" s="3"/>
      <c r="C388" s="3"/>
      <c r="D388" s="3"/>
      <c r="E388" s="206"/>
      <c r="F388" s="417"/>
      <c r="G388" s="418"/>
      <c r="H388" s="200"/>
      <c r="I388" s="200"/>
      <c r="J388" s="419"/>
      <c r="K388" s="420"/>
      <c r="L388" s="421"/>
      <c r="M388" s="422"/>
      <c r="N388" s="203"/>
      <c r="O388" s="203"/>
      <c r="P388" s="201"/>
      <c r="Q388" s="416"/>
    </row>
    <row r="389" spans="1:17" ht="14.25" customHeight="1">
      <c r="A389" s="3"/>
      <c r="B389" s="3"/>
      <c r="C389" s="3"/>
      <c r="D389" s="3"/>
      <c r="E389" s="206"/>
      <c r="F389" s="417"/>
      <c r="G389" s="418"/>
      <c r="H389" s="200"/>
      <c r="I389" s="200"/>
      <c r="J389" s="419"/>
      <c r="K389" s="420"/>
      <c r="L389" s="421"/>
      <c r="M389" s="422"/>
      <c r="N389" s="203"/>
      <c r="O389" s="203"/>
      <c r="P389" s="201"/>
      <c r="Q389" s="416"/>
    </row>
    <row r="390" spans="1:17" ht="14.25" customHeight="1">
      <c r="A390" s="3"/>
      <c r="B390" s="3"/>
      <c r="C390" s="3"/>
      <c r="D390" s="3"/>
      <c r="E390" s="206"/>
      <c r="F390" s="417"/>
      <c r="G390" s="418"/>
      <c r="H390" s="200"/>
      <c r="I390" s="200"/>
      <c r="J390" s="419"/>
      <c r="K390" s="420"/>
      <c r="L390" s="421"/>
      <c r="M390" s="422"/>
      <c r="N390" s="203"/>
      <c r="O390" s="203"/>
      <c r="P390" s="201"/>
      <c r="Q390" s="416"/>
    </row>
    <row r="391" spans="1:17" ht="14.25" customHeight="1">
      <c r="A391" s="3"/>
      <c r="B391" s="3"/>
      <c r="C391" s="3"/>
      <c r="D391" s="3"/>
      <c r="E391" s="206"/>
      <c r="F391" s="417"/>
      <c r="G391" s="418"/>
      <c r="H391" s="200"/>
      <c r="I391" s="200"/>
      <c r="J391" s="419"/>
      <c r="K391" s="420"/>
      <c r="L391" s="421"/>
      <c r="M391" s="422"/>
      <c r="N391" s="203"/>
      <c r="O391" s="203"/>
      <c r="P391" s="201"/>
      <c r="Q391" s="416"/>
    </row>
    <row r="392" spans="1:17" ht="14.25" customHeight="1">
      <c r="A392" s="3"/>
      <c r="B392" s="3"/>
      <c r="C392" s="3"/>
      <c r="D392" s="3"/>
      <c r="E392" s="206"/>
      <c r="F392" s="417"/>
      <c r="G392" s="418"/>
      <c r="H392" s="200"/>
      <c r="I392" s="200"/>
      <c r="J392" s="419"/>
      <c r="K392" s="420"/>
      <c r="L392" s="421"/>
      <c r="M392" s="422"/>
      <c r="N392" s="203"/>
      <c r="O392" s="203"/>
      <c r="P392" s="201"/>
      <c r="Q392" s="416"/>
    </row>
    <row r="393" spans="1:17" ht="14.25" customHeight="1">
      <c r="A393" s="3"/>
      <c r="B393" s="3"/>
      <c r="C393" s="3"/>
      <c r="D393" s="3"/>
      <c r="E393" s="206"/>
      <c r="F393" s="417"/>
      <c r="G393" s="418"/>
      <c r="H393" s="200"/>
      <c r="I393" s="200"/>
      <c r="J393" s="419"/>
      <c r="K393" s="420"/>
      <c r="L393" s="421"/>
      <c r="M393" s="422"/>
      <c r="N393" s="203"/>
      <c r="O393" s="203"/>
      <c r="P393" s="201"/>
      <c r="Q393" s="416"/>
    </row>
    <row r="394" spans="1:17" ht="14.25" customHeight="1">
      <c r="A394" s="3"/>
      <c r="B394" s="3"/>
      <c r="C394" s="3"/>
      <c r="D394" s="3"/>
      <c r="E394" s="206"/>
      <c r="F394" s="417"/>
      <c r="G394" s="418"/>
      <c r="H394" s="200"/>
      <c r="I394" s="200"/>
      <c r="J394" s="419"/>
      <c r="K394" s="420"/>
      <c r="L394" s="421"/>
      <c r="M394" s="422"/>
      <c r="N394" s="203"/>
      <c r="O394" s="203"/>
      <c r="P394" s="201"/>
      <c r="Q394" s="416"/>
    </row>
    <row r="395" spans="1:17" ht="14.25" customHeight="1">
      <c r="A395" s="3"/>
      <c r="B395" s="3"/>
      <c r="C395" s="3"/>
      <c r="D395" s="3"/>
      <c r="E395" s="206"/>
      <c r="F395" s="417"/>
      <c r="G395" s="418"/>
      <c r="H395" s="200"/>
      <c r="I395" s="200"/>
      <c r="J395" s="419"/>
      <c r="K395" s="420"/>
      <c r="L395" s="421"/>
      <c r="M395" s="422"/>
      <c r="N395" s="203"/>
      <c r="O395" s="203"/>
      <c r="P395" s="201"/>
      <c r="Q395" s="416"/>
    </row>
    <row r="396" spans="1:17" ht="14.25" customHeight="1">
      <c r="A396" s="3"/>
      <c r="B396" s="3"/>
      <c r="C396" s="3"/>
      <c r="D396" s="3"/>
      <c r="E396" s="206"/>
      <c r="F396" s="417"/>
      <c r="G396" s="418"/>
      <c r="H396" s="200"/>
      <c r="I396" s="200"/>
      <c r="J396" s="419"/>
      <c r="K396" s="420"/>
      <c r="L396" s="421"/>
      <c r="M396" s="422"/>
      <c r="N396" s="203"/>
      <c r="O396" s="203"/>
      <c r="P396" s="201"/>
      <c r="Q396" s="416"/>
    </row>
    <row r="397" spans="1:17" ht="14.25" customHeight="1">
      <c r="A397" s="3"/>
      <c r="B397" s="3"/>
      <c r="C397" s="3"/>
      <c r="D397" s="3"/>
      <c r="E397" s="206"/>
      <c r="F397" s="417"/>
      <c r="G397" s="418"/>
      <c r="H397" s="200"/>
      <c r="I397" s="200"/>
      <c r="J397" s="419"/>
      <c r="K397" s="420"/>
      <c r="L397" s="421"/>
      <c r="M397" s="422"/>
      <c r="N397" s="203"/>
      <c r="O397" s="203"/>
      <c r="P397" s="201"/>
      <c r="Q397" s="416"/>
    </row>
    <row r="398" spans="1:17" ht="14.25" customHeight="1">
      <c r="A398" s="3"/>
      <c r="B398" s="3"/>
      <c r="C398" s="3"/>
      <c r="D398" s="3"/>
      <c r="E398" s="206"/>
      <c r="F398" s="417"/>
      <c r="G398" s="418"/>
      <c r="H398" s="200"/>
      <c r="I398" s="200"/>
      <c r="J398" s="419"/>
      <c r="K398" s="420"/>
      <c r="L398" s="421"/>
      <c r="M398" s="422"/>
      <c r="N398" s="203"/>
      <c r="O398" s="203"/>
      <c r="P398" s="201"/>
      <c r="Q398" s="416"/>
    </row>
    <row r="399" spans="1:17" ht="14.25" customHeight="1">
      <c r="A399" s="3"/>
      <c r="B399" s="3"/>
      <c r="C399" s="3"/>
      <c r="D399" s="3"/>
      <c r="E399" s="206"/>
      <c r="F399" s="417"/>
      <c r="G399" s="418"/>
      <c r="H399" s="200"/>
      <c r="I399" s="200"/>
      <c r="J399" s="419"/>
      <c r="K399" s="420"/>
      <c r="L399" s="421"/>
      <c r="M399" s="422"/>
      <c r="N399" s="203"/>
      <c r="O399" s="203"/>
      <c r="P399" s="201"/>
      <c r="Q399" s="416"/>
    </row>
    <row r="400" spans="1:17" ht="14.25" customHeight="1">
      <c r="A400" s="3"/>
      <c r="B400" s="3"/>
      <c r="C400" s="3"/>
      <c r="D400" s="3"/>
      <c r="E400" s="206"/>
      <c r="F400" s="417"/>
      <c r="G400" s="418"/>
      <c r="H400" s="200"/>
      <c r="I400" s="200"/>
      <c r="J400" s="419"/>
      <c r="K400" s="420"/>
      <c r="L400" s="421"/>
      <c r="M400" s="422"/>
      <c r="N400" s="203"/>
      <c r="O400" s="203"/>
      <c r="P400" s="201"/>
      <c r="Q400" s="416"/>
    </row>
    <row r="401" spans="1:17" ht="14.25" customHeight="1">
      <c r="A401" s="3"/>
      <c r="B401" s="3"/>
      <c r="C401" s="3"/>
      <c r="D401" s="3"/>
      <c r="E401" s="206"/>
      <c r="F401" s="417"/>
      <c r="G401" s="418"/>
      <c r="H401" s="200"/>
      <c r="I401" s="200"/>
      <c r="J401" s="419"/>
      <c r="K401" s="420"/>
      <c r="L401" s="421"/>
      <c r="M401" s="422"/>
      <c r="N401" s="203"/>
      <c r="O401" s="203"/>
      <c r="P401" s="201"/>
      <c r="Q401" s="416"/>
    </row>
    <row r="402" spans="1:17" ht="14.25" customHeight="1">
      <c r="A402" s="3"/>
      <c r="B402" s="3"/>
      <c r="C402" s="3"/>
      <c r="D402" s="3"/>
      <c r="E402" s="206"/>
      <c r="F402" s="417"/>
      <c r="G402" s="418"/>
      <c r="H402" s="200"/>
      <c r="I402" s="200"/>
      <c r="J402" s="419"/>
      <c r="K402" s="420"/>
      <c r="L402" s="421"/>
      <c r="M402" s="422"/>
      <c r="N402" s="203"/>
      <c r="O402" s="203"/>
      <c r="P402" s="201"/>
      <c r="Q402" s="416"/>
    </row>
    <row r="403" spans="1:17" ht="14.25" customHeight="1">
      <c r="A403" s="3"/>
      <c r="B403" s="3"/>
      <c r="C403" s="3"/>
      <c r="D403" s="3"/>
      <c r="E403" s="206"/>
      <c r="F403" s="417"/>
      <c r="G403" s="418"/>
      <c r="H403" s="200"/>
      <c r="I403" s="200"/>
      <c r="J403" s="419"/>
      <c r="K403" s="420"/>
      <c r="L403" s="421"/>
      <c r="M403" s="422"/>
      <c r="N403" s="203"/>
      <c r="O403" s="203"/>
      <c r="P403" s="201"/>
      <c r="Q403" s="416"/>
    </row>
    <row r="404" spans="1:17" ht="14.25" customHeight="1">
      <c r="A404" s="3"/>
      <c r="B404" s="3"/>
      <c r="C404" s="3"/>
      <c r="D404" s="3"/>
      <c r="E404" s="206"/>
      <c r="F404" s="417"/>
      <c r="G404" s="418"/>
      <c r="H404" s="200"/>
      <c r="I404" s="200"/>
      <c r="J404" s="419"/>
      <c r="K404" s="420"/>
      <c r="L404" s="421"/>
      <c r="M404" s="422"/>
      <c r="N404" s="203"/>
      <c r="O404" s="203"/>
      <c r="P404" s="201"/>
      <c r="Q404" s="416"/>
    </row>
    <row r="405" spans="1:17" ht="14.25" customHeight="1">
      <c r="A405" s="3"/>
      <c r="B405" s="3"/>
      <c r="C405" s="3"/>
      <c r="D405" s="3"/>
      <c r="E405" s="206"/>
      <c r="F405" s="417"/>
      <c r="G405" s="418"/>
      <c r="H405" s="200"/>
      <c r="I405" s="200"/>
      <c r="J405" s="419"/>
      <c r="K405" s="420"/>
      <c r="L405" s="421"/>
      <c r="M405" s="422"/>
      <c r="N405" s="203"/>
      <c r="O405" s="203"/>
      <c r="P405" s="201"/>
      <c r="Q405" s="416"/>
    </row>
    <row r="406" spans="1:17" ht="14.25" customHeight="1">
      <c r="A406" s="3"/>
      <c r="B406" s="3"/>
      <c r="C406" s="3"/>
      <c r="D406" s="3"/>
      <c r="E406" s="206"/>
      <c r="F406" s="417"/>
      <c r="G406" s="418"/>
      <c r="H406" s="200"/>
      <c r="I406" s="200"/>
      <c r="J406" s="419"/>
      <c r="K406" s="420"/>
      <c r="L406" s="421"/>
      <c r="M406" s="422"/>
      <c r="N406" s="203"/>
      <c r="O406" s="203"/>
      <c r="P406" s="201"/>
      <c r="Q406" s="416"/>
    </row>
    <row r="407" spans="1:17" ht="14.25" customHeight="1">
      <c r="A407" s="3"/>
      <c r="B407" s="3"/>
      <c r="C407" s="3"/>
      <c r="D407" s="3"/>
      <c r="E407" s="206"/>
      <c r="F407" s="417"/>
      <c r="G407" s="418"/>
      <c r="H407" s="200"/>
      <c r="I407" s="200"/>
      <c r="J407" s="419"/>
      <c r="K407" s="420"/>
      <c r="L407" s="421"/>
      <c r="M407" s="422"/>
      <c r="N407" s="203"/>
      <c r="O407" s="203"/>
      <c r="P407" s="201"/>
      <c r="Q407" s="416"/>
    </row>
    <row r="408" spans="1:17" ht="14.25" customHeight="1">
      <c r="A408" s="3"/>
      <c r="B408" s="3"/>
      <c r="C408" s="3"/>
      <c r="D408" s="3"/>
      <c r="E408" s="206"/>
      <c r="F408" s="417"/>
      <c r="G408" s="418"/>
      <c r="H408" s="200"/>
      <c r="I408" s="200"/>
      <c r="J408" s="419"/>
      <c r="K408" s="420"/>
      <c r="L408" s="421"/>
      <c r="M408" s="422"/>
      <c r="N408" s="203"/>
      <c r="O408" s="203"/>
      <c r="P408" s="201"/>
      <c r="Q408" s="416"/>
    </row>
    <row r="409" spans="1:17" ht="14.25" customHeight="1">
      <c r="A409" s="3"/>
      <c r="B409" s="3"/>
      <c r="C409" s="3"/>
      <c r="D409" s="3"/>
      <c r="E409" s="206"/>
      <c r="F409" s="417"/>
      <c r="G409" s="418"/>
      <c r="H409" s="200"/>
      <c r="I409" s="200"/>
      <c r="J409" s="419"/>
      <c r="K409" s="420"/>
      <c r="L409" s="421"/>
      <c r="M409" s="422"/>
      <c r="N409" s="203"/>
      <c r="O409" s="203"/>
      <c r="P409" s="201"/>
      <c r="Q409" s="416"/>
    </row>
    <row r="410" spans="1:17" ht="14.25" customHeight="1">
      <c r="A410" s="3"/>
      <c r="B410" s="3"/>
      <c r="C410" s="3"/>
      <c r="D410" s="3"/>
      <c r="E410" s="206"/>
      <c r="F410" s="417"/>
      <c r="G410" s="418"/>
      <c r="H410" s="200"/>
      <c r="I410" s="200"/>
      <c r="J410" s="419"/>
      <c r="K410" s="420"/>
      <c r="L410" s="421"/>
      <c r="M410" s="422"/>
      <c r="N410" s="203"/>
      <c r="O410" s="203"/>
      <c r="P410" s="201"/>
      <c r="Q410" s="416"/>
    </row>
    <row r="411" spans="1:17" ht="14.25" customHeight="1">
      <c r="A411" s="3"/>
      <c r="B411" s="3"/>
      <c r="C411" s="3"/>
      <c r="D411" s="3"/>
      <c r="E411" s="206"/>
      <c r="F411" s="417"/>
      <c r="G411" s="418"/>
      <c r="H411" s="200"/>
      <c r="I411" s="200"/>
      <c r="J411" s="419"/>
      <c r="K411" s="420"/>
      <c r="L411" s="421"/>
      <c r="M411" s="422"/>
      <c r="N411" s="203"/>
      <c r="O411" s="203"/>
      <c r="P411" s="201"/>
      <c r="Q411" s="416"/>
    </row>
    <row r="412" spans="1:17" ht="14.25" customHeight="1">
      <c r="A412" s="3"/>
      <c r="B412" s="3"/>
      <c r="C412" s="3"/>
      <c r="D412" s="3"/>
      <c r="E412" s="206"/>
      <c r="F412" s="417"/>
      <c r="G412" s="418"/>
      <c r="H412" s="200"/>
      <c r="I412" s="200"/>
      <c r="J412" s="419"/>
      <c r="K412" s="420"/>
      <c r="L412" s="421"/>
      <c r="M412" s="422"/>
      <c r="N412" s="203"/>
      <c r="O412" s="203"/>
      <c r="P412" s="201"/>
      <c r="Q412" s="416"/>
    </row>
    <row r="413" spans="1:17" ht="14.25" customHeight="1">
      <c r="A413" s="3"/>
      <c r="B413" s="3"/>
      <c r="C413" s="3"/>
      <c r="D413" s="3"/>
      <c r="E413" s="206"/>
      <c r="F413" s="417"/>
      <c r="G413" s="418"/>
      <c r="H413" s="200"/>
      <c r="I413" s="200"/>
      <c r="J413" s="419"/>
      <c r="K413" s="420"/>
      <c r="L413" s="421"/>
      <c r="M413" s="422"/>
      <c r="N413" s="203"/>
      <c r="O413" s="203"/>
      <c r="P413" s="201"/>
      <c r="Q413" s="416"/>
    </row>
    <row r="414" spans="1:17" ht="14.25" customHeight="1">
      <c r="A414" s="3"/>
      <c r="B414" s="3"/>
      <c r="C414" s="3"/>
      <c r="D414" s="3"/>
      <c r="E414" s="206"/>
      <c r="F414" s="417"/>
      <c r="G414" s="418"/>
      <c r="H414" s="200"/>
      <c r="I414" s="200"/>
      <c r="J414" s="419"/>
      <c r="K414" s="420"/>
      <c r="L414" s="421"/>
      <c r="M414" s="422"/>
      <c r="N414" s="203"/>
      <c r="O414" s="203"/>
      <c r="P414" s="201"/>
      <c r="Q414" s="416"/>
    </row>
    <row r="415" spans="1:17" ht="14.25" customHeight="1">
      <c r="A415" s="3"/>
      <c r="B415" s="3"/>
      <c r="C415" s="3"/>
      <c r="D415" s="3"/>
      <c r="E415" s="206"/>
      <c r="F415" s="417"/>
      <c r="G415" s="418"/>
      <c r="H415" s="200"/>
      <c r="I415" s="200"/>
      <c r="J415" s="419"/>
      <c r="K415" s="420"/>
      <c r="L415" s="421"/>
      <c r="M415" s="422"/>
      <c r="N415" s="203"/>
      <c r="O415" s="203"/>
      <c r="P415" s="201"/>
      <c r="Q415" s="416"/>
    </row>
    <row r="416" spans="1:17" ht="14.25" customHeight="1">
      <c r="A416" s="3"/>
      <c r="B416" s="3"/>
      <c r="C416" s="3"/>
      <c r="D416" s="3"/>
      <c r="E416" s="206"/>
      <c r="F416" s="417"/>
      <c r="G416" s="418"/>
      <c r="H416" s="200"/>
      <c r="I416" s="200"/>
      <c r="J416" s="419"/>
      <c r="K416" s="420"/>
      <c r="L416" s="421"/>
      <c r="M416" s="422"/>
      <c r="N416" s="203"/>
      <c r="O416" s="203"/>
      <c r="P416" s="201"/>
      <c r="Q416" s="416"/>
    </row>
    <row r="417" spans="1:17" ht="14.25" customHeight="1">
      <c r="A417" s="3"/>
      <c r="B417" s="3"/>
      <c r="C417" s="3"/>
      <c r="D417" s="3"/>
      <c r="E417" s="206"/>
      <c r="F417" s="417"/>
      <c r="G417" s="418"/>
      <c r="H417" s="200"/>
      <c r="I417" s="200"/>
      <c r="J417" s="419"/>
      <c r="K417" s="420"/>
      <c r="L417" s="421"/>
      <c r="M417" s="422"/>
      <c r="N417" s="203"/>
      <c r="O417" s="203"/>
      <c r="P417" s="201"/>
      <c r="Q417" s="416"/>
    </row>
    <row r="418" spans="1:17" ht="14.25" customHeight="1">
      <c r="A418" s="3"/>
      <c r="B418" s="3"/>
      <c r="C418" s="3"/>
      <c r="D418" s="3"/>
      <c r="E418" s="206"/>
      <c r="F418" s="417"/>
      <c r="G418" s="418"/>
      <c r="H418" s="200"/>
      <c r="I418" s="200"/>
      <c r="J418" s="419"/>
      <c r="K418" s="420"/>
      <c r="L418" s="421"/>
      <c r="M418" s="422"/>
      <c r="N418" s="203"/>
      <c r="O418" s="203"/>
      <c r="P418" s="201"/>
      <c r="Q418" s="416"/>
    </row>
    <row r="419" spans="1:17" ht="14.25" customHeight="1">
      <c r="A419" s="3"/>
      <c r="B419" s="3"/>
      <c r="C419" s="3"/>
      <c r="D419" s="3"/>
      <c r="E419" s="206"/>
      <c r="F419" s="417"/>
      <c r="G419" s="418"/>
      <c r="H419" s="200"/>
      <c r="I419" s="200"/>
      <c r="J419" s="419"/>
      <c r="K419" s="420"/>
      <c r="L419" s="421"/>
      <c r="M419" s="422"/>
      <c r="N419" s="203"/>
      <c r="O419" s="203"/>
      <c r="P419" s="201"/>
      <c r="Q419" s="416"/>
    </row>
    <row r="420" spans="1:17" ht="14.25" customHeight="1">
      <c r="A420" s="3"/>
      <c r="B420" s="3"/>
      <c r="C420" s="3"/>
      <c r="D420" s="3"/>
      <c r="E420" s="206"/>
      <c r="F420" s="417"/>
      <c r="G420" s="418"/>
      <c r="H420" s="200"/>
      <c r="I420" s="200"/>
      <c r="J420" s="419"/>
      <c r="K420" s="420"/>
      <c r="L420" s="421"/>
      <c r="M420" s="422"/>
      <c r="N420" s="203"/>
      <c r="O420" s="203"/>
      <c r="P420" s="201"/>
      <c r="Q420" s="416"/>
    </row>
    <row r="421" spans="1:17" ht="14.25" customHeight="1">
      <c r="A421" s="3"/>
      <c r="B421" s="3"/>
      <c r="C421" s="3"/>
      <c r="D421" s="3"/>
      <c r="E421" s="206"/>
      <c r="F421" s="417"/>
      <c r="G421" s="418"/>
      <c r="H421" s="200"/>
      <c r="I421" s="200"/>
      <c r="J421" s="419"/>
      <c r="K421" s="420"/>
      <c r="L421" s="421"/>
      <c r="M421" s="422"/>
      <c r="N421" s="203"/>
      <c r="O421" s="203"/>
      <c r="P421" s="201"/>
      <c r="Q421" s="416"/>
    </row>
    <row r="422" spans="1:17" ht="14.25" customHeight="1">
      <c r="A422" s="3"/>
      <c r="B422" s="3"/>
      <c r="C422" s="3"/>
      <c r="D422" s="3"/>
      <c r="E422" s="206"/>
      <c r="F422" s="417"/>
      <c r="G422" s="418"/>
      <c r="H422" s="200"/>
      <c r="I422" s="200"/>
      <c r="J422" s="419"/>
      <c r="K422" s="420"/>
      <c r="L422" s="421"/>
      <c r="M422" s="422"/>
      <c r="N422" s="203"/>
      <c r="O422" s="203"/>
      <c r="P422" s="201"/>
      <c r="Q422" s="416"/>
    </row>
    <row r="423" spans="1:17" ht="14.25" customHeight="1">
      <c r="A423" s="3"/>
      <c r="B423" s="3"/>
      <c r="C423" s="3"/>
      <c r="D423" s="3"/>
      <c r="E423" s="206"/>
      <c r="F423" s="417"/>
      <c r="G423" s="418"/>
      <c r="H423" s="200"/>
      <c r="I423" s="200"/>
      <c r="J423" s="419"/>
      <c r="K423" s="420"/>
      <c r="L423" s="421"/>
      <c r="M423" s="422"/>
      <c r="N423" s="203"/>
      <c r="O423" s="203"/>
      <c r="P423" s="201"/>
      <c r="Q423" s="416"/>
    </row>
    <row r="424" spans="1:17" ht="14.25" customHeight="1">
      <c r="A424" s="3"/>
      <c r="B424" s="3"/>
      <c r="C424" s="3"/>
      <c r="D424" s="3"/>
      <c r="E424" s="206"/>
      <c r="F424" s="417"/>
      <c r="G424" s="418"/>
      <c r="H424" s="200"/>
      <c r="I424" s="200"/>
      <c r="J424" s="419"/>
      <c r="K424" s="420"/>
      <c r="L424" s="421"/>
      <c r="M424" s="422"/>
      <c r="N424" s="203"/>
      <c r="O424" s="203"/>
      <c r="P424" s="201"/>
      <c r="Q424" s="416"/>
    </row>
    <row r="425" spans="1:17" ht="14.25" customHeight="1">
      <c r="A425" s="3"/>
      <c r="B425" s="3"/>
      <c r="C425" s="3"/>
      <c r="D425" s="3"/>
      <c r="E425" s="206"/>
      <c r="F425" s="417"/>
      <c r="G425" s="418"/>
      <c r="H425" s="200"/>
      <c r="I425" s="200"/>
      <c r="J425" s="419"/>
      <c r="K425" s="420"/>
      <c r="L425" s="421"/>
      <c r="M425" s="422"/>
      <c r="N425" s="203"/>
      <c r="O425" s="203"/>
      <c r="P425" s="201"/>
      <c r="Q425" s="416"/>
    </row>
    <row r="426" spans="1:17" ht="14.25" customHeight="1">
      <c r="A426" s="3"/>
      <c r="B426" s="3"/>
      <c r="C426" s="3"/>
      <c r="D426" s="3"/>
      <c r="E426" s="206"/>
      <c r="F426" s="417"/>
      <c r="G426" s="418"/>
      <c r="H426" s="200"/>
      <c r="I426" s="200"/>
      <c r="J426" s="419"/>
      <c r="K426" s="420"/>
      <c r="L426" s="421"/>
      <c r="M426" s="422"/>
      <c r="N426" s="203"/>
      <c r="O426" s="203"/>
      <c r="P426" s="201"/>
      <c r="Q426" s="416"/>
    </row>
    <row r="427" spans="1:17" ht="14.25" customHeight="1">
      <c r="A427" s="3"/>
      <c r="B427" s="3"/>
      <c r="C427" s="3"/>
      <c r="D427" s="3"/>
      <c r="E427" s="206"/>
      <c r="F427" s="417"/>
      <c r="G427" s="418"/>
      <c r="H427" s="200"/>
      <c r="I427" s="200"/>
      <c r="J427" s="419"/>
      <c r="K427" s="420"/>
      <c r="L427" s="421"/>
      <c r="M427" s="422"/>
      <c r="N427" s="203"/>
      <c r="O427" s="203"/>
      <c r="P427" s="201"/>
      <c r="Q427" s="416"/>
    </row>
    <row r="428" spans="1:17" ht="14.25" customHeight="1">
      <c r="A428" s="3"/>
      <c r="B428" s="3"/>
      <c r="C428" s="3"/>
      <c r="D428" s="3"/>
      <c r="E428" s="206"/>
      <c r="F428" s="417"/>
      <c r="G428" s="418"/>
      <c r="H428" s="200"/>
      <c r="I428" s="200"/>
      <c r="J428" s="419"/>
      <c r="K428" s="420"/>
      <c r="L428" s="421"/>
      <c r="M428" s="422"/>
      <c r="N428" s="203"/>
      <c r="O428" s="203"/>
      <c r="P428" s="201"/>
      <c r="Q428" s="416"/>
    </row>
    <row r="429" spans="1:17" ht="14.25" customHeight="1">
      <c r="A429" s="3"/>
      <c r="B429" s="3"/>
      <c r="C429" s="3"/>
      <c r="D429" s="3"/>
      <c r="E429" s="206"/>
      <c r="F429" s="417"/>
      <c r="G429" s="418"/>
      <c r="H429" s="200"/>
      <c r="I429" s="200"/>
      <c r="J429" s="419"/>
      <c r="K429" s="420"/>
      <c r="L429" s="421"/>
      <c r="M429" s="422"/>
      <c r="N429" s="203"/>
      <c r="O429" s="203"/>
      <c r="P429" s="201"/>
      <c r="Q429" s="416"/>
    </row>
    <row r="430" spans="1:17" ht="14.25" customHeight="1">
      <c r="A430" s="3"/>
      <c r="B430" s="3"/>
      <c r="C430" s="3"/>
      <c r="D430" s="3"/>
      <c r="E430" s="206"/>
      <c r="F430" s="417"/>
      <c r="G430" s="418"/>
      <c r="H430" s="200"/>
      <c r="I430" s="200"/>
      <c r="J430" s="419"/>
      <c r="K430" s="420"/>
      <c r="L430" s="421"/>
      <c r="M430" s="422"/>
      <c r="N430" s="203"/>
      <c r="O430" s="203"/>
      <c r="P430" s="201"/>
      <c r="Q430" s="416"/>
    </row>
    <row r="431" spans="1:17" ht="14.25" customHeight="1">
      <c r="A431" s="3"/>
      <c r="B431" s="3"/>
      <c r="C431" s="3"/>
      <c r="D431" s="3"/>
      <c r="E431" s="206"/>
      <c r="F431" s="417"/>
      <c r="G431" s="418"/>
      <c r="H431" s="200"/>
      <c r="I431" s="200"/>
      <c r="J431" s="419"/>
      <c r="K431" s="420"/>
      <c r="L431" s="421"/>
      <c r="M431" s="422"/>
      <c r="N431" s="203"/>
      <c r="O431" s="203"/>
      <c r="P431" s="201"/>
      <c r="Q431" s="416"/>
    </row>
    <row r="432" spans="1:17" ht="14.25" customHeight="1">
      <c r="A432" s="3"/>
      <c r="B432" s="3"/>
      <c r="C432" s="3"/>
      <c r="D432" s="3"/>
      <c r="E432" s="206"/>
      <c r="F432" s="417"/>
      <c r="G432" s="418"/>
      <c r="H432" s="200"/>
      <c r="I432" s="200"/>
      <c r="J432" s="419"/>
      <c r="K432" s="420"/>
      <c r="L432" s="421"/>
      <c r="M432" s="422"/>
      <c r="N432" s="203"/>
      <c r="O432" s="203"/>
      <c r="P432" s="201"/>
      <c r="Q432" s="416"/>
    </row>
    <row r="433" spans="1:17" ht="14.25" customHeight="1">
      <c r="A433" s="3"/>
      <c r="B433" s="3"/>
      <c r="C433" s="3"/>
      <c r="D433" s="3"/>
      <c r="E433" s="206"/>
      <c r="F433" s="417"/>
      <c r="G433" s="418"/>
      <c r="H433" s="200"/>
      <c r="I433" s="200"/>
      <c r="J433" s="419"/>
      <c r="K433" s="420"/>
      <c r="L433" s="421"/>
      <c r="M433" s="422"/>
      <c r="N433" s="203"/>
      <c r="O433" s="203"/>
      <c r="P433" s="201"/>
      <c r="Q433" s="416"/>
    </row>
    <row r="434" spans="1:17" ht="14.25" customHeight="1">
      <c r="A434" s="3"/>
      <c r="B434" s="3"/>
      <c r="C434" s="3"/>
      <c r="D434" s="3"/>
      <c r="E434" s="206"/>
      <c r="F434" s="417"/>
      <c r="G434" s="418"/>
      <c r="H434" s="200"/>
      <c r="I434" s="200"/>
      <c r="J434" s="419"/>
      <c r="K434" s="420"/>
      <c r="L434" s="421"/>
      <c r="M434" s="422"/>
      <c r="N434" s="203"/>
      <c r="O434" s="203"/>
      <c r="P434" s="201"/>
      <c r="Q434" s="416"/>
    </row>
    <row r="435" spans="1:17" ht="14.25" customHeight="1">
      <c r="A435" s="3"/>
      <c r="B435" s="3"/>
      <c r="C435" s="3"/>
      <c r="D435" s="3"/>
      <c r="E435" s="206"/>
      <c r="F435" s="417"/>
      <c r="G435" s="418"/>
      <c r="H435" s="200"/>
      <c r="I435" s="200"/>
      <c r="J435" s="419"/>
      <c r="K435" s="420"/>
      <c r="L435" s="421"/>
      <c r="M435" s="422"/>
      <c r="N435" s="203"/>
      <c r="O435" s="203"/>
      <c r="P435" s="201"/>
      <c r="Q435" s="416"/>
    </row>
    <row r="436" spans="1:17" ht="14.25" customHeight="1">
      <c r="A436" s="3"/>
      <c r="B436" s="3"/>
      <c r="C436" s="3"/>
      <c r="D436" s="3"/>
      <c r="E436" s="206"/>
      <c r="F436" s="417"/>
      <c r="G436" s="418"/>
      <c r="H436" s="200"/>
      <c r="I436" s="200"/>
      <c r="J436" s="419"/>
      <c r="K436" s="420"/>
      <c r="L436" s="421"/>
      <c r="M436" s="422"/>
      <c r="N436" s="203"/>
      <c r="O436" s="203"/>
      <c r="P436" s="201"/>
      <c r="Q436" s="416"/>
    </row>
    <row r="437" spans="1:17" ht="14.25" customHeight="1">
      <c r="A437" s="3"/>
      <c r="B437" s="3"/>
      <c r="C437" s="3"/>
      <c r="D437" s="3"/>
      <c r="E437" s="206"/>
      <c r="F437" s="417"/>
      <c r="G437" s="418"/>
      <c r="H437" s="200"/>
      <c r="I437" s="200"/>
      <c r="J437" s="419"/>
      <c r="K437" s="420"/>
      <c r="L437" s="421"/>
      <c r="M437" s="422"/>
      <c r="N437" s="203"/>
      <c r="O437" s="203"/>
      <c r="P437" s="201"/>
      <c r="Q437" s="416"/>
    </row>
    <row r="438" spans="1:17" ht="14.25" customHeight="1">
      <c r="A438" s="3"/>
      <c r="B438" s="3"/>
      <c r="C438" s="3"/>
      <c r="D438" s="3"/>
      <c r="E438" s="206"/>
      <c r="F438" s="417"/>
      <c r="G438" s="418"/>
      <c r="H438" s="200"/>
      <c r="I438" s="200"/>
      <c r="J438" s="419"/>
      <c r="K438" s="420"/>
      <c r="L438" s="421"/>
      <c r="M438" s="422"/>
      <c r="N438" s="203"/>
      <c r="O438" s="203"/>
      <c r="P438" s="201"/>
      <c r="Q438" s="416"/>
    </row>
    <row r="439" spans="1:17" ht="14.25" customHeight="1">
      <c r="A439" s="3"/>
      <c r="B439" s="3"/>
      <c r="C439" s="3"/>
      <c r="D439" s="3"/>
      <c r="E439" s="206"/>
      <c r="F439" s="417"/>
      <c r="G439" s="418"/>
      <c r="H439" s="200"/>
      <c r="I439" s="200"/>
      <c r="J439" s="419"/>
      <c r="K439" s="420"/>
      <c r="L439" s="421"/>
      <c r="M439" s="422"/>
      <c r="N439" s="203"/>
      <c r="O439" s="203"/>
      <c r="P439" s="201"/>
      <c r="Q439" s="416"/>
    </row>
    <row r="440" spans="1:17" ht="14.25" customHeight="1">
      <c r="A440" s="3"/>
      <c r="B440" s="3"/>
      <c r="C440" s="3"/>
      <c r="D440" s="3"/>
      <c r="E440" s="206"/>
      <c r="F440" s="417"/>
      <c r="G440" s="418"/>
      <c r="H440" s="200"/>
      <c r="I440" s="200"/>
      <c r="J440" s="419"/>
      <c r="K440" s="420"/>
      <c r="L440" s="421"/>
      <c r="M440" s="422"/>
      <c r="N440" s="203"/>
      <c r="O440" s="203"/>
      <c r="P440" s="201"/>
      <c r="Q440" s="416"/>
    </row>
    <row r="441" spans="1:17" ht="14.25" customHeight="1">
      <c r="A441" s="3"/>
      <c r="B441" s="3"/>
      <c r="C441" s="3"/>
      <c r="D441" s="3"/>
      <c r="E441" s="206"/>
      <c r="F441" s="417"/>
      <c r="G441" s="418"/>
      <c r="H441" s="200"/>
      <c r="I441" s="200"/>
      <c r="J441" s="419"/>
      <c r="K441" s="420"/>
      <c r="L441" s="421"/>
      <c r="M441" s="422"/>
      <c r="N441" s="203"/>
      <c r="O441" s="203"/>
      <c r="P441" s="201"/>
      <c r="Q441" s="416"/>
    </row>
    <row r="442" spans="1:17" ht="14.25" customHeight="1">
      <c r="A442" s="3"/>
      <c r="B442" s="3"/>
      <c r="C442" s="3"/>
      <c r="D442" s="3"/>
      <c r="E442" s="206"/>
      <c r="F442" s="417"/>
      <c r="G442" s="418"/>
      <c r="H442" s="200"/>
      <c r="I442" s="200"/>
      <c r="J442" s="419"/>
      <c r="K442" s="420"/>
      <c r="L442" s="421"/>
      <c r="M442" s="422"/>
      <c r="N442" s="203"/>
      <c r="O442" s="203"/>
      <c r="P442" s="201"/>
      <c r="Q442" s="416"/>
    </row>
    <row r="443" spans="1:17" ht="14.25" customHeight="1">
      <c r="A443" s="3"/>
      <c r="B443" s="3"/>
      <c r="C443" s="3"/>
      <c r="D443" s="3"/>
      <c r="E443" s="206"/>
      <c r="F443" s="417"/>
      <c r="G443" s="418"/>
      <c r="H443" s="200"/>
      <c r="I443" s="200"/>
      <c r="J443" s="419"/>
      <c r="K443" s="420"/>
      <c r="L443" s="421"/>
      <c r="M443" s="422"/>
      <c r="N443" s="203"/>
      <c r="O443" s="203"/>
      <c r="P443" s="201"/>
      <c r="Q443" s="416"/>
    </row>
    <row r="444" spans="1:17" ht="14.25" customHeight="1">
      <c r="A444" s="3"/>
      <c r="B444" s="3"/>
      <c r="C444" s="3"/>
      <c r="D444" s="3"/>
      <c r="E444" s="206"/>
      <c r="F444" s="417"/>
      <c r="G444" s="418"/>
      <c r="H444" s="200"/>
      <c r="I444" s="200"/>
      <c r="J444" s="419"/>
      <c r="K444" s="420"/>
      <c r="L444" s="421"/>
      <c r="M444" s="422"/>
      <c r="N444" s="203"/>
      <c r="O444" s="203"/>
      <c r="P444" s="201"/>
      <c r="Q444" s="416"/>
    </row>
    <row r="445" spans="1:17" ht="14.25" customHeight="1">
      <c r="A445" s="3"/>
      <c r="B445" s="3"/>
      <c r="C445" s="3"/>
      <c r="D445" s="3"/>
      <c r="E445" s="206"/>
      <c r="F445" s="417"/>
      <c r="G445" s="418"/>
      <c r="H445" s="200"/>
      <c r="I445" s="200"/>
      <c r="J445" s="419"/>
      <c r="K445" s="420"/>
      <c r="L445" s="421"/>
      <c r="M445" s="422"/>
      <c r="N445" s="203"/>
      <c r="O445" s="203"/>
      <c r="P445" s="201"/>
      <c r="Q445" s="416"/>
    </row>
    <row r="446" spans="1:17" ht="14.25" customHeight="1">
      <c r="A446" s="3"/>
      <c r="B446" s="3"/>
      <c r="C446" s="3"/>
      <c r="D446" s="3"/>
      <c r="E446" s="206"/>
      <c r="F446" s="417"/>
      <c r="G446" s="418"/>
      <c r="H446" s="200"/>
      <c r="I446" s="200"/>
      <c r="J446" s="419"/>
      <c r="K446" s="420"/>
      <c r="L446" s="421"/>
      <c r="M446" s="422"/>
      <c r="N446" s="203"/>
      <c r="O446" s="203"/>
      <c r="P446" s="201"/>
      <c r="Q446" s="416"/>
    </row>
    <row r="447" spans="1:17" ht="14.25" customHeight="1">
      <c r="A447" s="3"/>
      <c r="B447" s="3"/>
      <c r="C447" s="3"/>
      <c r="D447" s="3"/>
      <c r="E447" s="206"/>
      <c r="F447" s="417"/>
      <c r="G447" s="418"/>
      <c r="H447" s="200"/>
      <c r="I447" s="200"/>
      <c r="J447" s="419"/>
      <c r="K447" s="420"/>
      <c r="L447" s="421"/>
      <c r="M447" s="422"/>
      <c r="N447" s="203"/>
      <c r="O447" s="203"/>
      <c r="P447" s="201"/>
      <c r="Q447" s="416"/>
    </row>
    <row r="448" spans="1:17" ht="14.25" customHeight="1">
      <c r="A448" s="3"/>
      <c r="B448" s="3"/>
      <c r="C448" s="3"/>
      <c r="D448" s="3"/>
      <c r="E448" s="206"/>
      <c r="F448" s="417"/>
      <c r="G448" s="418"/>
      <c r="H448" s="200"/>
      <c r="I448" s="200"/>
      <c r="J448" s="419"/>
      <c r="K448" s="420"/>
      <c r="L448" s="421"/>
      <c r="M448" s="422"/>
      <c r="N448" s="203"/>
      <c r="O448" s="203"/>
      <c r="P448" s="201"/>
      <c r="Q448" s="416"/>
    </row>
    <row r="449" spans="1:17" ht="14.25" customHeight="1">
      <c r="A449" s="3"/>
      <c r="B449" s="3"/>
      <c r="C449" s="3"/>
      <c r="D449" s="3"/>
      <c r="E449" s="206"/>
      <c r="F449" s="417"/>
      <c r="G449" s="418"/>
      <c r="H449" s="200"/>
      <c r="I449" s="200"/>
      <c r="J449" s="419"/>
      <c r="K449" s="420"/>
      <c r="L449" s="421"/>
      <c r="M449" s="422"/>
      <c r="N449" s="203"/>
      <c r="O449" s="203"/>
      <c r="P449" s="201"/>
      <c r="Q449" s="416"/>
    </row>
    <row r="450" spans="1:17" ht="14.25" customHeight="1">
      <c r="A450" s="3"/>
      <c r="B450" s="3"/>
      <c r="C450" s="3"/>
      <c r="D450" s="3"/>
      <c r="E450" s="206"/>
      <c r="F450" s="417"/>
      <c r="G450" s="418"/>
      <c r="H450" s="200"/>
      <c r="I450" s="200"/>
      <c r="J450" s="419"/>
      <c r="K450" s="420"/>
      <c r="L450" s="421"/>
      <c r="M450" s="422"/>
      <c r="N450" s="203"/>
      <c r="O450" s="203"/>
      <c r="P450" s="201"/>
      <c r="Q450" s="416"/>
    </row>
    <row r="451" spans="1:17" ht="14.25" customHeight="1">
      <c r="A451" s="3"/>
      <c r="B451" s="3"/>
      <c r="C451" s="3"/>
      <c r="D451" s="3"/>
      <c r="E451" s="206"/>
      <c r="F451" s="417"/>
      <c r="G451" s="418"/>
      <c r="H451" s="200"/>
      <c r="I451" s="200"/>
      <c r="J451" s="419"/>
      <c r="K451" s="420"/>
      <c r="L451" s="421"/>
      <c r="M451" s="422"/>
      <c r="N451" s="203"/>
      <c r="O451" s="203"/>
      <c r="P451" s="201"/>
      <c r="Q451" s="416"/>
    </row>
    <row r="452" spans="1:17" ht="14.25" customHeight="1">
      <c r="A452" s="3"/>
      <c r="B452" s="3"/>
      <c r="C452" s="3"/>
      <c r="D452" s="3"/>
      <c r="E452" s="206"/>
      <c r="F452" s="417"/>
      <c r="G452" s="418"/>
      <c r="H452" s="200"/>
      <c r="I452" s="200"/>
      <c r="J452" s="419"/>
      <c r="K452" s="420"/>
      <c r="L452" s="421"/>
      <c r="M452" s="422"/>
      <c r="N452" s="203"/>
      <c r="O452" s="203"/>
      <c r="P452" s="201"/>
      <c r="Q452" s="416"/>
    </row>
    <row r="453" spans="1:17" ht="14.25" customHeight="1">
      <c r="A453" s="3"/>
      <c r="B453" s="3"/>
      <c r="C453" s="3"/>
      <c r="D453" s="3"/>
      <c r="E453" s="206"/>
      <c r="F453" s="417"/>
      <c r="G453" s="418"/>
      <c r="H453" s="200"/>
      <c r="I453" s="200"/>
      <c r="J453" s="419"/>
      <c r="K453" s="420"/>
      <c r="L453" s="421"/>
      <c r="M453" s="422"/>
      <c r="N453" s="203"/>
      <c r="O453" s="203"/>
      <c r="P453" s="201"/>
      <c r="Q453" s="416"/>
    </row>
    <row r="454" spans="1:17" ht="14.25" customHeight="1">
      <c r="A454" s="3"/>
      <c r="B454" s="3"/>
      <c r="C454" s="3"/>
      <c r="D454" s="3"/>
      <c r="E454" s="206"/>
      <c r="F454" s="417"/>
      <c r="G454" s="418"/>
      <c r="H454" s="200"/>
      <c r="I454" s="200"/>
      <c r="J454" s="419"/>
      <c r="K454" s="420"/>
      <c r="L454" s="421"/>
      <c r="M454" s="422"/>
      <c r="N454" s="203"/>
      <c r="O454" s="203"/>
      <c r="P454" s="201"/>
      <c r="Q454" s="416"/>
    </row>
    <row r="455" spans="1:17" ht="14.25" customHeight="1">
      <c r="A455" s="3"/>
      <c r="B455" s="3"/>
      <c r="C455" s="3"/>
      <c r="D455" s="3"/>
      <c r="E455" s="206"/>
      <c r="F455" s="417"/>
      <c r="G455" s="418"/>
      <c r="H455" s="200"/>
      <c r="I455" s="200"/>
      <c r="J455" s="419"/>
      <c r="K455" s="420"/>
      <c r="L455" s="421"/>
      <c r="M455" s="422"/>
      <c r="N455" s="203"/>
      <c r="O455" s="203"/>
      <c r="P455" s="201"/>
      <c r="Q455" s="416"/>
    </row>
    <row r="456" spans="1:17" ht="14.25" customHeight="1">
      <c r="A456" s="3"/>
      <c r="B456" s="3"/>
      <c r="C456" s="3"/>
      <c r="D456" s="3"/>
      <c r="E456" s="206"/>
      <c r="F456" s="417"/>
      <c r="G456" s="418"/>
      <c r="H456" s="200"/>
      <c r="I456" s="200"/>
      <c r="J456" s="419"/>
      <c r="K456" s="420"/>
      <c r="L456" s="421"/>
      <c r="M456" s="422"/>
      <c r="N456" s="203"/>
      <c r="O456" s="203"/>
      <c r="P456" s="201"/>
      <c r="Q456" s="416"/>
    </row>
    <row r="457" spans="1:17" ht="14.25" customHeight="1">
      <c r="A457" s="3"/>
      <c r="B457" s="3"/>
      <c r="C457" s="3"/>
      <c r="D457" s="3"/>
      <c r="E457" s="206"/>
      <c r="F457" s="417"/>
      <c r="G457" s="418"/>
      <c r="H457" s="200"/>
      <c r="I457" s="200"/>
      <c r="J457" s="419"/>
      <c r="K457" s="420"/>
      <c r="L457" s="421"/>
      <c r="M457" s="422"/>
      <c r="N457" s="203"/>
      <c r="O457" s="203"/>
      <c r="P457" s="201"/>
      <c r="Q457" s="416"/>
    </row>
    <row r="458" spans="1:17" ht="14.25" customHeight="1">
      <c r="A458" s="3"/>
      <c r="B458" s="3"/>
      <c r="C458" s="3"/>
      <c r="D458" s="3"/>
      <c r="E458" s="206"/>
      <c r="F458" s="417"/>
      <c r="G458" s="418"/>
      <c r="H458" s="200"/>
      <c r="I458" s="200"/>
      <c r="J458" s="419"/>
      <c r="K458" s="420"/>
      <c r="L458" s="421"/>
      <c r="M458" s="422"/>
      <c r="N458" s="203"/>
      <c r="O458" s="203"/>
      <c r="P458" s="201"/>
      <c r="Q458" s="416"/>
    </row>
    <row r="459" spans="1:17" ht="14.25" customHeight="1">
      <c r="A459" s="3"/>
      <c r="B459" s="3"/>
      <c r="C459" s="3"/>
      <c r="D459" s="3"/>
      <c r="E459" s="206"/>
      <c r="F459" s="417"/>
      <c r="G459" s="418"/>
      <c r="H459" s="200"/>
      <c r="I459" s="200"/>
      <c r="J459" s="419"/>
      <c r="K459" s="420"/>
      <c r="L459" s="421"/>
      <c r="M459" s="422"/>
      <c r="N459" s="203"/>
      <c r="O459" s="203"/>
      <c r="P459" s="201"/>
      <c r="Q459" s="416"/>
    </row>
    <row r="460" spans="1:17" ht="14.25" customHeight="1">
      <c r="A460" s="3"/>
      <c r="B460" s="3"/>
      <c r="C460" s="3"/>
      <c r="D460" s="3"/>
      <c r="E460" s="206"/>
      <c r="F460" s="417"/>
      <c r="G460" s="418"/>
      <c r="H460" s="200"/>
      <c r="I460" s="200"/>
      <c r="J460" s="419"/>
      <c r="K460" s="420"/>
      <c r="L460" s="421"/>
      <c r="M460" s="422"/>
      <c r="N460" s="203"/>
      <c r="O460" s="203"/>
      <c r="P460" s="201"/>
      <c r="Q460" s="416"/>
    </row>
    <row r="461" spans="1:17" ht="14.25" customHeight="1">
      <c r="A461" s="3"/>
      <c r="B461" s="3"/>
      <c r="C461" s="3"/>
      <c r="D461" s="3"/>
      <c r="E461" s="206"/>
      <c r="F461" s="417"/>
      <c r="G461" s="418"/>
      <c r="H461" s="200"/>
      <c r="I461" s="200"/>
      <c r="J461" s="419"/>
      <c r="K461" s="420"/>
      <c r="L461" s="421"/>
      <c r="M461" s="422"/>
      <c r="N461" s="203"/>
      <c r="O461" s="203"/>
      <c r="P461" s="201"/>
      <c r="Q461" s="416"/>
    </row>
    <row r="462" spans="1:17" ht="14.25" customHeight="1">
      <c r="A462" s="3"/>
      <c r="B462" s="3"/>
      <c r="C462" s="3"/>
      <c r="D462" s="3"/>
      <c r="E462" s="206"/>
      <c r="F462" s="417"/>
      <c r="G462" s="418"/>
      <c r="H462" s="200"/>
      <c r="I462" s="200"/>
      <c r="J462" s="419"/>
      <c r="K462" s="420"/>
      <c r="L462" s="421"/>
      <c r="M462" s="422"/>
      <c r="N462" s="203"/>
      <c r="O462" s="203"/>
      <c r="P462" s="201"/>
      <c r="Q462" s="416"/>
    </row>
    <row r="463" spans="1:17" ht="14.25" customHeight="1">
      <c r="A463" s="3"/>
      <c r="B463" s="3"/>
      <c r="C463" s="3"/>
      <c r="D463" s="3"/>
      <c r="E463" s="206"/>
      <c r="F463" s="417"/>
      <c r="G463" s="418"/>
      <c r="H463" s="200"/>
      <c r="I463" s="200"/>
      <c r="J463" s="419"/>
      <c r="K463" s="420"/>
      <c r="L463" s="421"/>
      <c r="M463" s="422"/>
      <c r="N463" s="203"/>
      <c r="O463" s="203"/>
      <c r="P463" s="201"/>
      <c r="Q463" s="416"/>
    </row>
    <row r="464" spans="1:17" ht="14.25" customHeight="1">
      <c r="A464" s="3"/>
      <c r="B464" s="3"/>
      <c r="C464" s="3"/>
      <c r="D464" s="3"/>
      <c r="E464" s="206"/>
      <c r="F464" s="417"/>
      <c r="G464" s="418"/>
      <c r="H464" s="200"/>
      <c r="I464" s="200"/>
      <c r="J464" s="419"/>
      <c r="K464" s="420"/>
      <c r="L464" s="421"/>
      <c r="M464" s="422"/>
      <c r="N464" s="203"/>
      <c r="O464" s="203"/>
      <c r="P464" s="201"/>
      <c r="Q464" s="416"/>
    </row>
    <row r="465" spans="1:17" ht="14.25" customHeight="1">
      <c r="A465" s="3"/>
      <c r="B465" s="3"/>
      <c r="C465" s="3"/>
      <c r="D465" s="3"/>
      <c r="E465" s="206"/>
      <c r="F465" s="417"/>
      <c r="G465" s="418"/>
      <c r="H465" s="200"/>
      <c r="I465" s="200"/>
      <c r="J465" s="419"/>
      <c r="K465" s="420"/>
      <c r="L465" s="421"/>
      <c r="M465" s="422"/>
      <c r="N465" s="203"/>
      <c r="O465" s="203"/>
      <c r="P465" s="201"/>
      <c r="Q465" s="416"/>
    </row>
    <row r="466" spans="1:17" ht="14.25" customHeight="1">
      <c r="A466" s="3"/>
      <c r="B466" s="3"/>
      <c r="C466" s="3"/>
      <c r="D466" s="3"/>
      <c r="E466" s="206"/>
      <c r="F466" s="417"/>
      <c r="G466" s="418"/>
      <c r="H466" s="200"/>
      <c r="I466" s="200"/>
      <c r="J466" s="419"/>
      <c r="K466" s="420"/>
      <c r="L466" s="421"/>
      <c r="M466" s="422"/>
      <c r="N466" s="203"/>
      <c r="O466" s="203"/>
      <c r="P466" s="201"/>
      <c r="Q466" s="416"/>
    </row>
    <row r="467" spans="1:17" ht="14.25" customHeight="1">
      <c r="A467" s="3"/>
      <c r="B467" s="3"/>
      <c r="C467" s="3"/>
      <c r="D467" s="3"/>
      <c r="E467" s="206"/>
      <c r="F467" s="417"/>
      <c r="G467" s="418"/>
      <c r="H467" s="200"/>
      <c r="I467" s="200"/>
      <c r="J467" s="419"/>
      <c r="K467" s="420"/>
      <c r="L467" s="421"/>
      <c r="M467" s="422"/>
      <c r="N467" s="203"/>
      <c r="O467" s="203"/>
      <c r="P467" s="201"/>
      <c r="Q467" s="416"/>
    </row>
    <row r="468" spans="1:17" ht="14.25" customHeight="1">
      <c r="A468" s="3"/>
      <c r="B468" s="3"/>
      <c r="C468" s="3"/>
      <c r="D468" s="3"/>
      <c r="E468" s="206"/>
      <c r="F468" s="417"/>
      <c r="G468" s="418"/>
      <c r="H468" s="200"/>
      <c r="I468" s="200"/>
      <c r="J468" s="419"/>
      <c r="K468" s="420"/>
      <c r="L468" s="421"/>
      <c r="M468" s="422"/>
      <c r="N468" s="203"/>
      <c r="O468" s="203"/>
      <c r="P468" s="201"/>
      <c r="Q468" s="416"/>
    </row>
    <row r="469" spans="1:17" ht="14.25" customHeight="1">
      <c r="A469" s="3"/>
      <c r="B469" s="3"/>
      <c r="C469" s="3"/>
      <c r="D469" s="3"/>
      <c r="E469" s="206"/>
      <c r="F469" s="417"/>
      <c r="G469" s="418"/>
      <c r="H469" s="200"/>
      <c r="I469" s="200"/>
      <c r="J469" s="419"/>
      <c r="K469" s="420"/>
      <c r="L469" s="421"/>
      <c r="M469" s="422"/>
      <c r="N469" s="203"/>
      <c r="O469" s="203"/>
      <c r="P469" s="201"/>
      <c r="Q469" s="416"/>
    </row>
    <row r="470" spans="1:17" ht="14.25" customHeight="1">
      <c r="A470" s="3"/>
      <c r="B470" s="3"/>
      <c r="C470" s="3"/>
      <c r="D470" s="3"/>
      <c r="E470" s="206"/>
      <c r="F470" s="417"/>
      <c r="G470" s="418"/>
      <c r="H470" s="200"/>
      <c r="I470" s="200"/>
      <c r="J470" s="419"/>
      <c r="K470" s="420"/>
      <c r="L470" s="421"/>
      <c r="M470" s="422"/>
      <c r="N470" s="203"/>
      <c r="O470" s="203"/>
      <c r="P470" s="201"/>
      <c r="Q470" s="416"/>
    </row>
    <row r="471" spans="1:17" ht="14.25" customHeight="1">
      <c r="A471" s="3"/>
      <c r="B471" s="3"/>
      <c r="C471" s="3"/>
      <c r="D471" s="3"/>
      <c r="E471" s="206"/>
      <c r="F471" s="417"/>
      <c r="G471" s="418"/>
      <c r="H471" s="200"/>
      <c r="I471" s="200"/>
      <c r="J471" s="419"/>
      <c r="K471" s="420"/>
      <c r="L471" s="421"/>
      <c r="M471" s="422"/>
      <c r="N471" s="203"/>
      <c r="O471" s="203"/>
      <c r="P471" s="201"/>
      <c r="Q471" s="416"/>
    </row>
    <row r="472" spans="1:17" ht="14.25" customHeight="1">
      <c r="A472" s="3"/>
      <c r="B472" s="3"/>
      <c r="C472" s="3"/>
      <c r="D472" s="3"/>
      <c r="E472" s="206"/>
      <c r="F472" s="417"/>
      <c r="G472" s="418"/>
      <c r="H472" s="200"/>
      <c r="I472" s="200"/>
      <c r="J472" s="419"/>
      <c r="K472" s="420"/>
      <c r="L472" s="421"/>
      <c r="M472" s="422"/>
      <c r="N472" s="203"/>
      <c r="O472" s="203"/>
      <c r="P472" s="201"/>
      <c r="Q472" s="416"/>
    </row>
    <row r="473" spans="1:17" ht="14.25" customHeight="1">
      <c r="A473" s="3"/>
      <c r="B473" s="3"/>
      <c r="C473" s="3"/>
      <c r="D473" s="3"/>
      <c r="E473" s="206"/>
      <c r="F473" s="417"/>
      <c r="G473" s="418"/>
      <c r="H473" s="200"/>
      <c r="I473" s="200"/>
      <c r="J473" s="419"/>
      <c r="K473" s="420"/>
      <c r="L473" s="421"/>
      <c r="M473" s="422"/>
      <c r="N473" s="203"/>
      <c r="O473" s="203"/>
      <c r="P473" s="201"/>
      <c r="Q473" s="416"/>
    </row>
    <row r="474" spans="1:17" ht="14.25" customHeight="1">
      <c r="A474" s="3"/>
      <c r="B474" s="3"/>
      <c r="C474" s="3"/>
      <c r="D474" s="3"/>
      <c r="E474" s="206"/>
      <c r="F474" s="417"/>
      <c r="G474" s="418"/>
      <c r="H474" s="200"/>
      <c r="I474" s="200"/>
      <c r="J474" s="419"/>
      <c r="K474" s="420"/>
      <c r="L474" s="421"/>
      <c r="M474" s="422"/>
      <c r="N474" s="203"/>
      <c r="O474" s="203"/>
      <c r="P474" s="201"/>
      <c r="Q474" s="416"/>
    </row>
    <row r="475" spans="1:17" ht="14.25" customHeight="1">
      <c r="A475" s="3"/>
      <c r="B475" s="3"/>
      <c r="C475" s="3"/>
      <c r="D475" s="3"/>
      <c r="E475" s="206"/>
      <c r="F475" s="417"/>
      <c r="G475" s="418"/>
      <c r="H475" s="200"/>
      <c r="I475" s="200"/>
      <c r="J475" s="419"/>
      <c r="K475" s="420"/>
      <c r="L475" s="421"/>
      <c r="M475" s="422"/>
      <c r="N475" s="203"/>
      <c r="O475" s="203"/>
      <c r="P475" s="201"/>
      <c r="Q475" s="416"/>
    </row>
    <row r="476" spans="1:17" ht="14.25" customHeight="1">
      <c r="A476" s="3"/>
      <c r="B476" s="3"/>
      <c r="C476" s="3"/>
      <c r="D476" s="3"/>
      <c r="E476" s="206"/>
      <c r="F476" s="417"/>
      <c r="G476" s="418"/>
      <c r="H476" s="200"/>
      <c r="I476" s="200"/>
      <c r="J476" s="419"/>
      <c r="K476" s="420"/>
      <c r="L476" s="421"/>
      <c r="M476" s="422"/>
      <c r="N476" s="203"/>
      <c r="O476" s="203"/>
      <c r="P476" s="201"/>
      <c r="Q476" s="416"/>
    </row>
    <row r="477" spans="1:17" ht="14.25" customHeight="1">
      <c r="A477" s="3"/>
      <c r="B477" s="3"/>
      <c r="C477" s="3"/>
      <c r="D477" s="3"/>
      <c r="E477" s="206"/>
      <c r="F477" s="417"/>
      <c r="G477" s="418"/>
      <c r="H477" s="200"/>
      <c r="I477" s="200"/>
      <c r="J477" s="419"/>
      <c r="K477" s="420"/>
      <c r="L477" s="421"/>
      <c r="M477" s="422"/>
      <c r="N477" s="203"/>
      <c r="O477" s="203"/>
      <c r="P477" s="201"/>
      <c r="Q477" s="416"/>
    </row>
    <row r="478" spans="1:17" ht="14.25" customHeight="1">
      <c r="A478" s="3"/>
      <c r="B478" s="3"/>
      <c r="C478" s="3"/>
      <c r="D478" s="3"/>
      <c r="E478" s="206"/>
      <c r="F478" s="417"/>
      <c r="G478" s="418"/>
      <c r="H478" s="200"/>
      <c r="I478" s="200"/>
      <c r="J478" s="419"/>
      <c r="K478" s="420"/>
      <c r="L478" s="421"/>
      <c r="M478" s="422"/>
      <c r="N478" s="203"/>
      <c r="O478" s="203"/>
      <c r="P478" s="201"/>
      <c r="Q478" s="416"/>
    </row>
    <row r="479" spans="1:17" ht="14.25" customHeight="1">
      <c r="A479" s="3"/>
      <c r="B479" s="3"/>
      <c r="C479" s="3"/>
      <c r="D479" s="3"/>
      <c r="E479" s="206"/>
      <c r="F479" s="417"/>
      <c r="G479" s="418"/>
      <c r="H479" s="200"/>
      <c r="I479" s="200"/>
      <c r="J479" s="419"/>
      <c r="K479" s="420"/>
      <c r="L479" s="421"/>
      <c r="M479" s="422"/>
      <c r="N479" s="203"/>
      <c r="O479" s="203"/>
      <c r="P479" s="201"/>
      <c r="Q479" s="416"/>
    </row>
    <row r="480" spans="1:17" ht="14.25" customHeight="1">
      <c r="A480" s="3"/>
      <c r="B480" s="3"/>
      <c r="C480" s="3"/>
      <c r="D480" s="3"/>
      <c r="E480" s="206"/>
      <c r="F480" s="417"/>
      <c r="G480" s="418"/>
      <c r="H480" s="200"/>
      <c r="I480" s="200"/>
      <c r="J480" s="419"/>
      <c r="K480" s="420"/>
      <c r="L480" s="421"/>
      <c r="M480" s="422"/>
      <c r="N480" s="203"/>
      <c r="O480" s="203"/>
      <c r="P480" s="201"/>
      <c r="Q480" s="416"/>
    </row>
    <row r="481" spans="1:17" ht="14.25" customHeight="1">
      <c r="A481" s="3"/>
      <c r="B481" s="3"/>
      <c r="C481" s="3"/>
      <c r="D481" s="3"/>
      <c r="E481" s="206"/>
      <c r="F481" s="417"/>
      <c r="G481" s="418"/>
      <c r="H481" s="200"/>
      <c r="I481" s="200"/>
      <c r="J481" s="419"/>
      <c r="K481" s="420"/>
      <c r="L481" s="421"/>
      <c r="M481" s="422"/>
      <c r="N481" s="203"/>
      <c r="O481" s="203"/>
      <c r="P481" s="201"/>
      <c r="Q481" s="416"/>
    </row>
    <row r="482" spans="1:17" ht="14.25" customHeight="1">
      <c r="A482" s="3"/>
      <c r="B482" s="3"/>
      <c r="C482" s="3"/>
      <c r="D482" s="3"/>
      <c r="E482" s="206"/>
      <c r="F482" s="417"/>
      <c r="G482" s="418"/>
      <c r="H482" s="200"/>
      <c r="I482" s="200"/>
      <c r="J482" s="419"/>
      <c r="K482" s="420"/>
      <c r="L482" s="421"/>
      <c r="M482" s="422"/>
      <c r="N482" s="203"/>
      <c r="O482" s="203"/>
      <c r="P482" s="201"/>
      <c r="Q482" s="416"/>
    </row>
    <row r="483" spans="1:17" ht="14.25" customHeight="1">
      <c r="A483" s="3"/>
      <c r="B483" s="3"/>
      <c r="C483" s="3"/>
      <c r="D483" s="3"/>
      <c r="E483" s="206"/>
      <c r="F483" s="417"/>
      <c r="G483" s="418"/>
      <c r="H483" s="200"/>
      <c r="I483" s="200"/>
      <c r="J483" s="419"/>
      <c r="K483" s="420"/>
      <c r="L483" s="421"/>
      <c r="M483" s="422"/>
      <c r="N483" s="203"/>
      <c r="O483" s="203"/>
      <c r="P483" s="201"/>
      <c r="Q483" s="416"/>
    </row>
    <row r="484" spans="1:17" ht="14.25" customHeight="1">
      <c r="A484" s="3"/>
      <c r="B484" s="3"/>
      <c r="C484" s="3"/>
      <c r="D484" s="3"/>
      <c r="E484" s="206"/>
      <c r="F484" s="417"/>
      <c r="G484" s="418"/>
      <c r="H484" s="200"/>
      <c r="I484" s="200"/>
      <c r="J484" s="419"/>
      <c r="K484" s="420"/>
      <c r="L484" s="421"/>
      <c r="M484" s="422"/>
      <c r="N484" s="203"/>
      <c r="O484" s="203"/>
      <c r="P484" s="201"/>
      <c r="Q484" s="416"/>
    </row>
    <row r="485" spans="1:17" ht="14.25" customHeight="1">
      <c r="A485" s="3"/>
      <c r="B485" s="3"/>
      <c r="C485" s="3"/>
      <c r="D485" s="3"/>
      <c r="E485" s="206"/>
      <c r="F485" s="417"/>
      <c r="G485" s="418"/>
      <c r="H485" s="200"/>
      <c r="I485" s="200"/>
      <c r="J485" s="419"/>
      <c r="K485" s="420"/>
      <c r="L485" s="421"/>
      <c r="M485" s="422"/>
      <c r="N485" s="203"/>
      <c r="O485" s="203"/>
      <c r="P485" s="201"/>
      <c r="Q485" s="416"/>
    </row>
    <row r="486" spans="1:17" ht="14.25" customHeight="1">
      <c r="A486" s="3"/>
      <c r="B486" s="3"/>
      <c r="C486" s="3"/>
      <c r="D486" s="3"/>
      <c r="E486" s="206"/>
      <c r="F486" s="417"/>
      <c r="G486" s="418"/>
      <c r="H486" s="200"/>
      <c r="I486" s="200"/>
      <c r="J486" s="419"/>
      <c r="K486" s="420"/>
      <c r="L486" s="421"/>
      <c r="M486" s="422"/>
      <c r="N486" s="203"/>
      <c r="O486" s="203"/>
      <c r="P486" s="201"/>
      <c r="Q486" s="416"/>
    </row>
    <row r="487" spans="1:17" ht="14.25" customHeight="1">
      <c r="A487" s="3"/>
      <c r="B487" s="3"/>
      <c r="C487" s="3"/>
      <c r="D487" s="3"/>
      <c r="E487" s="206"/>
      <c r="F487" s="417"/>
      <c r="G487" s="418"/>
      <c r="H487" s="200"/>
      <c r="I487" s="200"/>
      <c r="J487" s="419"/>
      <c r="K487" s="420"/>
      <c r="L487" s="421"/>
      <c r="M487" s="422"/>
      <c r="N487" s="203"/>
      <c r="O487" s="203"/>
      <c r="P487" s="201"/>
      <c r="Q487" s="416"/>
    </row>
    <row r="488" spans="1:17" ht="14.25" customHeight="1">
      <c r="A488" s="3"/>
      <c r="B488" s="3"/>
      <c r="C488" s="3"/>
      <c r="D488" s="3"/>
      <c r="E488" s="206"/>
      <c r="F488" s="417"/>
      <c r="G488" s="418"/>
      <c r="H488" s="200"/>
      <c r="I488" s="200"/>
      <c r="J488" s="419"/>
      <c r="K488" s="420"/>
      <c r="L488" s="421"/>
      <c r="M488" s="422"/>
      <c r="N488" s="203"/>
      <c r="O488" s="203"/>
      <c r="P488" s="201"/>
      <c r="Q488" s="416"/>
    </row>
    <row r="489" spans="1:17" ht="14.25" customHeight="1">
      <c r="A489" s="3"/>
      <c r="B489" s="3"/>
      <c r="C489" s="3"/>
      <c r="D489" s="3"/>
      <c r="E489" s="206"/>
      <c r="F489" s="417"/>
      <c r="G489" s="418"/>
      <c r="H489" s="200"/>
      <c r="I489" s="200"/>
      <c r="J489" s="419"/>
      <c r="K489" s="420"/>
      <c r="L489" s="421"/>
      <c r="M489" s="422"/>
      <c r="N489" s="203"/>
      <c r="O489" s="203"/>
      <c r="P489" s="201"/>
      <c r="Q489" s="416"/>
    </row>
    <row r="490" spans="1:17" ht="14.25" customHeight="1">
      <c r="A490" s="3"/>
      <c r="B490" s="3"/>
      <c r="C490" s="3"/>
      <c r="D490" s="3"/>
      <c r="E490" s="206"/>
      <c r="F490" s="417"/>
      <c r="G490" s="418"/>
      <c r="H490" s="200"/>
      <c r="I490" s="200"/>
      <c r="J490" s="419"/>
      <c r="K490" s="420"/>
      <c r="L490" s="421"/>
      <c r="M490" s="422"/>
      <c r="N490" s="203"/>
      <c r="O490" s="203"/>
      <c r="P490" s="201"/>
      <c r="Q490" s="416"/>
    </row>
    <row r="491" spans="1:17" ht="14.25" customHeight="1">
      <c r="A491" s="3"/>
      <c r="B491" s="3"/>
      <c r="C491" s="3"/>
      <c r="D491" s="3"/>
      <c r="E491" s="206"/>
      <c r="F491" s="417"/>
      <c r="G491" s="418"/>
      <c r="H491" s="200"/>
      <c r="I491" s="200"/>
      <c r="J491" s="419"/>
      <c r="K491" s="420"/>
      <c r="L491" s="421"/>
      <c r="M491" s="422"/>
      <c r="N491" s="203"/>
      <c r="O491" s="203"/>
      <c r="P491" s="201"/>
      <c r="Q491" s="416"/>
    </row>
    <row r="492" spans="1:17" ht="14.25" customHeight="1">
      <c r="A492" s="3"/>
      <c r="B492" s="3"/>
      <c r="C492" s="3"/>
      <c r="D492" s="3"/>
      <c r="E492" s="206"/>
      <c r="F492" s="417"/>
      <c r="G492" s="418"/>
      <c r="H492" s="200"/>
      <c r="I492" s="200"/>
      <c r="J492" s="419"/>
      <c r="K492" s="420"/>
      <c r="L492" s="421"/>
      <c r="M492" s="422"/>
      <c r="N492" s="203"/>
      <c r="O492" s="203"/>
      <c r="P492" s="201"/>
      <c r="Q492" s="416"/>
    </row>
    <row r="493" spans="1:17" ht="14.25" customHeight="1">
      <c r="A493" s="3"/>
      <c r="B493" s="3"/>
      <c r="C493" s="3"/>
      <c r="D493" s="3"/>
      <c r="E493" s="206"/>
      <c r="F493" s="417"/>
      <c r="G493" s="418"/>
      <c r="H493" s="200"/>
      <c r="I493" s="200"/>
      <c r="J493" s="419"/>
      <c r="K493" s="420"/>
      <c r="L493" s="421"/>
      <c r="M493" s="422"/>
      <c r="N493" s="203"/>
      <c r="O493" s="203"/>
      <c r="P493" s="201"/>
      <c r="Q493" s="416"/>
    </row>
    <row r="494" spans="1:17" ht="14.25" customHeight="1">
      <c r="A494" s="3"/>
      <c r="B494" s="3"/>
      <c r="C494" s="3"/>
      <c r="D494" s="3"/>
      <c r="E494" s="206"/>
      <c r="F494" s="417"/>
      <c r="G494" s="418"/>
      <c r="H494" s="200"/>
      <c r="I494" s="200"/>
      <c r="J494" s="419"/>
      <c r="K494" s="420"/>
      <c r="L494" s="421"/>
      <c r="M494" s="422"/>
      <c r="N494" s="203"/>
      <c r="O494" s="203"/>
      <c r="P494" s="201"/>
      <c r="Q494" s="416"/>
    </row>
    <row r="495" spans="1:17" ht="14.25" customHeight="1">
      <c r="A495" s="3"/>
      <c r="B495" s="3"/>
      <c r="C495" s="3"/>
      <c r="D495" s="3"/>
      <c r="E495" s="206"/>
      <c r="F495" s="417"/>
      <c r="G495" s="418"/>
      <c r="H495" s="200"/>
      <c r="I495" s="200"/>
      <c r="J495" s="419"/>
      <c r="K495" s="420"/>
      <c r="L495" s="421"/>
      <c r="M495" s="422"/>
      <c r="N495" s="203"/>
      <c r="O495" s="203"/>
      <c r="P495" s="201"/>
      <c r="Q495" s="416"/>
    </row>
    <row r="496" spans="1:17" ht="14.25" customHeight="1">
      <c r="A496" s="3"/>
      <c r="B496" s="3"/>
      <c r="C496" s="3"/>
      <c r="D496" s="3"/>
      <c r="E496" s="206"/>
      <c r="F496" s="417"/>
      <c r="G496" s="418"/>
      <c r="H496" s="200"/>
      <c r="I496" s="200"/>
      <c r="J496" s="419"/>
      <c r="K496" s="420"/>
      <c r="L496" s="421"/>
      <c r="M496" s="422"/>
      <c r="N496" s="203"/>
      <c r="O496" s="203"/>
      <c r="P496" s="201"/>
      <c r="Q496" s="416"/>
    </row>
    <row r="497" spans="1:17" ht="14.25" customHeight="1">
      <c r="A497" s="3"/>
      <c r="B497" s="3"/>
      <c r="C497" s="3"/>
      <c r="D497" s="3"/>
      <c r="E497" s="206"/>
      <c r="F497" s="417"/>
      <c r="G497" s="418"/>
      <c r="H497" s="200"/>
      <c r="I497" s="200"/>
      <c r="J497" s="419"/>
      <c r="K497" s="420"/>
      <c r="L497" s="421"/>
      <c r="M497" s="422"/>
      <c r="N497" s="203"/>
      <c r="O497" s="203"/>
      <c r="P497" s="201"/>
      <c r="Q497" s="416"/>
    </row>
    <row r="498" spans="1:17" ht="14.25" customHeight="1">
      <c r="A498" s="3"/>
      <c r="B498" s="3"/>
      <c r="C498" s="3"/>
      <c r="D498" s="3"/>
      <c r="E498" s="206"/>
      <c r="F498" s="417"/>
      <c r="G498" s="418"/>
      <c r="H498" s="200"/>
      <c r="I498" s="200"/>
      <c r="J498" s="419"/>
      <c r="K498" s="420"/>
      <c r="L498" s="421"/>
      <c r="M498" s="422"/>
      <c r="N498" s="203"/>
      <c r="O498" s="203"/>
      <c r="P498" s="201"/>
      <c r="Q498" s="416"/>
    </row>
    <row r="499" spans="1:17" ht="14.25" customHeight="1">
      <c r="A499" s="3"/>
      <c r="B499" s="3"/>
      <c r="C499" s="3"/>
      <c r="D499" s="3"/>
      <c r="E499" s="206"/>
      <c r="F499" s="417"/>
      <c r="G499" s="418"/>
      <c r="H499" s="200"/>
      <c r="I499" s="200"/>
      <c r="J499" s="419"/>
      <c r="K499" s="420"/>
      <c r="L499" s="421"/>
      <c r="M499" s="422"/>
      <c r="N499" s="203"/>
      <c r="O499" s="203"/>
      <c r="P499" s="201"/>
      <c r="Q499" s="416"/>
    </row>
    <row r="500" spans="1:17" ht="14.25" customHeight="1">
      <c r="A500" s="3"/>
      <c r="B500" s="3"/>
      <c r="C500" s="3"/>
      <c r="D500" s="3"/>
      <c r="E500" s="206"/>
      <c r="F500" s="417"/>
      <c r="G500" s="418"/>
      <c r="H500" s="200"/>
      <c r="I500" s="200"/>
      <c r="J500" s="419"/>
      <c r="K500" s="420"/>
      <c r="L500" s="421"/>
      <c r="M500" s="422"/>
      <c r="N500" s="203"/>
      <c r="O500" s="203"/>
      <c r="P500" s="201"/>
      <c r="Q500" s="416"/>
    </row>
    <row r="501" spans="1:17" ht="14.25" customHeight="1">
      <c r="A501" s="3"/>
      <c r="B501" s="3"/>
      <c r="C501" s="3"/>
      <c r="D501" s="3"/>
      <c r="E501" s="206"/>
      <c r="F501" s="417"/>
      <c r="G501" s="418"/>
      <c r="H501" s="200"/>
      <c r="I501" s="200"/>
      <c r="J501" s="419"/>
      <c r="K501" s="420"/>
      <c r="L501" s="421"/>
      <c r="M501" s="422"/>
      <c r="N501" s="203"/>
      <c r="O501" s="203"/>
      <c r="P501" s="201"/>
      <c r="Q501" s="416"/>
    </row>
    <row r="502" spans="1:17" ht="14.25" customHeight="1">
      <c r="A502" s="3"/>
      <c r="B502" s="3"/>
      <c r="C502" s="3"/>
      <c r="D502" s="3"/>
      <c r="E502" s="206"/>
      <c r="F502" s="417"/>
      <c r="G502" s="418"/>
      <c r="H502" s="200"/>
      <c r="I502" s="200"/>
      <c r="J502" s="419"/>
      <c r="K502" s="420"/>
      <c r="L502" s="421"/>
      <c r="M502" s="422"/>
      <c r="N502" s="203"/>
      <c r="O502" s="203"/>
      <c r="P502" s="201"/>
      <c r="Q502" s="416"/>
    </row>
    <row r="503" spans="1:17" ht="14.25" customHeight="1">
      <c r="A503" s="3"/>
      <c r="B503" s="3"/>
      <c r="C503" s="3"/>
      <c r="D503" s="3"/>
      <c r="E503" s="206"/>
      <c r="F503" s="417"/>
      <c r="G503" s="418"/>
      <c r="H503" s="200"/>
      <c r="I503" s="200"/>
      <c r="J503" s="419"/>
      <c r="K503" s="420"/>
      <c r="L503" s="421"/>
      <c r="M503" s="422"/>
      <c r="N503" s="203"/>
      <c r="O503" s="203"/>
      <c r="P503" s="201"/>
      <c r="Q503" s="416"/>
    </row>
    <row r="504" spans="1:17" ht="14.25" customHeight="1">
      <c r="A504" s="3"/>
      <c r="B504" s="3"/>
      <c r="C504" s="3"/>
      <c r="D504" s="3"/>
      <c r="E504" s="206"/>
      <c r="F504" s="417"/>
      <c r="G504" s="418"/>
      <c r="H504" s="200"/>
      <c r="I504" s="200"/>
      <c r="J504" s="419"/>
      <c r="K504" s="420"/>
      <c r="L504" s="421"/>
      <c r="M504" s="422"/>
      <c r="N504" s="203"/>
      <c r="O504" s="203"/>
      <c r="P504" s="201"/>
      <c r="Q504" s="416"/>
    </row>
    <row r="505" spans="1:17" ht="14.25" customHeight="1">
      <c r="A505" s="3"/>
      <c r="B505" s="3"/>
      <c r="C505" s="3"/>
      <c r="D505" s="3"/>
      <c r="E505" s="206"/>
      <c r="F505" s="417"/>
      <c r="G505" s="418"/>
      <c r="H505" s="200"/>
      <c r="I505" s="200"/>
      <c r="J505" s="419"/>
      <c r="K505" s="420"/>
      <c r="L505" s="421"/>
      <c r="M505" s="422"/>
      <c r="N505" s="203"/>
      <c r="O505" s="203"/>
      <c r="P505" s="201"/>
      <c r="Q505" s="416"/>
    </row>
    <row r="506" spans="1:17" ht="14.25" customHeight="1">
      <c r="A506" s="3"/>
      <c r="B506" s="3"/>
      <c r="C506" s="3"/>
      <c r="D506" s="3"/>
      <c r="E506" s="206"/>
      <c r="F506" s="417"/>
      <c r="G506" s="418"/>
      <c r="H506" s="200"/>
      <c r="I506" s="200"/>
      <c r="J506" s="419"/>
      <c r="K506" s="420"/>
      <c r="L506" s="421"/>
      <c r="M506" s="422"/>
      <c r="N506" s="203"/>
      <c r="O506" s="203"/>
      <c r="P506" s="201"/>
      <c r="Q506" s="416"/>
    </row>
    <row r="507" spans="1:17" ht="14.25" customHeight="1">
      <c r="A507" s="3"/>
      <c r="B507" s="3"/>
      <c r="C507" s="3"/>
      <c r="D507" s="3"/>
      <c r="E507" s="206"/>
      <c r="F507" s="417"/>
      <c r="G507" s="418"/>
      <c r="H507" s="200"/>
      <c r="I507" s="200"/>
      <c r="J507" s="419"/>
      <c r="K507" s="420"/>
      <c r="L507" s="421"/>
      <c r="M507" s="422"/>
      <c r="N507" s="203"/>
      <c r="O507" s="203"/>
      <c r="P507" s="201"/>
      <c r="Q507" s="416"/>
    </row>
    <row r="508" spans="1:17" ht="14.25" customHeight="1">
      <c r="A508" s="3"/>
      <c r="B508" s="3"/>
      <c r="C508" s="3"/>
      <c r="D508" s="3"/>
      <c r="E508" s="206"/>
      <c r="F508" s="417"/>
      <c r="G508" s="418"/>
      <c r="H508" s="200"/>
      <c r="I508" s="200"/>
      <c r="J508" s="419"/>
      <c r="K508" s="420"/>
      <c r="L508" s="421"/>
      <c r="M508" s="422"/>
      <c r="N508" s="203"/>
      <c r="O508" s="203"/>
      <c r="P508" s="201"/>
      <c r="Q508" s="416"/>
    </row>
    <row r="509" spans="1:17" ht="14.25" customHeight="1">
      <c r="A509" s="3"/>
      <c r="B509" s="3"/>
      <c r="C509" s="3"/>
      <c r="D509" s="3"/>
      <c r="E509" s="206"/>
      <c r="F509" s="417"/>
      <c r="G509" s="418"/>
      <c r="H509" s="200"/>
      <c r="I509" s="200"/>
      <c r="J509" s="419"/>
      <c r="K509" s="420"/>
      <c r="L509" s="421"/>
      <c r="M509" s="422"/>
      <c r="N509" s="203"/>
      <c r="O509" s="203"/>
      <c r="P509" s="201"/>
      <c r="Q509" s="416"/>
    </row>
    <row r="510" spans="1:17" ht="14.25" customHeight="1">
      <c r="A510" s="3"/>
      <c r="B510" s="3"/>
      <c r="C510" s="3"/>
      <c r="D510" s="3"/>
      <c r="E510" s="206"/>
      <c r="F510" s="417"/>
      <c r="G510" s="418"/>
      <c r="H510" s="200"/>
      <c r="I510" s="200"/>
      <c r="J510" s="419"/>
      <c r="K510" s="420"/>
      <c r="L510" s="421"/>
      <c r="M510" s="422"/>
      <c r="N510" s="203"/>
      <c r="O510" s="203"/>
      <c r="P510" s="201"/>
      <c r="Q510" s="416"/>
    </row>
    <row r="511" spans="1:17" ht="14.25" customHeight="1">
      <c r="A511" s="3"/>
      <c r="B511" s="3"/>
      <c r="C511" s="3"/>
      <c r="D511" s="3"/>
      <c r="E511" s="206"/>
      <c r="F511" s="417"/>
      <c r="G511" s="418"/>
      <c r="H511" s="200"/>
      <c r="I511" s="200"/>
      <c r="J511" s="419"/>
      <c r="K511" s="420"/>
      <c r="L511" s="421"/>
      <c r="M511" s="422"/>
      <c r="N511" s="203"/>
      <c r="O511" s="203"/>
      <c r="P511" s="201"/>
      <c r="Q511" s="416"/>
    </row>
    <row r="512" spans="1:17" ht="14.25" customHeight="1">
      <c r="A512" s="3"/>
      <c r="B512" s="3"/>
      <c r="C512" s="3"/>
      <c r="D512" s="3"/>
      <c r="E512" s="206"/>
      <c r="F512" s="417"/>
      <c r="G512" s="418"/>
      <c r="H512" s="200"/>
      <c r="I512" s="200"/>
      <c r="J512" s="419"/>
      <c r="K512" s="420"/>
      <c r="L512" s="421"/>
      <c r="M512" s="422"/>
      <c r="N512" s="203"/>
      <c r="O512" s="203"/>
      <c r="P512" s="201"/>
      <c r="Q512" s="416"/>
    </row>
    <row r="513" spans="1:17" ht="14.25" customHeight="1">
      <c r="A513" s="3"/>
      <c r="B513" s="3"/>
      <c r="C513" s="3"/>
      <c r="D513" s="3"/>
      <c r="E513" s="206"/>
      <c r="F513" s="417"/>
      <c r="G513" s="418"/>
      <c r="H513" s="200"/>
      <c r="I513" s="200"/>
      <c r="J513" s="419"/>
      <c r="K513" s="420"/>
      <c r="L513" s="421"/>
      <c r="M513" s="422"/>
      <c r="N513" s="203"/>
      <c r="O513" s="203"/>
      <c r="P513" s="201"/>
      <c r="Q513" s="416"/>
    </row>
    <row r="514" spans="1:17" ht="14.25" customHeight="1">
      <c r="A514" s="3"/>
      <c r="B514" s="3"/>
      <c r="C514" s="3"/>
      <c r="D514" s="3"/>
      <c r="E514" s="206"/>
      <c r="F514" s="417"/>
      <c r="G514" s="418"/>
      <c r="H514" s="200"/>
      <c r="I514" s="200"/>
      <c r="J514" s="419"/>
      <c r="K514" s="420"/>
      <c r="L514" s="421"/>
      <c r="M514" s="422"/>
      <c r="N514" s="203"/>
      <c r="O514" s="203"/>
      <c r="P514" s="201"/>
      <c r="Q514" s="416"/>
    </row>
    <row r="515" spans="1:17" ht="14.25" customHeight="1">
      <c r="A515" s="3"/>
      <c r="B515" s="3"/>
      <c r="C515" s="3"/>
      <c r="D515" s="3"/>
      <c r="E515" s="206"/>
      <c r="F515" s="417"/>
      <c r="G515" s="418"/>
      <c r="H515" s="200"/>
      <c r="I515" s="200"/>
      <c r="J515" s="419"/>
      <c r="K515" s="420"/>
      <c r="L515" s="421"/>
      <c r="M515" s="422"/>
      <c r="N515" s="203"/>
      <c r="O515" s="203"/>
      <c r="P515" s="201"/>
      <c r="Q515" s="416"/>
    </row>
    <row r="516" spans="1:17" ht="14.25" customHeight="1">
      <c r="A516" s="3"/>
      <c r="B516" s="3"/>
      <c r="C516" s="3"/>
      <c r="D516" s="3"/>
      <c r="E516" s="206"/>
      <c r="F516" s="417"/>
      <c r="G516" s="418"/>
      <c r="H516" s="200"/>
      <c r="I516" s="200"/>
      <c r="J516" s="419"/>
      <c r="K516" s="420"/>
      <c r="L516" s="421"/>
      <c r="M516" s="422"/>
      <c r="N516" s="203"/>
      <c r="O516" s="203"/>
      <c r="P516" s="201"/>
      <c r="Q516" s="416"/>
    </row>
    <row r="517" spans="1:17" ht="14.25" customHeight="1">
      <c r="A517" s="3"/>
      <c r="B517" s="3"/>
      <c r="C517" s="3"/>
      <c r="D517" s="3"/>
      <c r="E517" s="206"/>
      <c r="F517" s="417"/>
      <c r="G517" s="418"/>
      <c r="H517" s="200"/>
      <c r="I517" s="200"/>
      <c r="J517" s="419"/>
      <c r="K517" s="420"/>
      <c r="L517" s="421"/>
      <c r="M517" s="422"/>
      <c r="N517" s="203"/>
      <c r="O517" s="203"/>
      <c r="P517" s="201"/>
      <c r="Q517" s="416"/>
    </row>
    <row r="518" spans="1:17" ht="14.25" customHeight="1">
      <c r="A518" s="3"/>
      <c r="B518" s="3"/>
      <c r="C518" s="3"/>
      <c r="D518" s="3"/>
      <c r="E518" s="206"/>
      <c r="F518" s="417"/>
      <c r="G518" s="418"/>
      <c r="H518" s="200"/>
      <c r="I518" s="200"/>
      <c r="J518" s="419"/>
      <c r="K518" s="420"/>
      <c r="L518" s="421"/>
      <c r="M518" s="422"/>
      <c r="N518" s="203"/>
      <c r="O518" s="203"/>
      <c r="P518" s="201"/>
      <c r="Q518" s="416"/>
    </row>
    <row r="519" spans="1:17" ht="14.25" customHeight="1">
      <c r="A519" s="3"/>
      <c r="B519" s="3"/>
      <c r="C519" s="3"/>
      <c r="D519" s="3"/>
      <c r="E519" s="206"/>
      <c r="F519" s="417"/>
      <c r="G519" s="418"/>
      <c r="H519" s="200"/>
      <c r="I519" s="200"/>
      <c r="J519" s="419"/>
      <c r="K519" s="420"/>
      <c r="L519" s="421"/>
      <c r="M519" s="422"/>
      <c r="N519" s="203"/>
      <c r="O519" s="203"/>
      <c r="P519" s="201"/>
      <c r="Q519" s="416"/>
    </row>
    <row r="520" spans="1:17" ht="14.25" customHeight="1">
      <c r="A520" s="3"/>
      <c r="B520" s="3"/>
      <c r="C520" s="3"/>
      <c r="D520" s="3"/>
      <c r="E520" s="206"/>
      <c r="F520" s="417"/>
      <c r="G520" s="418"/>
      <c r="H520" s="200"/>
      <c r="I520" s="200"/>
      <c r="J520" s="419"/>
      <c r="K520" s="420"/>
      <c r="L520" s="421"/>
      <c r="M520" s="422"/>
      <c r="N520" s="203"/>
      <c r="O520" s="203"/>
      <c r="P520" s="201"/>
      <c r="Q520" s="416"/>
    </row>
    <row r="521" spans="1:17" ht="14.25" customHeight="1">
      <c r="A521" s="3"/>
      <c r="B521" s="3"/>
      <c r="C521" s="3"/>
      <c r="D521" s="3"/>
      <c r="E521" s="206"/>
      <c r="F521" s="417"/>
      <c r="G521" s="418"/>
      <c r="H521" s="200"/>
      <c r="I521" s="200"/>
      <c r="J521" s="419"/>
      <c r="K521" s="420"/>
      <c r="L521" s="421"/>
      <c r="M521" s="422"/>
      <c r="N521" s="203"/>
      <c r="O521" s="203"/>
      <c r="P521" s="201"/>
      <c r="Q521" s="416"/>
    </row>
    <row r="522" spans="1:17" ht="14.25" customHeight="1">
      <c r="A522" s="3"/>
      <c r="B522" s="3"/>
      <c r="C522" s="3"/>
      <c r="D522" s="3"/>
      <c r="E522" s="206"/>
      <c r="F522" s="417"/>
      <c r="G522" s="418"/>
      <c r="H522" s="200"/>
      <c r="I522" s="200"/>
      <c r="J522" s="419"/>
      <c r="K522" s="420"/>
      <c r="L522" s="421"/>
      <c r="M522" s="422"/>
      <c r="N522" s="203"/>
      <c r="O522" s="203"/>
      <c r="P522" s="201"/>
      <c r="Q522" s="416"/>
    </row>
    <row r="523" spans="1:17" ht="14.25" customHeight="1">
      <c r="A523" s="3"/>
      <c r="B523" s="3"/>
      <c r="C523" s="3"/>
      <c r="D523" s="3"/>
      <c r="E523" s="206"/>
      <c r="F523" s="417"/>
      <c r="G523" s="418"/>
      <c r="H523" s="200"/>
      <c r="I523" s="200"/>
      <c r="J523" s="419"/>
      <c r="K523" s="420"/>
      <c r="L523" s="421"/>
      <c r="M523" s="422"/>
      <c r="N523" s="203"/>
      <c r="O523" s="203"/>
      <c r="P523" s="201"/>
      <c r="Q523" s="416"/>
    </row>
    <row r="524" spans="1:17" ht="14.25" customHeight="1">
      <c r="A524" s="3"/>
      <c r="B524" s="3"/>
      <c r="C524" s="3"/>
      <c r="D524" s="3"/>
      <c r="E524" s="206"/>
      <c r="F524" s="417"/>
      <c r="G524" s="418"/>
      <c r="H524" s="200"/>
      <c r="I524" s="200"/>
      <c r="J524" s="419"/>
      <c r="K524" s="420"/>
      <c r="L524" s="421"/>
      <c r="M524" s="422"/>
      <c r="N524" s="203"/>
      <c r="O524" s="203"/>
      <c r="P524" s="201"/>
      <c r="Q524" s="416"/>
    </row>
    <row r="525" spans="1:17" ht="14.25" customHeight="1">
      <c r="A525" s="3"/>
      <c r="B525" s="3"/>
      <c r="C525" s="3"/>
      <c r="D525" s="3"/>
      <c r="E525" s="206"/>
      <c r="F525" s="417"/>
      <c r="G525" s="418"/>
      <c r="H525" s="200"/>
      <c r="I525" s="200"/>
      <c r="J525" s="419"/>
      <c r="K525" s="420"/>
      <c r="L525" s="421"/>
      <c r="M525" s="422"/>
      <c r="N525" s="203"/>
      <c r="O525" s="203"/>
      <c r="P525" s="201"/>
      <c r="Q525" s="416"/>
    </row>
    <row r="526" spans="1:17" ht="14.25" customHeight="1">
      <c r="A526" s="3"/>
      <c r="B526" s="3"/>
      <c r="C526" s="3"/>
      <c r="D526" s="3"/>
      <c r="E526" s="206"/>
      <c r="F526" s="417"/>
      <c r="G526" s="418"/>
      <c r="H526" s="200"/>
      <c r="I526" s="200"/>
      <c r="J526" s="419"/>
      <c r="K526" s="420"/>
      <c r="L526" s="421"/>
      <c r="M526" s="422"/>
      <c r="N526" s="203"/>
      <c r="O526" s="203"/>
      <c r="P526" s="201"/>
      <c r="Q526" s="416"/>
    </row>
    <row r="527" spans="1:17" ht="14.25" customHeight="1">
      <c r="A527" s="3"/>
      <c r="B527" s="3"/>
      <c r="C527" s="3"/>
      <c r="D527" s="3"/>
      <c r="E527" s="206"/>
      <c r="F527" s="417"/>
      <c r="G527" s="418"/>
      <c r="H527" s="200"/>
      <c r="I527" s="200"/>
      <c r="J527" s="419"/>
      <c r="K527" s="420"/>
      <c r="L527" s="421"/>
      <c r="M527" s="422"/>
      <c r="N527" s="203"/>
      <c r="O527" s="203"/>
      <c r="P527" s="201"/>
      <c r="Q527" s="416"/>
    </row>
    <row r="528" spans="1:17" ht="14.25" customHeight="1">
      <c r="A528" s="3"/>
      <c r="B528" s="3"/>
      <c r="C528" s="3"/>
      <c r="D528" s="3"/>
      <c r="E528" s="206"/>
      <c r="F528" s="417"/>
      <c r="G528" s="418"/>
      <c r="H528" s="200"/>
      <c r="I528" s="200"/>
      <c r="J528" s="419"/>
      <c r="K528" s="420"/>
      <c r="L528" s="421"/>
      <c r="M528" s="422"/>
      <c r="N528" s="203"/>
      <c r="O528" s="203"/>
      <c r="P528" s="201"/>
      <c r="Q528" s="416"/>
    </row>
    <row r="529" spans="1:17" ht="14.25" customHeight="1">
      <c r="A529" s="3"/>
      <c r="B529" s="3"/>
      <c r="C529" s="3"/>
      <c r="D529" s="3"/>
      <c r="E529" s="206"/>
      <c r="F529" s="417"/>
      <c r="G529" s="418"/>
      <c r="H529" s="200"/>
      <c r="I529" s="200"/>
      <c r="J529" s="419"/>
      <c r="K529" s="420"/>
      <c r="L529" s="421"/>
      <c r="M529" s="422"/>
      <c r="N529" s="203"/>
      <c r="O529" s="203"/>
      <c r="P529" s="201"/>
      <c r="Q529" s="416"/>
    </row>
    <row r="530" spans="1:17" ht="14.25" customHeight="1">
      <c r="A530" s="3"/>
      <c r="B530" s="3"/>
      <c r="C530" s="3"/>
      <c r="D530" s="3"/>
      <c r="E530" s="206"/>
      <c r="F530" s="417"/>
      <c r="G530" s="418"/>
      <c r="H530" s="200"/>
      <c r="I530" s="200"/>
      <c r="J530" s="419"/>
      <c r="K530" s="420"/>
      <c r="L530" s="421"/>
      <c r="M530" s="422"/>
      <c r="N530" s="203"/>
      <c r="O530" s="203"/>
      <c r="P530" s="201"/>
      <c r="Q530" s="416"/>
    </row>
    <row r="531" spans="1:17" ht="14.25" customHeight="1">
      <c r="A531" s="3"/>
      <c r="B531" s="3"/>
      <c r="C531" s="3"/>
      <c r="D531" s="3"/>
      <c r="E531" s="206"/>
      <c r="F531" s="417"/>
      <c r="G531" s="418"/>
      <c r="H531" s="200"/>
      <c r="I531" s="200"/>
      <c r="J531" s="419"/>
      <c r="K531" s="420"/>
      <c r="L531" s="421"/>
      <c r="M531" s="422"/>
      <c r="N531" s="203"/>
      <c r="O531" s="203"/>
      <c r="P531" s="201"/>
      <c r="Q531" s="416"/>
    </row>
    <row r="532" spans="1:17" ht="14.25" customHeight="1">
      <c r="A532" s="3"/>
      <c r="B532" s="3"/>
      <c r="C532" s="3"/>
      <c r="D532" s="3"/>
      <c r="E532" s="206"/>
      <c r="F532" s="417"/>
      <c r="G532" s="418"/>
      <c r="H532" s="200"/>
      <c r="I532" s="200"/>
      <c r="J532" s="419"/>
      <c r="K532" s="420"/>
      <c r="L532" s="421"/>
      <c r="M532" s="422"/>
      <c r="N532" s="203"/>
      <c r="O532" s="203"/>
      <c r="P532" s="201"/>
      <c r="Q532" s="416"/>
    </row>
    <row r="533" spans="1:17" ht="14.25" customHeight="1">
      <c r="A533" s="3"/>
      <c r="B533" s="3"/>
      <c r="C533" s="3"/>
      <c r="D533" s="3"/>
      <c r="E533" s="206"/>
      <c r="F533" s="417"/>
      <c r="G533" s="418"/>
      <c r="H533" s="200"/>
      <c r="I533" s="200"/>
      <c r="J533" s="419"/>
      <c r="K533" s="420"/>
      <c r="L533" s="421"/>
      <c r="M533" s="422"/>
      <c r="N533" s="203"/>
      <c r="O533" s="203"/>
      <c r="P533" s="201"/>
      <c r="Q533" s="416"/>
    </row>
    <row r="534" spans="1:17" ht="14.25" customHeight="1">
      <c r="A534" s="3"/>
      <c r="B534" s="3"/>
      <c r="C534" s="3"/>
      <c r="D534" s="3"/>
      <c r="E534" s="206"/>
      <c r="F534" s="417"/>
      <c r="G534" s="418"/>
      <c r="H534" s="200"/>
      <c r="I534" s="200"/>
      <c r="J534" s="419"/>
      <c r="K534" s="420"/>
      <c r="L534" s="421"/>
      <c r="M534" s="422"/>
      <c r="N534" s="203"/>
      <c r="O534" s="203"/>
      <c r="P534" s="201"/>
      <c r="Q534" s="416"/>
    </row>
    <row r="535" spans="1:17" ht="14.25" customHeight="1">
      <c r="A535" s="3"/>
      <c r="B535" s="3"/>
      <c r="C535" s="3"/>
      <c r="D535" s="3"/>
      <c r="E535" s="206"/>
      <c r="F535" s="417"/>
      <c r="G535" s="418"/>
      <c r="H535" s="200"/>
      <c r="I535" s="200"/>
      <c r="J535" s="419"/>
      <c r="K535" s="420"/>
      <c r="L535" s="421"/>
      <c r="M535" s="422"/>
      <c r="N535" s="203"/>
      <c r="O535" s="203"/>
      <c r="P535" s="201"/>
      <c r="Q535" s="416"/>
    </row>
    <row r="536" spans="1:17" ht="14.25" customHeight="1">
      <c r="A536" s="3"/>
      <c r="B536" s="3"/>
      <c r="C536" s="3"/>
      <c r="D536" s="3"/>
      <c r="E536" s="206"/>
      <c r="F536" s="417"/>
      <c r="G536" s="418"/>
      <c r="H536" s="200"/>
      <c r="I536" s="200"/>
      <c r="J536" s="419"/>
      <c r="K536" s="420"/>
      <c r="L536" s="421"/>
      <c r="M536" s="422"/>
      <c r="N536" s="203"/>
      <c r="O536" s="203"/>
      <c r="P536" s="201"/>
      <c r="Q536" s="416"/>
    </row>
    <row r="537" spans="1:17" ht="14.25" customHeight="1">
      <c r="A537" s="3"/>
      <c r="B537" s="3"/>
      <c r="C537" s="3"/>
      <c r="D537" s="3"/>
      <c r="E537" s="206"/>
      <c r="F537" s="417"/>
      <c r="G537" s="418"/>
      <c r="H537" s="200"/>
      <c r="I537" s="200"/>
      <c r="J537" s="419"/>
      <c r="K537" s="420"/>
      <c r="L537" s="421"/>
      <c r="M537" s="422"/>
      <c r="N537" s="203"/>
      <c r="O537" s="203"/>
      <c r="P537" s="201"/>
      <c r="Q537" s="416"/>
    </row>
    <row r="538" spans="1:17" ht="14.25" customHeight="1">
      <c r="A538" s="3"/>
      <c r="B538" s="3"/>
      <c r="C538" s="3"/>
      <c r="D538" s="3"/>
      <c r="E538" s="206"/>
      <c r="F538" s="417"/>
      <c r="G538" s="418"/>
      <c r="H538" s="200"/>
      <c r="I538" s="200"/>
      <c r="J538" s="419"/>
      <c r="K538" s="420"/>
      <c r="L538" s="421"/>
      <c r="M538" s="422"/>
      <c r="N538" s="203"/>
      <c r="O538" s="203"/>
      <c r="P538" s="201"/>
      <c r="Q538" s="416"/>
    </row>
    <row r="539" spans="1:17" ht="14.25" customHeight="1">
      <c r="A539" s="3"/>
      <c r="B539" s="3"/>
      <c r="C539" s="3"/>
      <c r="D539" s="3"/>
      <c r="E539" s="206"/>
      <c r="F539" s="417"/>
      <c r="G539" s="418"/>
      <c r="H539" s="200"/>
      <c r="I539" s="200"/>
      <c r="J539" s="419"/>
      <c r="K539" s="420"/>
      <c r="L539" s="421"/>
      <c r="M539" s="422"/>
      <c r="N539" s="203"/>
      <c r="O539" s="203"/>
      <c r="P539" s="201"/>
      <c r="Q539" s="416"/>
    </row>
    <row r="540" spans="1:17" ht="14.25" customHeight="1">
      <c r="A540" s="3"/>
      <c r="B540" s="3"/>
      <c r="C540" s="3"/>
      <c r="D540" s="3"/>
      <c r="E540" s="206"/>
      <c r="F540" s="417"/>
      <c r="G540" s="418"/>
      <c r="H540" s="200"/>
      <c r="I540" s="200"/>
      <c r="J540" s="419"/>
      <c r="K540" s="420"/>
      <c r="L540" s="421"/>
      <c r="M540" s="422"/>
      <c r="N540" s="203"/>
      <c r="O540" s="203"/>
      <c r="P540" s="201"/>
      <c r="Q540" s="416"/>
    </row>
    <row r="541" spans="1:17" ht="14.25" customHeight="1">
      <c r="A541" s="3"/>
      <c r="B541" s="3"/>
      <c r="C541" s="3"/>
      <c r="D541" s="3"/>
      <c r="E541" s="206"/>
      <c r="F541" s="417"/>
      <c r="G541" s="418"/>
      <c r="H541" s="200"/>
      <c r="I541" s="200"/>
      <c r="J541" s="419"/>
      <c r="K541" s="420"/>
      <c r="L541" s="421"/>
      <c r="M541" s="422"/>
      <c r="N541" s="203"/>
      <c r="O541" s="203"/>
      <c r="P541" s="201"/>
      <c r="Q541" s="416"/>
    </row>
    <row r="542" spans="1:17" ht="14.25" customHeight="1">
      <c r="A542" s="3"/>
      <c r="B542" s="3"/>
      <c r="C542" s="3"/>
      <c r="D542" s="3"/>
      <c r="E542" s="206"/>
      <c r="F542" s="417"/>
      <c r="G542" s="418"/>
      <c r="H542" s="200"/>
      <c r="I542" s="200"/>
      <c r="J542" s="419"/>
      <c r="K542" s="420"/>
      <c r="L542" s="421"/>
      <c r="M542" s="422"/>
      <c r="N542" s="203"/>
      <c r="O542" s="203"/>
      <c r="P542" s="201"/>
      <c r="Q542" s="416"/>
    </row>
    <row r="543" spans="1:17" ht="14.25" customHeight="1">
      <c r="A543" s="3"/>
      <c r="B543" s="3"/>
      <c r="C543" s="3"/>
      <c r="D543" s="3"/>
      <c r="E543" s="206"/>
      <c r="F543" s="417"/>
      <c r="G543" s="418"/>
      <c r="H543" s="200"/>
      <c r="I543" s="200"/>
      <c r="J543" s="419"/>
      <c r="K543" s="420"/>
      <c r="L543" s="421"/>
      <c r="M543" s="422"/>
      <c r="N543" s="203"/>
      <c r="O543" s="203"/>
      <c r="P543" s="201"/>
      <c r="Q543" s="416"/>
    </row>
    <row r="544" spans="1:17" ht="14.25" customHeight="1">
      <c r="A544" s="3"/>
      <c r="B544" s="3"/>
      <c r="C544" s="3"/>
      <c r="D544" s="3"/>
      <c r="E544" s="206"/>
      <c r="F544" s="417"/>
      <c r="G544" s="418"/>
      <c r="H544" s="200"/>
      <c r="I544" s="200"/>
      <c r="J544" s="419"/>
      <c r="K544" s="420"/>
      <c r="L544" s="421"/>
      <c r="M544" s="422"/>
      <c r="N544" s="203"/>
      <c r="O544" s="203"/>
      <c r="P544" s="201"/>
      <c r="Q544" s="416"/>
    </row>
    <row r="545" spans="1:17" ht="14.25" customHeight="1">
      <c r="A545" s="3"/>
      <c r="B545" s="3"/>
      <c r="C545" s="3"/>
      <c r="D545" s="3"/>
      <c r="E545" s="206"/>
      <c r="F545" s="417"/>
      <c r="G545" s="418"/>
      <c r="H545" s="200"/>
      <c r="I545" s="200"/>
      <c r="J545" s="419"/>
      <c r="K545" s="420"/>
      <c r="L545" s="421"/>
      <c r="M545" s="422"/>
      <c r="N545" s="203"/>
      <c r="O545" s="203"/>
      <c r="P545" s="201"/>
      <c r="Q545" s="416"/>
    </row>
    <row r="546" spans="1:17" ht="14.25" customHeight="1">
      <c r="A546" s="3"/>
      <c r="B546" s="3"/>
      <c r="C546" s="3"/>
      <c r="D546" s="3"/>
      <c r="E546" s="206"/>
      <c r="F546" s="417"/>
      <c r="G546" s="418"/>
      <c r="H546" s="200"/>
      <c r="I546" s="200"/>
      <c r="J546" s="419"/>
      <c r="K546" s="420"/>
      <c r="L546" s="421"/>
      <c r="M546" s="422"/>
      <c r="N546" s="203"/>
      <c r="O546" s="203"/>
      <c r="P546" s="201"/>
      <c r="Q546" s="416"/>
    </row>
    <row r="547" spans="1:17" ht="14.25" customHeight="1">
      <c r="A547" s="3"/>
      <c r="B547" s="3"/>
      <c r="C547" s="3"/>
      <c r="D547" s="3"/>
      <c r="E547" s="206"/>
      <c r="F547" s="417"/>
      <c r="G547" s="418"/>
      <c r="H547" s="200"/>
      <c r="I547" s="200"/>
      <c r="J547" s="419"/>
      <c r="K547" s="420"/>
      <c r="L547" s="421"/>
      <c r="M547" s="422"/>
      <c r="N547" s="203"/>
      <c r="O547" s="203"/>
      <c r="P547" s="201"/>
      <c r="Q547" s="416"/>
    </row>
    <row r="548" spans="1:17" ht="14.25" customHeight="1">
      <c r="A548" s="3"/>
      <c r="B548" s="3"/>
      <c r="C548" s="3"/>
      <c r="D548" s="3"/>
      <c r="E548" s="206"/>
      <c r="F548" s="417"/>
      <c r="G548" s="418"/>
      <c r="H548" s="200"/>
      <c r="I548" s="200"/>
      <c r="J548" s="419"/>
      <c r="K548" s="420"/>
      <c r="L548" s="421"/>
      <c r="M548" s="422"/>
      <c r="N548" s="203"/>
      <c r="O548" s="203"/>
      <c r="P548" s="201"/>
      <c r="Q548" s="416"/>
    </row>
    <row r="549" spans="1:17" ht="14.25" customHeight="1">
      <c r="A549" s="3"/>
      <c r="B549" s="3"/>
      <c r="C549" s="3"/>
      <c r="D549" s="3"/>
      <c r="E549" s="206"/>
      <c r="F549" s="417"/>
      <c r="G549" s="418"/>
      <c r="H549" s="200"/>
      <c r="I549" s="200"/>
      <c r="J549" s="419"/>
      <c r="K549" s="420"/>
      <c r="L549" s="421"/>
      <c r="M549" s="422"/>
      <c r="N549" s="203"/>
      <c r="O549" s="203"/>
      <c r="P549" s="201"/>
      <c r="Q549" s="416"/>
    </row>
    <row r="550" spans="1:17" ht="14.25" customHeight="1">
      <c r="A550" s="3"/>
      <c r="B550" s="3"/>
      <c r="C550" s="3"/>
      <c r="D550" s="3"/>
      <c r="E550" s="206"/>
      <c r="F550" s="417"/>
      <c r="G550" s="418"/>
      <c r="H550" s="200"/>
      <c r="I550" s="200"/>
      <c r="J550" s="419"/>
      <c r="K550" s="420"/>
      <c r="L550" s="421"/>
      <c r="M550" s="422"/>
      <c r="N550" s="203"/>
      <c r="O550" s="203"/>
      <c r="P550" s="201"/>
      <c r="Q550" s="416"/>
    </row>
    <row r="551" spans="1:17" ht="14.25" customHeight="1">
      <c r="A551" s="3"/>
      <c r="B551" s="3"/>
      <c r="C551" s="3"/>
      <c r="D551" s="3"/>
      <c r="E551" s="206"/>
      <c r="F551" s="417"/>
      <c r="G551" s="418"/>
      <c r="H551" s="200"/>
      <c r="I551" s="200"/>
      <c r="J551" s="419"/>
      <c r="K551" s="420"/>
      <c r="L551" s="421"/>
      <c r="M551" s="422"/>
      <c r="N551" s="203"/>
      <c r="O551" s="203"/>
      <c r="P551" s="201"/>
      <c r="Q551" s="416"/>
    </row>
    <row r="552" spans="1:17" ht="14.25" customHeight="1">
      <c r="A552" s="3"/>
      <c r="B552" s="3"/>
      <c r="C552" s="3"/>
      <c r="D552" s="3"/>
      <c r="E552" s="206"/>
      <c r="F552" s="417"/>
      <c r="G552" s="418"/>
      <c r="H552" s="200"/>
      <c r="I552" s="200"/>
      <c r="J552" s="419"/>
      <c r="K552" s="420"/>
      <c r="L552" s="421"/>
      <c r="M552" s="422"/>
      <c r="N552" s="203"/>
      <c r="O552" s="203"/>
      <c r="P552" s="201"/>
      <c r="Q552" s="416"/>
    </row>
    <row r="553" spans="1:17" ht="14.25" customHeight="1">
      <c r="A553" s="3"/>
      <c r="B553" s="3"/>
      <c r="C553" s="3"/>
      <c r="D553" s="3"/>
      <c r="E553" s="206"/>
      <c r="F553" s="417"/>
      <c r="G553" s="418"/>
      <c r="H553" s="200"/>
      <c r="I553" s="200"/>
      <c r="J553" s="419"/>
      <c r="K553" s="420"/>
      <c r="L553" s="421"/>
      <c r="M553" s="422"/>
      <c r="N553" s="203"/>
      <c r="O553" s="203"/>
      <c r="P553" s="201"/>
      <c r="Q553" s="416"/>
    </row>
    <row r="554" spans="1:17" ht="14.25" customHeight="1">
      <c r="A554" s="3"/>
      <c r="B554" s="3"/>
      <c r="C554" s="3"/>
      <c r="D554" s="3"/>
      <c r="E554" s="206"/>
      <c r="F554" s="417"/>
      <c r="G554" s="418"/>
      <c r="H554" s="200"/>
      <c r="I554" s="200"/>
      <c r="J554" s="419"/>
      <c r="K554" s="420"/>
      <c r="L554" s="421"/>
      <c r="M554" s="422"/>
      <c r="N554" s="203"/>
      <c r="O554" s="203"/>
      <c r="P554" s="201"/>
      <c r="Q554" s="416"/>
    </row>
    <row r="555" spans="1:17" ht="14.25" customHeight="1">
      <c r="A555" s="3"/>
      <c r="B555" s="3"/>
      <c r="C555" s="3"/>
      <c r="D555" s="3"/>
      <c r="E555" s="206"/>
      <c r="F555" s="417"/>
      <c r="G555" s="418"/>
      <c r="H555" s="200"/>
      <c r="I555" s="200"/>
      <c r="J555" s="419"/>
      <c r="K555" s="420"/>
      <c r="L555" s="421"/>
      <c r="M555" s="422"/>
      <c r="N555" s="203"/>
      <c r="O555" s="203"/>
      <c r="P555" s="201"/>
      <c r="Q555" s="416"/>
    </row>
    <row r="556" spans="1:17" ht="14.25" customHeight="1">
      <c r="A556" s="3"/>
      <c r="B556" s="3"/>
      <c r="C556" s="3"/>
      <c r="D556" s="3"/>
      <c r="E556" s="206"/>
      <c r="F556" s="417"/>
      <c r="G556" s="418"/>
      <c r="H556" s="200"/>
      <c r="I556" s="200"/>
      <c r="J556" s="419"/>
      <c r="K556" s="420"/>
      <c r="L556" s="421"/>
      <c r="M556" s="422"/>
      <c r="N556" s="203"/>
      <c r="O556" s="203"/>
      <c r="P556" s="201"/>
      <c r="Q556" s="416"/>
    </row>
    <row r="557" spans="1:17" ht="14.25" customHeight="1">
      <c r="A557" s="3"/>
      <c r="B557" s="3"/>
      <c r="C557" s="3"/>
      <c r="D557" s="3"/>
      <c r="E557" s="206"/>
      <c r="F557" s="417"/>
      <c r="G557" s="418"/>
      <c r="H557" s="200"/>
      <c r="I557" s="200"/>
      <c r="J557" s="419"/>
      <c r="K557" s="420"/>
      <c r="L557" s="421"/>
      <c r="M557" s="422"/>
      <c r="N557" s="203"/>
      <c r="O557" s="203"/>
      <c r="P557" s="201"/>
      <c r="Q557" s="416"/>
    </row>
    <row r="558" spans="1:17" ht="14.25" customHeight="1">
      <c r="A558" s="3"/>
      <c r="B558" s="3"/>
      <c r="C558" s="3"/>
      <c r="D558" s="3"/>
      <c r="E558" s="206"/>
      <c r="F558" s="417"/>
      <c r="G558" s="418"/>
      <c r="H558" s="200"/>
      <c r="I558" s="200"/>
      <c r="J558" s="419"/>
      <c r="K558" s="420"/>
      <c r="L558" s="421"/>
      <c r="M558" s="422"/>
      <c r="N558" s="203"/>
      <c r="O558" s="203"/>
      <c r="P558" s="201"/>
      <c r="Q558" s="416"/>
    </row>
    <row r="559" spans="1:17" ht="14.25" customHeight="1">
      <c r="A559" s="3"/>
      <c r="B559" s="3"/>
      <c r="C559" s="3"/>
      <c r="D559" s="3"/>
      <c r="E559" s="206"/>
      <c r="F559" s="417"/>
      <c r="G559" s="418"/>
      <c r="H559" s="200"/>
      <c r="I559" s="200"/>
      <c r="J559" s="419"/>
      <c r="K559" s="420"/>
      <c r="L559" s="421"/>
      <c r="M559" s="422"/>
      <c r="N559" s="203"/>
      <c r="O559" s="203"/>
      <c r="P559" s="201"/>
      <c r="Q559" s="416"/>
    </row>
    <row r="560" spans="1:17" ht="14.25" customHeight="1">
      <c r="A560" s="3"/>
      <c r="B560" s="3"/>
      <c r="C560" s="3"/>
      <c r="D560" s="3"/>
      <c r="E560" s="206"/>
      <c r="F560" s="417"/>
      <c r="G560" s="418"/>
      <c r="H560" s="200"/>
      <c r="I560" s="200"/>
      <c r="J560" s="419"/>
      <c r="K560" s="420"/>
      <c r="L560" s="421"/>
      <c r="M560" s="422"/>
      <c r="N560" s="203"/>
      <c r="O560" s="203"/>
      <c r="P560" s="201"/>
      <c r="Q560" s="416"/>
    </row>
    <row r="561" spans="1:17" ht="14.25" customHeight="1">
      <c r="A561" s="3"/>
      <c r="B561" s="3"/>
      <c r="C561" s="3"/>
      <c r="D561" s="3"/>
      <c r="E561" s="206"/>
      <c r="F561" s="417"/>
      <c r="G561" s="418"/>
      <c r="H561" s="200"/>
      <c r="I561" s="200"/>
      <c r="J561" s="419"/>
      <c r="K561" s="420"/>
      <c r="L561" s="421"/>
      <c r="M561" s="422"/>
      <c r="N561" s="203"/>
      <c r="O561" s="203"/>
      <c r="P561" s="201"/>
      <c r="Q561" s="416"/>
    </row>
    <row r="562" spans="1:17" ht="14.25" customHeight="1">
      <c r="A562" s="3"/>
      <c r="B562" s="3"/>
      <c r="C562" s="3"/>
      <c r="D562" s="3"/>
      <c r="E562" s="206"/>
      <c r="F562" s="417"/>
      <c r="G562" s="418"/>
      <c r="H562" s="200"/>
      <c r="I562" s="200"/>
      <c r="J562" s="419"/>
      <c r="K562" s="420"/>
      <c r="L562" s="421"/>
      <c r="M562" s="422"/>
      <c r="N562" s="203"/>
      <c r="O562" s="203"/>
      <c r="P562" s="201"/>
      <c r="Q562" s="416"/>
    </row>
    <row r="563" spans="1:17" ht="14.25" customHeight="1">
      <c r="A563" s="3"/>
      <c r="B563" s="3"/>
      <c r="C563" s="3"/>
      <c r="D563" s="3"/>
      <c r="E563" s="206"/>
      <c r="F563" s="417"/>
      <c r="G563" s="418"/>
      <c r="H563" s="200"/>
      <c r="I563" s="200"/>
      <c r="J563" s="419"/>
      <c r="K563" s="420"/>
      <c r="L563" s="421"/>
      <c r="M563" s="422"/>
      <c r="N563" s="203"/>
      <c r="O563" s="203"/>
      <c r="P563" s="201"/>
      <c r="Q563" s="416"/>
    </row>
    <row r="564" spans="1:17" ht="14.25" customHeight="1">
      <c r="A564" s="3"/>
      <c r="B564" s="3"/>
      <c r="C564" s="3"/>
      <c r="D564" s="3"/>
      <c r="E564" s="206"/>
      <c r="F564" s="417"/>
      <c r="G564" s="418"/>
      <c r="H564" s="200"/>
      <c r="I564" s="200"/>
      <c r="J564" s="419"/>
      <c r="K564" s="420"/>
      <c r="L564" s="421"/>
      <c r="M564" s="422"/>
      <c r="N564" s="203"/>
      <c r="O564" s="203"/>
      <c r="P564" s="201"/>
      <c r="Q564" s="416"/>
    </row>
    <row r="565" spans="1:17" ht="14.25" customHeight="1">
      <c r="A565" s="3"/>
      <c r="B565" s="3"/>
      <c r="C565" s="3"/>
      <c r="D565" s="3"/>
      <c r="E565" s="206"/>
      <c r="F565" s="417"/>
      <c r="G565" s="418"/>
      <c r="H565" s="200"/>
      <c r="I565" s="200"/>
      <c r="J565" s="419"/>
      <c r="K565" s="420"/>
      <c r="L565" s="421"/>
      <c r="M565" s="422"/>
      <c r="N565" s="203"/>
      <c r="O565" s="203"/>
      <c r="P565" s="201"/>
      <c r="Q565" s="416"/>
    </row>
    <row r="566" spans="1:17" ht="14.25" customHeight="1">
      <c r="A566" s="3"/>
      <c r="B566" s="3"/>
      <c r="C566" s="3"/>
      <c r="D566" s="3"/>
      <c r="E566" s="206"/>
      <c r="F566" s="417"/>
      <c r="G566" s="418"/>
      <c r="H566" s="200"/>
      <c r="I566" s="200"/>
      <c r="J566" s="419"/>
      <c r="K566" s="420"/>
      <c r="L566" s="421"/>
      <c r="M566" s="422"/>
      <c r="N566" s="203"/>
      <c r="O566" s="203"/>
      <c r="P566" s="201"/>
      <c r="Q566" s="416"/>
    </row>
    <row r="567" spans="1:17" ht="14.25" customHeight="1">
      <c r="A567" s="3"/>
      <c r="B567" s="3"/>
      <c r="C567" s="3"/>
      <c r="D567" s="3"/>
      <c r="E567" s="206"/>
      <c r="F567" s="417"/>
      <c r="G567" s="418"/>
      <c r="H567" s="200"/>
      <c r="I567" s="200"/>
      <c r="J567" s="419"/>
      <c r="K567" s="420"/>
      <c r="L567" s="421"/>
      <c r="M567" s="422"/>
      <c r="N567" s="203"/>
      <c r="O567" s="203"/>
      <c r="P567" s="201"/>
      <c r="Q567" s="416"/>
    </row>
    <row r="568" spans="1:17" ht="14.25" customHeight="1">
      <c r="A568" s="3"/>
      <c r="B568" s="3"/>
      <c r="C568" s="3"/>
      <c r="D568" s="3"/>
      <c r="E568" s="206"/>
      <c r="F568" s="417"/>
      <c r="G568" s="418"/>
      <c r="H568" s="200"/>
      <c r="I568" s="200"/>
      <c r="J568" s="419"/>
      <c r="K568" s="420"/>
      <c r="L568" s="421"/>
      <c r="M568" s="422"/>
      <c r="N568" s="203"/>
      <c r="O568" s="203"/>
      <c r="P568" s="201"/>
      <c r="Q568" s="416"/>
    </row>
    <row r="569" spans="1:17" ht="14.25" customHeight="1">
      <c r="A569" s="3"/>
      <c r="B569" s="3"/>
      <c r="C569" s="3"/>
      <c r="D569" s="3"/>
      <c r="E569" s="206"/>
      <c r="F569" s="417"/>
      <c r="G569" s="418"/>
      <c r="H569" s="200"/>
      <c r="I569" s="200"/>
      <c r="J569" s="419"/>
      <c r="K569" s="420"/>
      <c r="L569" s="421"/>
      <c r="M569" s="422"/>
      <c r="N569" s="203"/>
      <c r="O569" s="203"/>
      <c r="P569" s="201"/>
      <c r="Q569" s="416"/>
    </row>
    <row r="570" spans="1:17" ht="14.25" customHeight="1">
      <c r="A570" s="3"/>
      <c r="B570" s="3"/>
      <c r="C570" s="3"/>
      <c r="D570" s="3"/>
      <c r="E570" s="206"/>
      <c r="F570" s="417"/>
      <c r="G570" s="418"/>
      <c r="H570" s="200"/>
      <c r="I570" s="200"/>
      <c r="J570" s="419"/>
      <c r="K570" s="420"/>
      <c r="L570" s="421"/>
      <c r="M570" s="422"/>
      <c r="N570" s="203"/>
      <c r="O570" s="203"/>
      <c r="P570" s="201"/>
      <c r="Q570" s="416"/>
    </row>
    <row r="571" spans="1:17" ht="14.25" customHeight="1">
      <c r="A571" s="3"/>
      <c r="B571" s="3"/>
      <c r="C571" s="3"/>
      <c r="D571" s="3"/>
      <c r="E571" s="206"/>
      <c r="F571" s="417"/>
      <c r="G571" s="418"/>
      <c r="H571" s="200"/>
      <c r="I571" s="200"/>
      <c r="J571" s="419"/>
      <c r="K571" s="420"/>
      <c r="L571" s="421"/>
      <c r="M571" s="422"/>
      <c r="N571" s="203"/>
      <c r="O571" s="203"/>
      <c r="P571" s="201"/>
      <c r="Q571" s="416"/>
    </row>
    <row r="572" spans="1:17" ht="14.25" customHeight="1">
      <c r="A572" s="3"/>
      <c r="B572" s="3"/>
      <c r="C572" s="3"/>
      <c r="D572" s="3"/>
      <c r="E572" s="206"/>
      <c r="F572" s="417"/>
      <c r="G572" s="418"/>
      <c r="H572" s="200"/>
      <c r="I572" s="200"/>
      <c r="J572" s="419"/>
      <c r="K572" s="420"/>
      <c r="L572" s="421"/>
      <c r="M572" s="422"/>
      <c r="N572" s="203"/>
      <c r="O572" s="203"/>
      <c r="P572" s="201"/>
      <c r="Q572" s="416"/>
    </row>
    <row r="573" spans="1:17" ht="14.25" customHeight="1">
      <c r="A573" s="3"/>
      <c r="B573" s="3"/>
      <c r="C573" s="3"/>
      <c r="D573" s="3"/>
      <c r="E573" s="206"/>
      <c r="F573" s="417"/>
      <c r="G573" s="418"/>
      <c r="H573" s="200"/>
      <c r="I573" s="200"/>
      <c r="J573" s="419"/>
      <c r="K573" s="420"/>
      <c r="L573" s="421"/>
      <c r="M573" s="422"/>
      <c r="N573" s="203"/>
      <c r="O573" s="203"/>
      <c r="P573" s="201"/>
      <c r="Q573" s="416"/>
    </row>
    <row r="574" spans="1:17" ht="14.25" customHeight="1">
      <c r="A574" s="3"/>
      <c r="B574" s="3"/>
      <c r="C574" s="3"/>
      <c r="D574" s="3"/>
      <c r="E574" s="206"/>
      <c r="F574" s="417"/>
      <c r="G574" s="418"/>
      <c r="H574" s="200"/>
      <c r="I574" s="200"/>
      <c r="J574" s="419"/>
      <c r="K574" s="420"/>
      <c r="L574" s="421"/>
      <c r="M574" s="422"/>
      <c r="N574" s="203"/>
      <c r="O574" s="203"/>
      <c r="P574" s="201"/>
      <c r="Q574" s="416"/>
    </row>
    <row r="575" spans="1:17" ht="14.25" customHeight="1">
      <c r="A575" s="3"/>
      <c r="B575" s="3"/>
      <c r="C575" s="3"/>
      <c r="D575" s="3"/>
      <c r="E575" s="206"/>
      <c r="F575" s="417"/>
      <c r="G575" s="418"/>
      <c r="H575" s="200"/>
      <c r="I575" s="200"/>
      <c r="J575" s="419"/>
      <c r="K575" s="420"/>
      <c r="L575" s="421"/>
      <c r="M575" s="422"/>
      <c r="N575" s="203"/>
      <c r="O575" s="203"/>
      <c r="P575" s="201"/>
      <c r="Q575" s="416"/>
    </row>
    <row r="576" spans="1:17" ht="14.25" customHeight="1">
      <c r="A576" s="3"/>
      <c r="B576" s="3"/>
      <c r="C576" s="3"/>
      <c r="D576" s="3"/>
      <c r="E576" s="206"/>
      <c r="F576" s="417"/>
      <c r="G576" s="418"/>
      <c r="H576" s="200"/>
      <c r="I576" s="200"/>
      <c r="J576" s="419"/>
      <c r="K576" s="420"/>
      <c r="L576" s="421"/>
      <c r="M576" s="422"/>
      <c r="N576" s="203"/>
      <c r="O576" s="203"/>
      <c r="P576" s="201"/>
      <c r="Q576" s="416"/>
    </row>
    <row r="577" spans="1:17" ht="14.25" customHeight="1">
      <c r="A577" s="3"/>
      <c r="B577" s="3"/>
      <c r="C577" s="3"/>
      <c r="D577" s="3"/>
      <c r="E577" s="206"/>
      <c r="F577" s="417"/>
      <c r="G577" s="418"/>
      <c r="H577" s="200"/>
      <c r="I577" s="200"/>
      <c r="J577" s="419"/>
      <c r="K577" s="420"/>
      <c r="L577" s="421"/>
      <c r="M577" s="422"/>
      <c r="N577" s="203"/>
      <c r="O577" s="203"/>
      <c r="P577" s="201"/>
      <c r="Q577" s="416"/>
    </row>
    <row r="578" spans="1:17" ht="14.25" customHeight="1">
      <c r="A578" s="3"/>
      <c r="B578" s="3"/>
      <c r="C578" s="3"/>
      <c r="D578" s="3"/>
      <c r="E578" s="206"/>
      <c r="F578" s="417"/>
      <c r="G578" s="418"/>
      <c r="H578" s="200"/>
      <c r="I578" s="200"/>
      <c r="J578" s="419"/>
      <c r="K578" s="420"/>
      <c r="L578" s="421"/>
      <c r="M578" s="422"/>
      <c r="N578" s="203"/>
      <c r="O578" s="203"/>
      <c r="P578" s="201"/>
      <c r="Q578" s="416"/>
    </row>
    <row r="579" spans="1:17" ht="14.25" customHeight="1">
      <c r="A579" s="3"/>
      <c r="B579" s="3"/>
      <c r="C579" s="3"/>
      <c r="D579" s="3"/>
      <c r="E579" s="206"/>
      <c r="F579" s="417"/>
      <c r="G579" s="418"/>
      <c r="H579" s="200"/>
      <c r="I579" s="200"/>
      <c r="J579" s="419"/>
      <c r="K579" s="420"/>
      <c r="L579" s="421"/>
      <c r="M579" s="422"/>
      <c r="N579" s="203"/>
      <c r="O579" s="203"/>
      <c r="P579" s="201"/>
      <c r="Q579" s="416"/>
    </row>
    <row r="580" spans="1:17" ht="14.25" customHeight="1">
      <c r="A580" s="3"/>
      <c r="B580" s="3"/>
      <c r="C580" s="3"/>
      <c r="D580" s="3"/>
      <c r="E580" s="206"/>
      <c r="F580" s="417"/>
      <c r="G580" s="418"/>
      <c r="H580" s="200"/>
      <c r="I580" s="200"/>
      <c r="J580" s="419"/>
      <c r="K580" s="420"/>
      <c r="L580" s="421"/>
      <c r="M580" s="422"/>
      <c r="N580" s="203"/>
      <c r="O580" s="203"/>
      <c r="P580" s="201"/>
      <c r="Q580" s="416"/>
    </row>
    <row r="581" spans="1:17" ht="14.25" customHeight="1">
      <c r="A581" s="3"/>
      <c r="B581" s="3"/>
      <c r="C581" s="3"/>
      <c r="D581" s="3"/>
      <c r="E581" s="206"/>
      <c r="F581" s="417"/>
      <c r="G581" s="418"/>
      <c r="H581" s="200"/>
      <c r="I581" s="200"/>
      <c r="J581" s="419"/>
      <c r="K581" s="420"/>
      <c r="L581" s="421"/>
      <c r="M581" s="422"/>
      <c r="N581" s="203"/>
      <c r="O581" s="203"/>
      <c r="P581" s="201"/>
      <c r="Q581" s="416"/>
    </row>
    <row r="582" spans="1:17" ht="14.25" customHeight="1">
      <c r="A582" s="3"/>
      <c r="B582" s="3"/>
      <c r="C582" s="3"/>
      <c r="D582" s="3"/>
      <c r="E582" s="206"/>
      <c r="F582" s="417"/>
      <c r="G582" s="418"/>
      <c r="H582" s="200"/>
      <c r="I582" s="200"/>
      <c r="J582" s="419"/>
      <c r="K582" s="420"/>
      <c r="L582" s="421"/>
      <c r="M582" s="422"/>
      <c r="N582" s="203"/>
      <c r="O582" s="203"/>
      <c r="P582" s="201"/>
      <c r="Q582" s="416"/>
    </row>
    <row r="583" spans="1:17" ht="14.25" customHeight="1">
      <c r="A583" s="3"/>
      <c r="B583" s="3"/>
      <c r="C583" s="3"/>
      <c r="D583" s="3"/>
      <c r="E583" s="206"/>
      <c r="F583" s="417"/>
      <c r="G583" s="418"/>
      <c r="H583" s="200"/>
      <c r="I583" s="200"/>
      <c r="J583" s="419"/>
      <c r="K583" s="420"/>
      <c r="L583" s="421"/>
      <c r="M583" s="422"/>
      <c r="N583" s="203"/>
      <c r="O583" s="203"/>
      <c r="P583" s="201"/>
      <c r="Q583" s="416"/>
    </row>
    <row r="584" spans="1:17" ht="14.25" customHeight="1">
      <c r="A584" s="3"/>
      <c r="B584" s="3"/>
      <c r="C584" s="3"/>
      <c r="D584" s="3"/>
      <c r="E584" s="206"/>
      <c r="F584" s="417"/>
      <c r="G584" s="418"/>
      <c r="H584" s="200"/>
      <c r="I584" s="200"/>
      <c r="J584" s="419"/>
      <c r="K584" s="420"/>
      <c r="L584" s="421"/>
      <c r="M584" s="422"/>
      <c r="N584" s="203"/>
      <c r="O584" s="203"/>
      <c r="P584" s="201"/>
      <c r="Q584" s="416"/>
    </row>
    <row r="585" spans="1:17" ht="14.25" customHeight="1">
      <c r="A585" s="3"/>
      <c r="B585" s="3"/>
      <c r="C585" s="3"/>
      <c r="D585" s="3"/>
      <c r="E585" s="206"/>
      <c r="F585" s="417"/>
      <c r="G585" s="418"/>
      <c r="H585" s="200"/>
      <c r="I585" s="200"/>
      <c r="J585" s="419"/>
      <c r="K585" s="420"/>
      <c r="L585" s="421"/>
      <c r="M585" s="422"/>
      <c r="N585" s="203"/>
      <c r="O585" s="203"/>
      <c r="P585" s="201"/>
      <c r="Q585" s="416"/>
    </row>
    <row r="586" spans="1:17" ht="14.25" customHeight="1">
      <c r="A586" s="3"/>
      <c r="B586" s="3"/>
      <c r="C586" s="3"/>
      <c r="D586" s="3"/>
      <c r="E586" s="206"/>
      <c r="F586" s="417"/>
      <c r="G586" s="418"/>
      <c r="H586" s="200"/>
      <c r="I586" s="200"/>
      <c r="J586" s="419"/>
      <c r="K586" s="420"/>
      <c r="L586" s="421"/>
      <c r="M586" s="422"/>
      <c r="N586" s="203"/>
      <c r="O586" s="203"/>
      <c r="P586" s="201"/>
      <c r="Q586" s="416"/>
    </row>
    <row r="587" spans="1:17" ht="14.25" customHeight="1">
      <c r="A587" s="3"/>
      <c r="B587" s="3"/>
      <c r="C587" s="3"/>
      <c r="D587" s="3"/>
      <c r="E587" s="206"/>
      <c r="F587" s="417"/>
      <c r="G587" s="418"/>
      <c r="H587" s="200"/>
      <c r="I587" s="200"/>
      <c r="J587" s="419"/>
      <c r="K587" s="420"/>
      <c r="L587" s="421"/>
      <c r="M587" s="422"/>
      <c r="N587" s="203"/>
      <c r="O587" s="203"/>
      <c r="P587" s="201"/>
      <c r="Q587" s="416"/>
    </row>
    <row r="588" spans="1:17" ht="14.25" customHeight="1">
      <c r="A588" s="3"/>
      <c r="B588" s="3"/>
      <c r="C588" s="3"/>
      <c r="D588" s="3"/>
      <c r="E588" s="206"/>
      <c r="F588" s="417"/>
      <c r="G588" s="418"/>
      <c r="H588" s="200"/>
      <c r="I588" s="200"/>
      <c r="J588" s="419"/>
      <c r="K588" s="420"/>
      <c r="L588" s="421"/>
      <c r="M588" s="422"/>
      <c r="N588" s="203"/>
      <c r="O588" s="203"/>
      <c r="P588" s="201"/>
      <c r="Q588" s="416"/>
    </row>
    <row r="589" spans="1:17" ht="14.25" customHeight="1">
      <c r="A589" s="3"/>
      <c r="B589" s="3"/>
      <c r="C589" s="3"/>
      <c r="D589" s="3"/>
      <c r="E589" s="206"/>
      <c r="F589" s="417"/>
      <c r="G589" s="418"/>
      <c r="H589" s="200"/>
      <c r="I589" s="200"/>
      <c r="J589" s="419"/>
      <c r="K589" s="420"/>
      <c r="L589" s="421"/>
      <c r="M589" s="422"/>
      <c r="N589" s="203"/>
      <c r="O589" s="203"/>
      <c r="P589" s="201"/>
      <c r="Q589" s="416"/>
    </row>
    <row r="590" spans="1:17" ht="14.25" customHeight="1">
      <c r="A590" s="3"/>
      <c r="B590" s="3"/>
      <c r="C590" s="3"/>
      <c r="D590" s="3"/>
      <c r="E590" s="206"/>
      <c r="F590" s="417"/>
      <c r="G590" s="418"/>
      <c r="H590" s="200"/>
      <c r="I590" s="200"/>
      <c r="J590" s="419"/>
      <c r="K590" s="420"/>
      <c r="L590" s="421"/>
      <c r="M590" s="422"/>
      <c r="N590" s="203"/>
      <c r="O590" s="203"/>
      <c r="P590" s="201"/>
      <c r="Q590" s="416"/>
    </row>
    <row r="591" spans="1:17" ht="14.25" customHeight="1">
      <c r="A591" s="3"/>
      <c r="B591" s="3"/>
      <c r="C591" s="3"/>
      <c r="D591" s="3"/>
      <c r="E591" s="206"/>
      <c r="F591" s="417"/>
      <c r="G591" s="418"/>
      <c r="H591" s="200"/>
      <c r="I591" s="200"/>
      <c r="J591" s="419"/>
      <c r="K591" s="420"/>
      <c r="L591" s="421"/>
      <c r="M591" s="422"/>
      <c r="N591" s="203"/>
      <c r="O591" s="203"/>
      <c r="P591" s="201"/>
      <c r="Q591" s="416"/>
    </row>
    <row r="592" spans="1:17" ht="14.25" customHeight="1">
      <c r="A592" s="3"/>
      <c r="B592" s="3"/>
      <c r="C592" s="3"/>
      <c r="D592" s="3"/>
      <c r="E592" s="206"/>
      <c r="F592" s="417"/>
      <c r="G592" s="418"/>
      <c r="H592" s="200"/>
      <c r="I592" s="200"/>
      <c r="J592" s="419"/>
      <c r="K592" s="420"/>
      <c r="L592" s="421"/>
      <c r="M592" s="422"/>
      <c r="N592" s="203"/>
      <c r="O592" s="203"/>
      <c r="P592" s="201"/>
      <c r="Q592" s="416"/>
    </row>
    <row r="593" spans="1:17" ht="14.25" customHeight="1">
      <c r="A593" s="3"/>
      <c r="B593" s="3"/>
      <c r="C593" s="3"/>
      <c r="D593" s="3"/>
      <c r="E593" s="206"/>
      <c r="F593" s="417"/>
      <c r="G593" s="418"/>
      <c r="H593" s="200"/>
      <c r="I593" s="200"/>
      <c r="J593" s="419"/>
      <c r="K593" s="420"/>
      <c r="L593" s="421"/>
      <c r="M593" s="422"/>
      <c r="N593" s="203"/>
      <c r="O593" s="203"/>
      <c r="P593" s="201"/>
      <c r="Q593" s="416"/>
    </row>
    <row r="594" spans="1:17" ht="14.25" customHeight="1">
      <c r="A594" s="3"/>
      <c r="B594" s="3"/>
      <c r="C594" s="3"/>
      <c r="D594" s="3"/>
      <c r="E594" s="206"/>
      <c r="F594" s="417"/>
      <c r="G594" s="418"/>
      <c r="H594" s="200"/>
      <c r="I594" s="200"/>
      <c r="J594" s="419"/>
      <c r="K594" s="420"/>
      <c r="L594" s="421"/>
      <c r="M594" s="422"/>
      <c r="N594" s="203"/>
      <c r="O594" s="203"/>
      <c r="P594" s="201"/>
      <c r="Q594" s="416"/>
    </row>
    <row r="595" spans="1:17" ht="14.25" customHeight="1">
      <c r="A595" s="3"/>
      <c r="B595" s="3"/>
      <c r="C595" s="3"/>
      <c r="D595" s="3"/>
      <c r="E595" s="206"/>
      <c r="F595" s="417"/>
      <c r="G595" s="418"/>
      <c r="H595" s="200"/>
      <c r="I595" s="200"/>
      <c r="J595" s="419"/>
      <c r="K595" s="420"/>
      <c r="L595" s="421"/>
      <c r="M595" s="422"/>
      <c r="N595" s="203"/>
      <c r="O595" s="203"/>
      <c r="P595" s="201"/>
      <c r="Q595" s="416"/>
    </row>
    <row r="596" spans="1:17" ht="14.25" customHeight="1">
      <c r="A596" s="3"/>
      <c r="B596" s="3"/>
      <c r="C596" s="3"/>
      <c r="D596" s="3"/>
      <c r="E596" s="206"/>
      <c r="F596" s="417"/>
      <c r="G596" s="418"/>
      <c r="H596" s="200"/>
      <c r="I596" s="200"/>
      <c r="J596" s="419"/>
      <c r="K596" s="420"/>
      <c r="L596" s="421"/>
      <c r="M596" s="422"/>
      <c r="N596" s="203"/>
      <c r="O596" s="203"/>
      <c r="P596" s="201"/>
      <c r="Q596" s="416"/>
    </row>
    <row r="597" spans="1:17" ht="14.25" customHeight="1">
      <c r="A597" s="3"/>
      <c r="B597" s="3"/>
      <c r="C597" s="3"/>
      <c r="D597" s="3"/>
      <c r="E597" s="206"/>
      <c r="F597" s="417"/>
      <c r="G597" s="418"/>
      <c r="H597" s="200"/>
      <c r="I597" s="200"/>
      <c r="J597" s="419"/>
      <c r="K597" s="420"/>
      <c r="L597" s="421"/>
      <c r="M597" s="422"/>
      <c r="N597" s="203"/>
      <c r="O597" s="203"/>
      <c r="P597" s="201"/>
      <c r="Q597" s="416"/>
    </row>
    <row r="598" spans="1:17" ht="14.25" customHeight="1">
      <c r="A598" s="3"/>
      <c r="B598" s="3"/>
      <c r="C598" s="3"/>
      <c r="D598" s="3"/>
      <c r="E598" s="206"/>
      <c r="F598" s="417"/>
      <c r="G598" s="418"/>
      <c r="H598" s="200"/>
      <c r="I598" s="200"/>
      <c r="J598" s="419"/>
      <c r="K598" s="420"/>
      <c r="L598" s="421"/>
      <c r="M598" s="422"/>
      <c r="N598" s="203"/>
      <c r="O598" s="203"/>
      <c r="P598" s="201"/>
      <c r="Q598" s="416"/>
    </row>
    <row r="599" spans="1:17" ht="14.25" customHeight="1">
      <c r="A599" s="3"/>
      <c r="B599" s="3"/>
      <c r="C599" s="3"/>
      <c r="D599" s="3"/>
      <c r="E599" s="206"/>
      <c r="F599" s="417"/>
      <c r="G599" s="418"/>
      <c r="H599" s="200"/>
      <c r="I599" s="200"/>
      <c r="J599" s="419"/>
      <c r="K599" s="420"/>
      <c r="L599" s="421"/>
      <c r="M599" s="422"/>
      <c r="N599" s="203"/>
      <c r="O599" s="203"/>
      <c r="P599" s="201"/>
      <c r="Q599" s="416"/>
    </row>
    <row r="600" spans="1:17" ht="14.25" customHeight="1">
      <c r="A600" s="3"/>
      <c r="B600" s="3"/>
      <c r="C600" s="3"/>
      <c r="D600" s="3"/>
      <c r="E600" s="206"/>
      <c r="F600" s="417"/>
      <c r="G600" s="418"/>
      <c r="H600" s="200"/>
      <c r="I600" s="200"/>
      <c r="J600" s="419"/>
      <c r="K600" s="420"/>
      <c r="L600" s="421"/>
      <c r="M600" s="422"/>
      <c r="N600" s="203"/>
      <c r="O600" s="203"/>
      <c r="P600" s="201"/>
      <c r="Q600" s="416"/>
    </row>
    <row r="601" spans="1:17" ht="14.25" customHeight="1">
      <c r="A601" s="3"/>
      <c r="B601" s="3"/>
      <c r="C601" s="3"/>
      <c r="D601" s="3"/>
      <c r="E601" s="206"/>
      <c r="F601" s="417"/>
      <c r="G601" s="418"/>
      <c r="H601" s="200"/>
      <c r="I601" s="200"/>
      <c r="J601" s="419"/>
      <c r="K601" s="420"/>
      <c r="L601" s="421"/>
      <c r="M601" s="422"/>
      <c r="N601" s="203"/>
      <c r="O601" s="203"/>
      <c r="P601" s="201"/>
      <c r="Q601" s="416"/>
    </row>
    <row r="602" spans="1:17" ht="14.25" customHeight="1">
      <c r="A602" s="3"/>
      <c r="B602" s="3"/>
      <c r="C602" s="3"/>
      <c r="D602" s="3"/>
      <c r="E602" s="206"/>
      <c r="F602" s="417"/>
      <c r="G602" s="418"/>
      <c r="H602" s="200"/>
      <c r="I602" s="200"/>
      <c r="J602" s="419"/>
      <c r="K602" s="420"/>
      <c r="L602" s="421"/>
      <c r="M602" s="422"/>
      <c r="N602" s="203"/>
      <c r="O602" s="203"/>
      <c r="P602" s="201"/>
      <c r="Q602" s="416"/>
    </row>
    <row r="603" spans="1:17" ht="14.25" customHeight="1">
      <c r="A603" s="3"/>
      <c r="B603" s="3"/>
      <c r="C603" s="3"/>
      <c r="D603" s="3"/>
      <c r="E603" s="206"/>
      <c r="F603" s="417"/>
      <c r="G603" s="418"/>
      <c r="H603" s="200"/>
      <c r="I603" s="200"/>
      <c r="J603" s="419"/>
      <c r="K603" s="420"/>
      <c r="L603" s="421"/>
      <c r="M603" s="422"/>
      <c r="N603" s="203"/>
      <c r="O603" s="203"/>
      <c r="P603" s="201"/>
      <c r="Q603" s="416"/>
    </row>
    <row r="604" spans="1:17" ht="14.25" customHeight="1">
      <c r="A604" s="3"/>
      <c r="B604" s="3"/>
      <c r="C604" s="3"/>
      <c r="D604" s="3"/>
      <c r="E604" s="206"/>
      <c r="F604" s="417"/>
      <c r="G604" s="418"/>
      <c r="H604" s="200"/>
      <c r="I604" s="200"/>
      <c r="J604" s="419"/>
      <c r="K604" s="420"/>
      <c r="L604" s="421"/>
      <c r="M604" s="422"/>
      <c r="N604" s="203"/>
      <c r="O604" s="203"/>
      <c r="P604" s="201"/>
      <c r="Q604" s="416"/>
    </row>
    <row r="605" spans="1:17" ht="14.25" customHeight="1">
      <c r="A605" s="3"/>
      <c r="B605" s="3"/>
      <c r="C605" s="3"/>
      <c r="D605" s="3"/>
      <c r="E605" s="206"/>
      <c r="F605" s="417"/>
      <c r="G605" s="418"/>
      <c r="H605" s="200"/>
      <c r="I605" s="200"/>
      <c r="J605" s="419"/>
      <c r="K605" s="420"/>
      <c r="L605" s="421"/>
      <c r="M605" s="422"/>
      <c r="N605" s="203"/>
      <c r="O605" s="203"/>
      <c r="P605" s="201"/>
      <c r="Q605" s="416"/>
    </row>
    <row r="606" spans="1:17" ht="14.25" customHeight="1">
      <c r="A606" s="3"/>
      <c r="B606" s="3"/>
      <c r="C606" s="3"/>
      <c r="D606" s="3"/>
      <c r="E606" s="206"/>
      <c r="F606" s="417"/>
      <c r="G606" s="418"/>
      <c r="H606" s="200"/>
      <c r="I606" s="200"/>
      <c r="J606" s="419"/>
      <c r="K606" s="420"/>
      <c r="L606" s="421"/>
      <c r="M606" s="422"/>
      <c r="N606" s="203"/>
      <c r="O606" s="203"/>
      <c r="P606" s="201"/>
      <c r="Q606" s="416"/>
    </row>
    <row r="607" spans="1:17" ht="14.25" customHeight="1">
      <c r="A607" s="3"/>
      <c r="B607" s="3"/>
      <c r="C607" s="3"/>
      <c r="D607" s="3"/>
      <c r="E607" s="206"/>
      <c r="F607" s="417"/>
      <c r="G607" s="418"/>
      <c r="H607" s="200"/>
      <c r="I607" s="200"/>
      <c r="J607" s="419"/>
      <c r="K607" s="420"/>
      <c r="L607" s="421"/>
      <c r="M607" s="422"/>
      <c r="N607" s="203"/>
      <c r="O607" s="203"/>
      <c r="P607" s="201"/>
      <c r="Q607" s="416"/>
    </row>
    <row r="608" spans="1:17" ht="14.25" customHeight="1">
      <c r="A608" s="3"/>
      <c r="B608" s="3"/>
      <c r="C608" s="3"/>
      <c r="D608" s="3"/>
      <c r="E608" s="206"/>
      <c r="F608" s="417"/>
      <c r="G608" s="418"/>
      <c r="H608" s="200"/>
      <c r="I608" s="200"/>
      <c r="J608" s="419"/>
      <c r="K608" s="420"/>
      <c r="L608" s="421"/>
      <c r="M608" s="422"/>
      <c r="N608" s="203"/>
      <c r="O608" s="203"/>
      <c r="P608" s="201"/>
      <c r="Q608" s="416"/>
    </row>
    <row r="609" spans="1:17" ht="14.25" customHeight="1">
      <c r="A609" s="3"/>
      <c r="B609" s="3"/>
      <c r="C609" s="3"/>
      <c r="D609" s="3"/>
      <c r="E609" s="206"/>
      <c r="F609" s="417"/>
      <c r="G609" s="418"/>
      <c r="H609" s="200"/>
      <c r="I609" s="200"/>
      <c r="J609" s="419"/>
      <c r="K609" s="420"/>
      <c r="L609" s="421"/>
      <c r="M609" s="422"/>
      <c r="N609" s="203"/>
      <c r="O609" s="203"/>
      <c r="P609" s="201"/>
      <c r="Q609" s="416"/>
    </row>
    <row r="610" spans="1:17" ht="14.25" customHeight="1">
      <c r="A610" s="3"/>
      <c r="B610" s="3"/>
      <c r="C610" s="3"/>
      <c r="D610" s="3"/>
      <c r="E610" s="206"/>
      <c r="F610" s="417"/>
      <c r="G610" s="418"/>
      <c r="H610" s="200"/>
      <c r="I610" s="200"/>
      <c r="J610" s="419"/>
      <c r="K610" s="420"/>
      <c r="L610" s="421"/>
      <c r="M610" s="422"/>
      <c r="N610" s="203"/>
      <c r="O610" s="203"/>
      <c r="P610" s="201"/>
      <c r="Q610" s="416"/>
    </row>
    <row r="611" spans="1:17" ht="14.25" customHeight="1">
      <c r="A611" s="3"/>
      <c r="B611" s="3"/>
      <c r="C611" s="3"/>
      <c r="D611" s="3"/>
      <c r="E611" s="206"/>
      <c r="F611" s="417"/>
      <c r="G611" s="418"/>
      <c r="H611" s="200"/>
      <c r="I611" s="200"/>
      <c r="J611" s="419"/>
      <c r="K611" s="420"/>
      <c r="L611" s="421"/>
      <c r="M611" s="422"/>
      <c r="N611" s="203"/>
      <c r="O611" s="203"/>
      <c r="P611" s="201"/>
      <c r="Q611" s="416"/>
    </row>
    <row r="612" spans="1:17" ht="14.25" customHeight="1">
      <c r="A612" s="3"/>
      <c r="B612" s="3"/>
      <c r="C612" s="3"/>
      <c r="D612" s="3"/>
      <c r="E612" s="206"/>
      <c r="F612" s="417"/>
      <c r="G612" s="418"/>
      <c r="H612" s="200"/>
      <c r="I612" s="200"/>
      <c r="J612" s="419"/>
      <c r="K612" s="420"/>
      <c r="L612" s="421"/>
      <c r="M612" s="422"/>
      <c r="N612" s="203"/>
      <c r="O612" s="203"/>
      <c r="P612" s="201"/>
      <c r="Q612" s="416"/>
    </row>
    <row r="613" spans="1:17" ht="14.25" customHeight="1">
      <c r="A613" s="3"/>
      <c r="B613" s="3"/>
      <c r="C613" s="3"/>
      <c r="D613" s="3"/>
      <c r="E613" s="206"/>
      <c r="F613" s="417"/>
      <c r="G613" s="418"/>
      <c r="H613" s="200"/>
      <c r="I613" s="200"/>
      <c r="J613" s="419"/>
      <c r="K613" s="420"/>
      <c r="L613" s="421"/>
      <c r="M613" s="422"/>
      <c r="N613" s="203"/>
      <c r="O613" s="203"/>
      <c r="P613" s="201"/>
      <c r="Q613" s="416"/>
    </row>
    <row r="614" spans="1:17" ht="14.25" customHeight="1">
      <c r="A614" s="3"/>
      <c r="B614" s="3"/>
      <c r="C614" s="3"/>
      <c r="D614" s="3"/>
      <c r="E614" s="206"/>
      <c r="F614" s="417"/>
      <c r="G614" s="418"/>
      <c r="H614" s="200"/>
      <c r="I614" s="200"/>
      <c r="J614" s="419"/>
      <c r="K614" s="420"/>
      <c r="L614" s="421"/>
      <c r="M614" s="422"/>
      <c r="N614" s="203"/>
      <c r="O614" s="203"/>
      <c r="P614" s="201"/>
      <c r="Q614" s="416"/>
    </row>
    <row r="615" spans="1:17" ht="14.25" customHeight="1">
      <c r="A615" s="3"/>
      <c r="B615" s="3"/>
      <c r="C615" s="3"/>
      <c r="D615" s="3"/>
      <c r="E615" s="206"/>
      <c r="F615" s="417"/>
      <c r="G615" s="418"/>
      <c r="H615" s="200"/>
      <c r="I615" s="200"/>
      <c r="J615" s="419"/>
      <c r="K615" s="420"/>
      <c r="L615" s="421"/>
      <c r="M615" s="422"/>
      <c r="N615" s="203"/>
      <c r="O615" s="203"/>
      <c r="P615" s="201"/>
      <c r="Q615" s="416"/>
    </row>
    <row r="616" spans="1:17" ht="14.25" customHeight="1">
      <c r="A616" s="3"/>
      <c r="B616" s="3"/>
      <c r="C616" s="3"/>
      <c r="D616" s="3"/>
      <c r="E616" s="206"/>
      <c r="F616" s="417"/>
      <c r="G616" s="418"/>
      <c r="H616" s="200"/>
      <c r="I616" s="200"/>
      <c r="J616" s="419"/>
      <c r="K616" s="420"/>
      <c r="L616" s="421"/>
      <c r="M616" s="422"/>
      <c r="N616" s="203"/>
      <c r="O616" s="203"/>
      <c r="P616" s="201"/>
      <c r="Q616" s="416"/>
    </row>
    <row r="617" spans="1:17" ht="14.25" customHeight="1">
      <c r="A617" s="3"/>
      <c r="B617" s="3"/>
      <c r="C617" s="3"/>
      <c r="D617" s="3"/>
      <c r="E617" s="206"/>
      <c r="F617" s="417"/>
      <c r="G617" s="418"/>
      <c r="H617" s="200"/>
      <c r="I617" s="200"/>
      <c r="J617" s="419"/>
      <c r="K617" s="420"/>
      <c r="L617" s="421"/>
      <c r="M617" s="422"/>
      <c r="N617" s="203"/>
      <c r="O617" s="203"/>
      <c r="P617" s="201"/>
      <c r="Q617" s="416"/>
    </row>
    <row r="618" spans="1:17" ht="14.25" customHeight="1">
      <c r="A618" s="3"/>
      <c r="B618" s="3"/>
      <c r="C618" s="3"/>
      <c r="D618" s="3"/>
      <c r="E618" s="206"/>
      <c r="F618" s="417"/>
      <c r="G618" s="418"/>
      <c r="H618" s="200"/>
      <c r="I618" s="200"/>
      <c r="J618" s="419"/>
      <c r="K618" s="420"/>
      <c r="L618" s="421"/>
      <c r="M618" s="422"/>
      <c r="N618" s="203"/>
      <c r="O618" s="203"/>
      <c r="P618" s="201"/>
      <c r="Q618" s="416"/>
    </row>
    <row r="619" spans="1:17" ht="14.25" customHeight="1">
      <c r="A619" s="3"/>
      <c r="B619" s="3"/>
      <c r="C619" s="3"/>
      <c r="D619" s="3"/>
      <c r="E619" s="206"/>
      <c r="F619" s="417"/>
      <c r="G619" s="418"/>
      <c r="H619" s="200"/>
      <c r="I619" s="200"/>
      <c r="J619" s="419"/>
      <c r="K619" s="420"/>
      <c r="L619" s="421"/>
      <c r="M619" s="422"/>
      <c r="N619" s="203"/>
      <c r="O619" s="203"/>
      <c r="P619" s="201"/>
      <c r="Q619" s="416"/>
    </row>
    <row r="620" spans="1:17" ht="14.25" customHeight="1">
      <c r="A620" s="3"/>
      <c r="B620" s="3"/>
      <c r="C620" s="3"/>
      <c r="D620" s="3"/>
      <c r="E620" s="206"/>
      <c r="F620" s="417"/>
      <c r="G620" s="418"/>
      <c r="H620" s="200"/>
      <c r="I620" s="200"/>
      <c r="J620" s="419"/>
      <c r="K620" s="420"/>
      <c r="L620" s="421"/>
      <c r="M620" s="422"/>
      <c r="N620" s="203"/>
      <c r="O620" s="203"/>
      <c r="P620" s="201"/>
      <c r="Q620" s="416"/>
    </row>
    <row r="621" spans="1:17" ht="14.25" customHeight="1">
      <c r="A621" s="3"/>
      <c r="B621" s="3"/>
      <c r="C621" s="3"/>
      <c r="D621" s="3"/>
      <c r="E621" s="206"/>
      <c r="F621" s="417"/>
      <c r="G621" s="418"/>
      <c r="H621" s="200"/>
      <c r="I621" s="200"/>
      <c r="J621" s="419"/>
      <c r="K621" s="420"/>
      <c r="L621" s="421"/>
      <c r="M621" s="422"/>
      <c r="N621" s="203"/>
      <c r="O621" s="203"/>
      <c r="P621" s="201"/>
      <c r="Q621" s="416"/>
    </row>
    <row r="622" spans="1:17" ht="14.25" customHeight="1">
      <c r="A622" s="3"/>
      <c r="B622" s="3"/>
      <c r="C622" s="3"/>
      <c r="D622" s="3"/>
      <c r="E622" s="206"/>
      <c r="F622" s="417"/>
      <c r="G622" s="418"/>
      <c r="H622" s="200"/>
      <c r="I622" s="200"/>
      <c r="J622" s="419"/>
      <c r="K622" s="420"/>
      <c r="L622" s="421"/>
      <c r="M622" s="422"/>
      <c r="N622" s="203"/>
      <c r="O622" s="203"/>
      <c r="P622" s="201"/>
      <c r="Q622" s="416"/>
    </row>
    <row r="623" spans="1:17" ht="14.25" customHeight="1">
      <c r="A623" s="3"/>
      <c r="B623" s="3"/>
      <c r="C623" s="3"/>
      <c r="D623" s="3"/>
      <c r="E623" s="206"/>
      <c r="F623" s="417"/>
      <c r="G623" s="418"/>
      <c r="H623" s="200"/>
      <c r="I623" s="200"/>
      <c r="J623" s="419"/>
      <c r="K623" s="420"/>
      <c r="L623" s="421"/>
      <c r="M623" s="422"/>
      <c r="N623" s="203"/>
      <c r="O623" s="203"/>
      <c r="P623" s="201"/>
      <c r="Q623" s="416"/>
    </row>
    <row r="624" spans="1:17" ht="14.25" customHeight="1">
      <c r="A624" s="3"/>
      <c r="B624" s="3"/>
      <c r="C624" s="3"/>
      <c r="D624" s="3"/>
      <c r="E624" s="206"/>
      <c r="F624" s="417"/>
      <c r="G624" s="418"/>
      <c r="H624" s="200"/>
      <c r="I624" s="200"/>
      <c r="J624" s="419"/>
      <c r="K624" s="420"/>
      <c r="L624" s="421"/>
      <c r="M624" s="422"/>
      <c r="N624" s="203"/>
      <c r="O624" s="203"/>
      <c r="P624" s="201"/>
      <c r="Q624" s="416"/>
    </row>
    <row r="625" spans="1:17" ht="14.25" customHeight="1">
      <c r="A625" s="3"/>
      <c r="B625" s="3"/>
      <c r="C625" s="3"/>
      <c r="D625" s="3"/>
      <c r="E625" s="206"/>
      <c r="F625" s="417"/>
      <c r="G625" s="418"/>
      <c r="H625" s="200"/>
      <c r="I625" s="200"/>
      <c r="J625" s="419"/>
      <c r="K625" s="420"/>
      <c r="L625" s="421"/>
      <c r="M625" s="422"/>
      <c r="N625" s="203"/>
      <c r="O625" s="203"/>
      <c r="P625" s="201"/>
      <c r="Q625" s="416"/>
    </row>
    <row r="626" spans="1:17" ht="14.25" customHeight="1">
      <c r="A626" s="3"/>
      <c r="B626" s="3"/>
      <c r="C626" s="3"/>
      <c r="D626" s="3"/>
      <c r="E626" s="206"/>
      <c r="F626" s="417"/>
      <c r="G626" s="418"/>
      <c r="H626" s="200"/>
      <c r="I626" s="200"/>
      <c r="J626" s="419"/>
      <c r="K626" s="420"/>
      <c r="L626" s="421"/>
      <c r="M626" s="422"/>
      <c r="N626" s="203"/>
      <c r="O626" s="203"/>
      <c r="P626" s="201"/>
      <c r="Q626" s="416"/>
    </row>
    <row r="627" spans="1:17" ht="14.25" customHeight="1">
      <c r="A627" s="3"/>
      <c r="B627" s="3"/>
      <c r="C627" s="3"/>
      <c r="D627" s="3"/>
      <c r="E627" s="206"/>
      <c r="F627" s="417"/>
      <c r="G627" s="418"/>
      <c r="H627" s="200"/>
      <c r="I627" s="200"/>
      <c r="J627" s="419"/>
      <c r="K627" s="420"/>
      <c r="L627" s="421"/>
      <c r="M627" s="422"/>
      <c r="N627" s="203"/>
      <c r="O627" s="203"/>
      <c r="P627" s="201"/>
      <c r="Q627" s="416"/>
    </row>
    <row r="628" spans="1:17" ht="14.25" customHeight="1">
      <c r="A628" s="3"/>
      <c r="B628" s="3"/>
      <c r="C628" s="3"/>
      <c r="D628" s="3"/>
      <c r="E628" s="206"/>
      <c r="F628" s="417"/>
      <c r="G628" s="418"/>
      <c r="H628" s="200"/>
      <c r="I628" s="200"/>
      <c r="J628" s="419"/>
      <c r="K628" s="420"/>
      <c r="L628" s="421"/>
      <c r="M628" s="422"/>
      <c r="N628" s="203"/>
      <c r="O628" s="203"/>
      <c r="P628" s="201"/>
      <c r="Q628" s="416"/>
    </row>
    <row r="629" spans="1:17" ht="14.25" customHeight="1">
      <c r="A629" s="3"/>
      <c r="B629" s="3"/>
      <c r="C629" s="3"/>
      <c r="D629" s="3"/>
      <c r="E629" s="206"/>
      <c r="F629" s="417"/>
      <c r="G629" s="418"/>
      <c r="H629" s="200"/>
      <c r="I629" s="200"/>
      <c r="J629" s="419"/>
      <c r="K629" s="420"/>
      <c r="L629" s="421"/>
      <c r="M629" s="422"/>
      <c r="N629" s="203"/>
      <c r="O629" s="203"/>
      <c r="P629" s="201"/>
      <c r="Q629" s="416"/>
    </row>
    <row r="630" spans="1:17" ht="14.25" customHeight="1">
      <c r="A630" s="3"/>
      <c r="B630" s="3"/>
      <c r="C630" s="3"/>
      <c r="D630" s="3"/>
      <c r="E630" s="206"/>
      <c r="F630" s="417"/>
      <c r="G630" s="418"/>
      <c r="H630" s="200"/>
      <c r="I630" s="200"/>
      <c r="J630" s="419"/>
      <c r="K630" s="420"/>
      <c r="L630" s="421"/>
      <c r="M630" s="422"/>
      <c r="N630" s="203"/>
      <c r="O630" s="203"/>
      <c r="P630" s="201"/>
      <c r="Q630" s="416"/>
    </row>
    <row r="631" spans="1:17" ht="14.25" customHeight="1">
      <c r="A631" s="3"/>
      <c r="B631" s="3"/>
      <c r="C631" s="3"/>
      <c r="D631" s="3"/>
      <c r="E631" s="206"/>
      <c r="F631" s="417"/>
      <c r="G631" s="418"/>
      <c r="H631" s="200"/>
      <c r="I631" s="200"/>
      <c r="J631" s="419"/>
      <c r="K631" s="420"/>
      <c r="L631" s="421"/>
      <c r="M631" s="422"/>
      <c r="N631" s="203"/>
      <c r="O631" s="203"/>
      <c r="P631" s="201"/>
      <c r="Q631" s="416"/>
    </row>
    <row r="632" spans="1:17" ht="14.25" customHeight="1">
      <c r="A632" s="3"/>
      <c r="B632" s="3"/>
      <c r="C632" s="3"/>
      <c r="D632" s="3"/>
      <c r="E632" s="206"/>
      <c r="F632" s="417"/>
      <c r="G632" s="418"/>
      <c r="H632" s="200"/>
      <c r="I632" s="200"/>
      <c r="J632" s="419"/>
      <c r="K632" s="420"/>
      <c r="L632" s="421"/>
      <c r="M632" s="422"/>
      <c r="N632" s="203"/>
      <c r="O632" s="203"/>
      <c r="P632" s="201"/>
      <c r="Q632" s="416"/>
    </row>
    <row r="633" spans="1:17" ht="14.25" customHeight="1">
      <c r="A633" s="3"/>
      <c r="B633" s="3"/>
      <c r="C633" s="3"/>
      <c r="D633" s="3"/>
      <c r="E633" s="206"/>
      <c r="F633" s="417"/>
      <c r="G633" s="418"/>
      <c r="H633" s="200"/>
      <c r="I633" s="200"/>
      <c r="J633" s="419"/>
      <c r="K633" s="420"/>
      <c r="L633" s="421"/>
      <c r="M633" s="422"/>
      <c r="N633" s="203"/>
      <c r="O633" s="203"/>
      <c r="P633" s="201"/>
      <c r="Q633" s="416"/>
    </row>
    <row r="634" spans="1:17" ht="14.25" customHeight="1">
      <c r="A634" s="3"/>
      <c r="B634" s="3"/>
      <c r="C634" s="3"/>
      <c r="D634" s="3"/>
      <c r="E634" s="206"/>
      <c r="F634" s="417"/>
      <c r="G634" s="418"/>
      <c r="H634" s="200"/>
      <c r="I634" s="200"/>
      <c r="J634" s="419"/>
      <c r="K634" s="420"/>
      <c r="L634" s="421"/>
      <c r="M634" s="422"/>
      <c r="N634" s="203"/>
      <c r="O634" s="203"/>
      <c r="P634" s="201"/>
      <c r="Q634" s="416"/>
    </row>
    <row r="635" spans="1:17" ht="14.25" customHeight="1">
      <c r="A635" s="3"/>
      <c r="B635" s="3"/>
      <c r="C635" s="3"/>
      <c r="D635" s="3"/>
      <c r="E635" s="206"/>
      <c r="F635" s="417"/>
      <c r="G635" s="418"/>
      <c r="H635" s="200"/>
      <c r="I635" s="200"/>
      <c r="J635" s="419"/>
      <c r="K635" s="420"/>
      <c r="L635" s="421"/>
      <c r="M635" s="422"/>
      <c r="N635" s="203"/>
      <c r="O635" s="203"/>
      <c r="P635" s="201"/>
      <c r="Q635" s="416"/>
    </row>
    <row r="636" spans="1:17" ht="14.25" customHeight="1">
      <c r="A636" s="3"/>
      <c r="B636" s="3"/>
      <c r="C636" s="3"/>
      <c r="D636" s="3"/>
      <c r="E636" s="206"/>
      <c r="F636" s="417"/>
      <c r="G636" s="418"/>
      <c r="H636" s="200"/>
      <c r="I636" s="200"/>
      <c r="J636" s="419"/>
      <c r="K636" s="420"/>
      <c r="L636" s="421"/>
      <c r="M636" s="422"/>
      <c r="N636" s="203"/>
      <c r="O636" s="203"/>
      <c r="P636" s="201"/>
      <c r="Q636" s="416"/>
    </row>
    <row r="637" spans="1:17" ht="14.25" customHeight="1">
      <c r="A637" s="3"/>
      <c r="B637" s="3"/>
      <c r="C637" s="3"/>
      <c r="D637" s="3"/>
      <c r="E637" s="206"/>
      <c r="F637" s="417"/>
      <c r="G637" s="418"/>
      <c r="H637" s="200"/>
      <c r="I637" s="200"/>
      <c r="J637" s="419"/>
      <c r="K637" s="420"/>
      <c r="L637" s="421"/>
      <c r="M637" s="422"/>
      <c r="N637" s="203"/>
      <c r="O637" s="203"/>
      <c r="P637" s="201"/>
      <c r="Q637" s="416"/>
    </row>
    <row r="638" spans="1:17" ht="14.25" customHeight="1">
      <c r="A638" s="3"/>
      <c r="B638" s="3"/>
      <c r="C638" s="3"/>
      <c r="D638" s="3"/>
      <c r="E638" s="206"/>
      <c r="F638" s="417"/>
      <c r="G638" s="418"/>
      <c r="H638" s="200"/>
      <c r="I638" s="200"/>
      <c r="J638" s="419"/>
      <c r="K638" s="420"/>
      <c r="L638" s="421"/>
      <c r="M638" s="422"/>
      <c r="N638" s="203"/>
      <c r="O638" s="203"/>
      <c r="P638" s="201"/>
      <c r="Q638" s="416"/>
    </row>
    <row r="639" spans="1:17" ht="14.25" customHeight="1">
      <c r="A639" s="3"/>
      <c r="B639" s="3"/>
      <c r="C639" s="3"/>
      <c r="D639" s="3"/>
      <c r="E639" s="206"/>
      <c r="F639" s="417"/>
      <c r="G639" s="418"/>
      <c r="H639" s="200"/>
      <c r="I639" s="200"/>
      <c r="J639" s="419"/>
      <c r="K639" s="420"/>
      <c r="L639" s="421"/>
      <c r="M639" s="422"/>
      <c r="N639" s="203"/>
      <c r="O639" s="203"/>
      <c r="P639" s="201"/>
      <c r="Q639" s="416"/>
    </row>
    <row r="640" spans="1:17" ht="14.25" customHeight="1">
      <c r="A640" s="3"/>
      <c r="B640" s="3"/>
      <c r="C640" s="3"/>
      <c r="D640" s="3"/>
      <c r="E640" s="206"/>
      <c r="F640" s="417"/>
      <c r="G640" s="418"/>
      <c r="H640" s="200"/>
      <c r="I640" s="200"/>
      <c r="J640" s="419"/>
      <c r="K640" s="420"/>
      <c r="L640" s="421"/>
      <c r="M640" s="422"/>
      <c r="N640" s="203"/>
      <c r="O640" s="203"/>
      <c r="P640" s="201"/>
      <c r="Q640" s="416"/>
    </row>
    <row r="641" spans="1:17" ht="14.25" customHeight="1">
      <c r="A641" s="3"/>
      <c r="B641" s="3"/>
      <c r="C641" s="3"/>
      <c r="D641" s="3"/>
      <c r="E641" s="206"/>
      <c r="F641" s="417"/>
      <c r="G641" s="418"/>
      <c r="H641" s="200"/>
      <c r="I641" s="200"/>
      <c r="J641" s="419"/>
      <c r="K641" s="420"/>
      <c r="L641" s="421"/>
      <c r="M641" s="422"/>
      <c r="N641" s="203"/>
      <c r="O641" s="203"/>
      <c r="P641" s="201"/>
      <c r="Q641" s="416"/>
    </row>
    <row r="642" spans="1:17" ht="14.25" customHeight="1">
      <c r="A642" s="3"/>
      <c r="B642" s="3"/>
      <c r="C642" s="3"/>
      <c r="D642" s="3"/>
      <c r="E642" s="206"/>
      <c r="F642" s="417"/>
      <c r="G642" s="418"/>
      <c r="H642" s="200"/>
      <c r="I642" s="200"/>
      <c r="J642" s="419"/>
      <c r="K642" s="420"/>
      <c r="L642" s="421"/>
      <c r="M642" s="422"/>
      <c r="N642" s="203"/>
      <c r="O642" s="203"/>
      <c r="P642" s="201"/>
      <c r="Q642" s="416"/>
    </row>
    <row r="643" spans="1:17" ht="14.25" customHeight="1">
      <c r="A643" s="3"/>
      <c r="B643" s="3"/>
      <c r="C643" s="3"/>
      <c r="D643" s="3"/>
      <c r="E643" s="206"/>
      <c r="F643" s="417"/>
      <c r="G643" s="418"/>
      <c r="H643" s="200"/>
      <c r="I643" s="200"/>
      <c r="J643" s="419"/>
      <c r="K643" s="420"/>
      <c r="L643" s="421"/>
      <c r="M643" s="422"/>
      <c r="N643" s="203"/>
      <c r="O643" s="203"/>
      <c r="P643" s="201"/>
      <c r="Q643" s="416"/>
    </row>
    <row r="644" spans="1:17" ht="14.25" customHeight="1">
      <c r="A644" s="3"/>
      <c r="B644" s="3"/>
      <c r="C644" s="3"/>
      <c r="D644" s="3"/>
      <c r="E644" s="206"/>
      <c r="F644" s="417"/>
      <c r="G644" s="418"/>
      <c r="H644" s="200"/>
      <c r="I644" s="200"/>
      <c r="J644" s="419"/>
      <c r="K644" s="420"/>
      <c r="L644" s="421"/>
      <c r="M644" s="422"/>
      <c r="N644" s="203"/>
      <c r="O644" s="203"/>
      <c r="P644" s="201"/>
      <c r="Q644" s="416"/>
    </row>
    <row r="645" spans="1:17" ht="14.25" customHeight="1">
      <c r="A645" s="3"/>
      <c r="B645" s="3"/>
      <c r="C645" s="3"/>
      <c r="D645" s="3"/>
      <c r="E645" s="206"/>
      <c r="F645" s="417"/>
      <c r="G645" s="418"/>
      <c r="H645" s="200"/>
      <c r="I645" s="200"/>
      <c r="J645" s="419"/>
      <c r="K645" s="420"/>
      <c r="L645" s="421"/>
      <c r="M645" s="422"/>
      <c r="N645" s="203"/>
      <c r="O645" s="203"/>
      <c r="P645" s="201"/>
      <c r="Q645" s="416"/>
    </row>
    <row r="646" spans="1:17" ht="14.25" customHeight="1">
      <c r="A646" s="3"/>
      <c r="B646" s="3"/>
      <c r="C646" s="3"/>
      <c r="D646" s="3"/>
      <c r="E646" s="206"/>
      <c r="F646" s="417"/>
      <c r="G646" s="418"/>
      <c r="H646" s="200"/>
      <c r="I646" s="200"/>
      <c r="J646" s="419"/>
      <c r="K646" s="420"/>
      <c r="L646" s="421"/>
      <c r="M646" s="422"/>
      <c r="N646" s="203"/>
      <c r="O646" s="203"/>
      <c r="P646" s="201"/>
      <c r="Q646" s="416"/>
    </row>
    <row r="647" spans="1:17" ht="14.25" customHeight="1">
      <c r="A647" s="3"/>
      <c r="B647" s="3"/>
      <c r="C647" s="3"/>
      <c r="D647" s="3"/>
      <c r="E647" s="206"/>
      <c r="F647" s="417"/>
      <c r="G647" s="418"/>
      <c r="H647" s="200"/>
      <c r="I647" s="200"/>
      <c r="J647" s="419"/>
      <c r="K647" s="420"/>
      <c r="L647" s="421"/>
      <c r="M647" s="422"/>
      <c r="N647" s="203"/>
      <c r="O647" s="203"/>
      <c r="P647" s="201"/>
      <c r="Q647" s="416"/>
    </row>
    <row r="648" spans="1:17" ht="14.25" customHeight="1">
      <c r="A648" s="3"/>
      <c r="B648" s="3"/>
      <c r="C648" s="3"/>
      <c r="D648" s="3"/>
      <c r="E648" s="206"/>
      <c r="F648" s="417"/>
      <c r="G648" s="418"/>
      <c r="H648" s="200"/>
      <c r="I648" s="200"/>
      <c r="J648" s="419"/>
      <c r="K648" s="420"/>
      <c r="L648" s="421"/>
      <c r="M648" s="422"/>
      <c r="N648" s="203"/>
      <c r="O648" s="203"/>
      <c r="P648" s="201"/>
      <c r="Q648" s="416"/>
    </row>
    <row r="649" spans="1:17" ht="14.25" customHeight="1">
      <c r="A649" s="3"/>
      <c r="B649" s="3"/>
      <c r="C649" s="3"/>
      <c r="D649" s="3"/>
      <c r="E649" s="206"/>
      <c r="F649" s="417"/>
      <c r="G649" s="418"/>
      <c r="H649" s="200"/>
      <c r="I649" s="200"/>
      <c r="J649" s="419"/>
      <c r="K649" s="420"/>
      <c r="L649" s="421"/>
      <c r="M649" s="422"/>
      <c r="N649" s="203"/>
      <c r="O649" s="203"/>
      <c r="P649" s="201"/>
      <c r="Q649" s="416"/>
    </row>
    <row r="650" spans="1:17" ht="14.25" customHeight="1">
      <c r="A650" s="3"/>
      <c r="B650" s="3"/>
      <c r="C650" s="3"/>
      <c r="D650" s="3"/>
      <c r="E650" s="206"/>
      <c r="F650" s="417"/>
      <c r="G650" s="418"/>
      <c r="H650" s="200"/>
      <c r="I650" s="200"/>
      <c r="J650" s="419"/>
      <c r="K650" s="420"/>
      <c r="L650" s="421"/>
      <c r="M650" s="422"/>
      <c r="N650" s="203"/>
      <c r="O650" s="203"/>
      <c r="P650" s="201"/>
      <c r="Q650" s="416"/>
    </row>
    <row r="651" spans="1:17" ht="14.25" customHeight="1">
      <c r="A651" s="3"/>
      <c r="B651" s="3"/>
      <c r="C651" s="3"/>
      <c r="D651" s="3"/>
      <c r="E651" s="206"/>
      <c r="F651" s="417"/>
      <c r="G651" s="418"/>
      <c r="H651" s="200"/>
      <c r="I651" s="200"/>
      <c r="J651" s="419"/>
      <c r="K651" s="420"/>
      <c r="L651" s="421"/>
      <c r="M651" s="422"/>
      <c r="N651" s="203"/>
      <c r="O651" s="203"/>
      <c r="P651" s="201"/>
      <c r="Q651" s="416"/>
    </row>
    <row r="652" spans="1:17" ht="14.25" customHeight="1">
      <c r="A652" s="3"/>
      <c r="B652" s="3"/>
      <c r="C652" s="3"/>
      <c r="D652" s="3"/>
      <c r="E652" s="206"/>
      <c r="F652" s="417"/>
      <c r="G652" s="418"/>
      <c r="H652" s="200"/>
      <c r="I652" s="200"/>
      <c r="J652" s="419"/>
      <c r="K652" s="420"/>
      <c r="L652" s="421"/>
      <c r="M652" s="422"/>
      <c r="N652" s="203"/>
      <c r="O652" s="203"/>
      <c r="P652" s="201"/>
      <c r="Q652" s="416"/>
    </row>
    <row r="653" spans="1:17" ht="14.25" customHeight="1">
      <c r="A653" s="3"/>
      <c r="B653" s="3"/>
      <c r="C653" s="3"/>
      <c r="D653" s="3"/>
      <c r="E653" s="206"/>
      <c r="F653" s="417"/>
      <c r="G653" s="418"/>
      <c r="H653" s="200"/>
      <c r="I653" s="200"/>
      <c r="J653" s="419"/>
      <c r="K653" s="420"/>
      <c r="L653" s="421"/>
      <c r="M653" s="422"/>
      <c r="N653" s="203"/>
      <c r="O653" s="203"/>
      <c r="P653" s="201"/>
      <c r="Q653" s="416"/>
    </row>
    <row r="654" spans="1:17" ht="14.25" customHeight="1">
      <c r="A654" s="3"/>
      <c r="B654" s="3"/>
      <c r="C654" s="3"/>
      <c r="D654" s="3"/>
      <c r="E654" s="206"/>
      <c r="F654" s="417"/>
      <c r="G654" s="418"/>
      <c r="H654" s="200"/>
      <c r="I654" s="200"/>
      <c r="J654" s="419"/>
      <c r="K654" s="420"/>
      <c r="L654" s="421"/>
      <c r="M654" s="422"/>
      <c r="N654" s="203"/>
      <c r="O654" s="203"/>
      <c r="P654" s="201"/>
      <c r="Q654" s="416"/>
    </row>
    <row r="655" spans="1:17" ht="14.25" customHeight="1">
      <c r="A655" s="3"/>
      <c r="B655" s="3"/>
      <c r="C655" s="3"/>
      <c r="D655" s="3"/>
      <c r="E655" s="206"/>
      <c r="F655" s="417"/>
      <c r="G655" s="418"/>
      <c r="H655" s="200"/>
      <c r="I655" s="200"/>
      <c r="J655" s="419"/>
      <c r="K655" s="420"/>
      <c r="L655" s="421"/>
      <c r="M655" s="422"/>
      <c r="N655" s="203"/>
      <c r="O655" s="203"/>
      <c r="P655" s="201"/>
      <c r="Q655" s="416"/>
    </row>
    <row r="656" spans="1:17" ht="14.25" customHeight="1">
      <c r="A656" s="3"/>
      <c r="B656" s="3"/>
      <c r="C656" s="3"/>
      <c r="D656" s="3"/>
      <c r="E656" s="206"/>
      <c r="F656" s="417"/>
      <c r="G656" s="418"/>
      <c r="H656" s="200"/>
      <c r="I656" s="200"/>
      <c r="J656" s="419"/>
      <c r="K656" s="420"/>
      <c r="L656" s="421"/>
      <c r="M656" s="422"/>
      <c r="N656" s="203"/>
      <c r="O656" s="203"/>
      <c r="P656" s="201"/>
      <c r="Q656" s="416"/>
    </row>
    <row r="657" spans="1:17" ht="14.25" customHeight="1">
      <c r="A657" s="3"/>
      <c r="B657" s="3"/>
      <c r="C657" s="3"/>
      <c r="D657" s="3"/>
      <c r="E657" s="206"/>
      <c r="F657" s="417"/>
      <c r="G657" s="418"/>
      <c r="H657" s="200"/>
      <c r="I657" s="200"/>
      <c r="J657" s="419"/>
      <c r="K657" s="420"/>
      <c r="L657" s="421"/>
      <c r="M657" s="422"/>
      <c r="N657" s="203"/>
      <c r="O657" s="203"/>
      <c r="P657" s="201"/>
      <c r="Q657" s="416"/>
    </row>
    <row r="658" spans="1:17" ht="14.25" customHeight="1">
      <c r="A658" s="3"/>
      <c r="B658" s="3"/>
      <c r="C658" s="3"/>
      <c r="D658" s="3"/>
      <c r="E658" s="206"/>
      <c r="F658" s="417"/>
      <c r="G658" s="418"/>
      <c r="H658" s="200"/>
      <c r="I658" s="200"/>
      <c r="J658" s="419"/>
      <c r="K658" s="420"/>
      <c r="L658" s="421"/>
      <c r="M658" s="422"/>
      <c r="N658" s="203"/>
      <c r="O658" s="203"/>
      <c r="P658" s="201"/>
      <c r="Q658" s="416"/>
    </row>
    <row r="659" spans="1:17" ht="14.25" customHeight="1">
      <c r="A659" s="3"/>
      <c r="B659" s="3"/>
      <c r="C659" s="3"/>
      <c r="D659" s="3"/>
      <c r="E659" s="206"/>
      <c r="F659" s="417"/>
      <c r="G659" s="418"/>
      <c r="H659" s="200"/>
      <c r="I659" s="200"/>
      <c r="J659" s="419"/>
      <c r="K659" s="420"/>
      <c r="L659" s="421"/>
      <c r="M659" s="422"/>
      <c r="N659" s="203"/>
      <c r="O659" s="203"/>
      <c r="P659" s="201"/>
      <c r="Q659" s="416"/>
    </row>
    <row r="660" spans="1:17" ht="14.25" customHeight="1">
      <c r="A660" s="3"/>
      <c r="B660" s="3"/>
      <c r="C660" s="3"/>
      <c r="D660" s="3"/>
      <c r="E660" s="206"/>
      <c r="F660" s="417"/>
      <c r="G660" s="418"/>
      <c r="H660" s="200"/>
      <c r="I660" s="200"/>
      <c r="J660" s="419"/>
      <c r="K660" s="420"/>
      <c r="L660" s="421"/>
      <c r="M660" s="422"/>
      <c r="N660" s="203"/>
      <c r="O660" s="203"/>
      <c r="P660" s="201"/>
      <c r="Q660" s="416"/>
    </row>
    <row r="661" spans="1:17" ht="14.25" customHeight="1">
      <c r="A661" s="3"/>
      <c r="B661" s="3"/>
      <c r="C661" s="3"/>
      <c r="D661" s="3"/>
      <c r="E661" s="206"/>
      <c r="F661" s="417"/>
      <c r="G661" s="418"/>
      <c r="H661" s="200"/>
      <c r="I661" s="200"/>
      <c r="J661" s="419"/>
      <c r="K661" s="420"/>
      <c r="L661" s="421"/>
      <c r="M661" s="422"/>
      <c r="N661" s="203"/>
      <c r="O661" s="203"/>
      <c r="P661" s="201"/>
      <c r="Q661" s="416"/>
    </row>
    <row r="662" spans="1:17" ht="14.25" customHeight="1">
      <c r="A662" s="3"/>
      <c r="B662" s="3"/>
      <c r="C662" s="3"/>
      <c r="D662" s="3"/>
      <c r="E662" s="206"/>
      <c r="F662" s="417"/>
      <c r="G662" s="418"/>
      <c r="H662" s="200"/>
      <c r="I662" s="200"/>
      <c r="J662" s="419"/>
      <c r="K662" s="420"/>
      <c r="L662" s="421"/>
      <c r="M662" s="422"/>
      <c r="N662" s="203"/>
      <c r="O662" s="203"/>
      <c r="P662" s="201"/>
      <c r="Q662" s="416"/>
    </row>
    <row r="663" spans="1:17" ht="14.25" customHeight="1">
      <c r="A663" s="3"/>
      <c r="B663" s="3"/>
      <c r="C663" s="3"/>
      <c r="D663" s="3"/>
      <c r="E663" s="206"/>
      <c r="F663" s="417"/>
      <c r="G663" s="418"/>
      <c r="H663" s="200"/>
      <c r="I663" s="200"/>
      <c r="J663" s="419"/>
      <c r="K663" s="420"/>
      <c r="L663" s="421"/>
      <c r="M663" s="422"/>
      <c r="N663" s="203"/>
      <c r="O663" s="203"/>
      <c r="P663" s="201"/>
      <c r="Q663" s="416"/>
    </row>
    <row r="664" spans="1:17" ht="14.25" customHeight="1">
      <c r="A664" s="3"/>
      <c r="B664" s="3"/>
      <c r="C664" s="3"/>
      <c r="D664" s="3"/>
      <c r="E664" s="206"/>
      <c r="F664" s="417"/>
      <c r="G664" s="418"/>
      <c r="H664" s="200"/>
      <c r="I664" s="200"/>
      <c r="J664" s="419"/>
      <c r="K664" s="420"/>
      <c r="L664" s="421"/>
      <c r="M664" s="422"/>
      <c r="N664" s="203"/>
      <c r="O664" s="203"/>
      <c r="P664" s="201"/>
      <c r="Q664" s="416"/>
    </row>
    <row r="665" spans="1:17" ht="14.25" customHeight="1">
      <c r="A665" s="3"/>
      <c r="B665" s="3"/>
      <c r="C665" s="3"/>
      <c r="D665" s="3"/>
      <c r="E665" s="206"/>
      <c r="F665" s="417"/>
      <c r="G665" s="418"/>
      <c r="H665" s="200"/>
      <c r="I665" s="200"/>
      <c r="J665" s="419"/>
      <c r="K665" s="420"/>
      <c r="L665" s="421"/>
      <c r="M665" s="422"/>
      <c r="N665" s="203"/>
      <c r="O665" s="203"/>
      <c r="P665" s="201"/>
      <c r="Q665" s="416"/>
    </row>
    <row r="666" spans="1:17" ht="14.25" customHeight="1">
      <c r="A666" s="3"/>
      <c r="B666" s="3"/>
      <c r="C666" s="3"/>
      <c r="D666" s="3"/>
      <c r="E666" s="206"/>
      <c r="F666" s="417"/>
      <c r="G666" s="418"/>
      <c r="H666" s="200"/>
      <c r="I666" s="200"/>
      <c r="J666" s="419"/>
      <c r="K666" s="420"/>
      <c r="L666" s="421"/>
      <c r="M666" s="422"/>
      <c r="N666" s="203"/>
      <c r="O666" s="203"/>
      <c r="P666" s="201"/>
      <c r="Q666" s="416"/>
    </row>
    <row r="667" spans="1:17" ht="14.25" customHeight="1">
      <c r="A667" s="3"/>
      <c r="B667" s="3"/>
      <c r="C667" s="3"/>
      <c r="D667" s="3"/>
      <c r="E667" s="206"/>
      <c r="F667" s="417"/>
      <c r="G667" s="418"/>
      <c r="H667" s="200"/>
      <c r="I667" s="200"/>
      <c r="J667" s="419"/>
      <c r="K667" s="420"/>
      <c r="L667" s="421"/>
      <c r="M667" s="422"/>
      <c r="N667" s="203"/>
      <c r="O667" s="203"/>
      <c r="P667" s="201"/>
      <c r="Q667" s="416"/>
    </row>
    <row r="668" spans="1:17" ht="14.25" customHeight="1">
      <c r="A668" s="3"/>
      <c r="B668" s="3"/>
      <c r="C668" s="3"/>
      <c r="D668" s="3"/>
      <c r="E668" s="206"/>
      <c r="F668" s="417"/>
      <c r="G668" s="418"/>
      <c r="H668" s="200"/>
      <c r="I668" s="200"/>
      <c r="J668" s="419"/>
      <c r="K668" s="420"/>
      <c r="L668" s="421"/>
      <c r="M668" s="422"/>
      <c r="N668" s="203"/>
      <c r="O668" s="203"/>
      <c r="P668" s="201"/>
      <c r="Q668" s="416"/>
    </row>
    <row r="669" spans="1:17" ht="14.25" customHeight="1">
      <c r="A669" s="3"/>
      <c r="B669" s="3"/>
      <c r="C669" s="3"/>
      <c r="D669" s="3"/>
      <c r="E669" s="206"/>
      <c r="F669" s="417"/>
      <c r="G669" s="418"/>
      <c r="H669" s="200"/>
      <c r="I669" s="200"/>
      <c r="J669" s="419"/>
      <c r="K669" s="420"/>
      <c r="L669" s="421"/>
      <c r="M669" s="422"/>
      <c r="N669" s="203"/>
      <c r="O669" s="203"/>
      <c r="P669" s="201"/>
      <c r="Q669" s="416"/>
    </row>
    <row r="670" spans="1:17" ht="14.25" customHeight="1">
      <c r="A670" s="3"/>
      <c r="B670" s="3"/>
      <c r="C670" s="3"/>
      <c r="D670" s="3"/>
      <c r="E670" s="206"/>
      <c r="F670" s="417"/>
      <c r="G670" s="418"/>
      <c r="H670" s="200"/>
      <c r="I670" s="200"/>
      <c r="J670" s="419"/>
      <c r="K670" s="420"/>
      <c r="L670" s="421"/>
      <c r="M670" s="422"/>
      <c r="N670" s="203"/>
      <c r="O670" s="203"/>
      <c r="P670" s="201"/>
      <c r="Q670" s="416"/>
    </row>
    <row r="671" spans="1:17" ht="14.25" customHeight="1">
      <c r="A671" s="3"/>
      <c r="B671" s="3"/>
      <c r="C671" s="3"/>
      <c r="D671" s="3"/>
      <c r="E671" s="206"/>
      <c r="F671" s="417"/>
      <c r="G671" s="418"/>
      <c r="H671" s="200"/>
      <c r="I671" s="200"/>
      <c r="J671" s="419"/>
      <c r="K671" s="420"/>
      <c r="L671" s="421"/>
      <c r="M671" s="422"/>
      <c r="N671" s="203"/>
      <c r="O671" s="203"/>
      <c r="P671" s="201"/>
      <c r="Q671" s="416"/>
    </row>
    <row r="672" spans="1:17" ht="14.25" customHeight="1">
      <c r="A672" s="3"/>
      <c r="B672" s="3"/>
      <c r="C672" s="3"/>
      <c r="D672" s="3"/>
      <c r="E672" s="206"/>
      <c r="F672" s="417"/>
      <c r="G672" s="418"/>
      <c r="H672" s="200"/>
      <c r="I672" s="200"/>
      <c r="J672" s="419"/>
      <c r="K672" s="420"/>
      <c r="L672" s="421"/>
      <c r="M672" s="422"/>
      <c r="N672" s="203"/>
      <c r="O672" s="203"/>
      <c r="P672" s="201"/>
      <c r="Q672" s="416"/>
    </row>
    <row r="673" spans="1:17" ht="14.25" customHeight="1">
      <c r="A673" s="3"/>
      <c r="B673" s="3"/>
      <c r="C673" s="3"/>
      <c r="D673" s="3"/>
      <c r="E673" s="206"/>
      <c r="F673" s="417"/>
      <c r="G673" s="418"/>
      <c r="H673" s="200"/>
      <c r="I673" s="200"/>
      <c r="J673" s="419"/>
      <c r="K673" s="420"/>
      <c r="L673" s="421"/>
      <c r="M673" s="422"/>
      <c r="N673" s="203"/>
      <c r="O673" s="203"/>
      <c r="P673" s="201"/>
      <c r="Q673" s="416"/>
    </row>
    <row r="674" spans="1:17" ht="14.25" customHeight="1">
      <c r="A674" s="3"/>
      <c r="B674" s="3"/>
      <c r="C674" s="3"/>
      <c r="D674" s="3"/>
      <c r="E674" s="206"/>
      <c r="F674" s="417"/>
      <c r="G674" s="418"/>
      <c r="H674" s="200"/>
      <c r="I674" s="200"/>
      <c r="J674" s="419"/>
      <c r="K674" s="420"/>
      <c r="L674" s="421"/>
      <c r="M674" s="422"/>
      <c r="N674" s="203"/>
      <c r="O674" s="203"/>
      <c r="P674" s="201"/>
      <c r="Q674" s="416"/>
    </row>
    <row r="675" spans="1:17" ht="14.25" customHeight="1">
      <c r="A675" s="3"/>
      <c r="B675" s="3"/>
      <c r="C675" s="3"/>
      <c r="D675" s="3"/>
      <c r="E675" s="206"/>
      <c r="F675" s="417"/>
      <c r="G675" s="418"/>
      <c r="H675" s="200"/>
      <c r="I675" s="200"/>
      <c r="J675" s="419"/>
      <c r="K675" s="420"/>
      <c r="L675" s="421"/>
      <c r="M675" s="422"/>
      <c r="N675" s="203"/>
      <c r="O675" s="203"/>
      <c r="P675" s="201"/>
      <c r="Q675" s="416"/>
    </row>
    <row r="676" spans="1:17" ht="14.25" customHeight="1">
      <c r="A676" s="3"/>
      <c r="B676" s="3"/>
      <c r="C676" s="3"/>
      <c r="D676" s="3"/>
      <c r="E676" s="206"/>
      <c r="F676" s="417"/>
      <c r="G676" s="418"/>
      <c r="H676" s="200"/>
      <c r="I676" s="200"/>
      <c r="J676" s="419"/>
      <c r="K676" s="420"/>
      <c r="L676" s="421"/>
      <c r="M676" s="422"/>
      <c r="N676" s="203"/>
      <c r="O676" s="203"/>
      <c r="P676" s="201"/>
      <c r="Q676" s="416"/>
    </row>
    <row r="677" spans="1:17" ht="14.25" customHeight="1">
      <c r="A677" s="3"/>
      <c r="B677" s="3"/>
      <c r="C677" s="3"/>
      <c r="D677" s="3"/>
      <c r="E677" s="206"/>
      <c r="F677" s="417"/>
      <c r="G677" s="418"/>
      <c r="H677" s="200"/>
      <c r="I677" s="200"/>
      <c r="J677" s="419"/>
      <c r="K677" s="420"/>
      <c r="L677" s="421"/>
      <c r="M677" s="422"/>
      <c r="N677" s="203"/>
      <c r="O677" s="203"/>
      <c r="P677" s="201"/>
      <c r="Q677" s="416"/>
    </row>
    <row r="678" spans="1:17" ht="14.25" customHeight="1">
      <c r="A678" s="3"/>
      <c r="B678" s="3"/>
      <c r="C678" s="3"/>
      <c r="D678" s="3"/>
      <c r="E678" s="206"/>
      <c r="F678" s="417"/>
      <c r="G678" s="418"/>
      <c r="H678" s="200"/>
      <c r="I678" s="200"/>
      <c r="J678" s="419"/>
      <c r="K678" s="420"/>
      <c r="L678" s="421"/>
      <c r="M678" s="422"/>
      <c r="N678" s="203"/>
      <c r="O678" s="203"/>
      <c r="P678" s="201"/>
      <c r="Q678" s="416"/>
    </row>
    <row r="679" spans="1:17" ht="14.25" customHeight="1">
      <c r="A679" s="3"/>
      <c r="B679" s="3"/>
      <c r="C679" s="3"/>
      <c r="D679" s="3"/>
      <c r="E679" s="206"/>
      <c r="F679" s="417"/>
      <c r="G679" s="418"/>
      <c r="H679" s="200"/>
      <c r="I679" s="200"/>
      <c r="J679" s="419"/>
      <c r="K679" s="420"/>
      <c r="L679" s="421"/>
      <c r="M679" s="422"/>
      <c r="N679" s="203"/>
      <c r="O679" s="203"/>
      <c r="P679" s="201"/>
      <c r="Q679" s="416"/>
    </row>
    <row r="680" spans="1:17" ht="14.25" customHeight="1">
      <c r="A680" s="3"/>
      <c r="B680" s="3"/>
      <c r="C680" s="3"/>
      <c r="D680" s="3"/>
      <c r="E680" s="206"/>
      <c r="F680" s="417"/>
      <c r="G680" s="418"/>
      <c r="H680" s="200"/>
      <c r="I680" s="200"/>
      <c r="J680" s="419"/>
      <c r="K680" s="420"/>
      <c r="L680" s="421"/>
      <c r="M680" s="422"/>
      <c r="N680" s="203"/>
      <c r="O680" s="203"/>
      <c r="P680" s="201"/>
      <c r="Q680" s="416"/>
    </row>
    <row r="681" spans="1:17" ht="14.25" customHeight="1">
      <c r="A681" s="3"/>
      <c r="B681" s="3"/>
      <c r="C681" s="3"/>
      <c r="D681" s="3"/>
      <c r="E681" s="206"/>
      <c r="F681" s="417"/>
      <c r="G681" s="418"/>
      <c r="H681" s="200"/>
      <c r="I681" s="200"/>
      <c r="J681" s="419"/>
      <c r="K681" s="420"/>
      <c r="L681" s="421"/>
      <c r="M681" s="422"/>
      <c r="N681" s="203"/>
      <c r="O681" s="203"/>
      <c r="P681" s="201"/>
      <c r="Q681" s="416"/>
    </row>
    <row r="682" spans="1:17" ht="14.25" customHeight="1">
      <c r="A682" s="3"/>
      <c r="B682" s="3"/>
      <c r="C682" s="3"/>
      <c r="D682" s="3"/>
      <c r="E682" s="206"/>
      <c r="F682" s="417"/>
      <c r="G682" s="418"/>
      <c r="H682" s="200"/>
      <c r="I682" s="200"/>
      <c r="J682" s="419"/>
      <c r="K682" s="420"/>
      <c r="L682" s="421"/>
      <c r="M682" s="422"/>
      <c r="N682" s="203"/>
      <c r="O682" s="203"/>
      <c r="P682" s="201"/>
      <c r="Q682" s="416"/>
    </row>
    <row r="683" spans="1:17" ht="14.25" customHeight="1">
      <c r="A683" s="3"/>
      <c r="B683" s="3"/>
      <c r="C683" s="3"/>
      <c r="D683" s="3"/>
      <c r="E683" s="206"/>
      <c r="F683" s="417"/>
      <c r="G683" s="418"/>
      <c r="H683" s="200"/>
      <c r="I683" s="200"/>
      <c r="J683" s="419"/>
      <c r="K683" s="420"/>
      <c r="L683" s="421"/>
      <c r="M683" s="422"/>
      <c r="N683" s="203"/>
      <c r="O683" s="203"/>
      <c r="P683" s="201"/>
      <c r="Q683" s="416"/>
    </row>
    <row r="684" spans="1:17" ht="14.25" customHeight="1">
      <c r="A684" s="3"/>
      <c r="B684" s="3"/>
      <c r="C684" s="3"/>
      <c r="D684" s="3"/>
      <c r="E684" s="206"/>
      <c r="F684" s="417"/>
      <c r="G684" s="418"/>
      <c r="H684" s="200"/>
      <c r="I684" s="200"/>
      <c r="J684" s="419"/>
      <c r="K684" s="420"/>
      <c r="L684" s="421"/>
      <c r="M684" s="422"/>
      <c r="N684" s="203"/>
      <c r="O684" s="203"/>
      <c r="P684" s="201"/>
      <c r="Q684" s="416"/>
    </row>
    <row r="685" spans="1:17" ht="14.25" customHeight="1">
      <c r="A685" s="3"/>
      <c r="B685" s="3"/>
      <c r="C685" s="3"/>
      <c r="D685" s="3"/>
      <c r="E685" s="206"/>
      <c r="F685" s="417"/>
      <c r="G685" s="418"/>
      <c r="H685" s="200"/>
      <c r="I685" s="200"/>
      <c r="J685" s="419"/>
      <c r="K685" s="420"/>
      <c r="L685" s="421"/>
      <c r="M685" s="422"/>
      <c r="N685" s="203"/>
      <c r="O685" s="203"/>
      <c r="P685" s="201"/>
      <c r="Q685" s="416"/>
    </row>
    <row r="686" spans="1:17" ht="14.25" customHeight="1">
      <c r="A686" s="3"/>
      <c r="B686" s="3"/>
      <c r="C686" s="3"/>
      <c r="D686" s="3"/>
      <c r="E686" s="206"/>
      <c r="F686" s="417"/>
      <c r="G686" s="418"/>
      <c r="H686" s="200"/>
      <c r="I686" s="200"/>
      <c r="J686" s="419"/>
      <c r="K686" s="420"/>
      <c r="L686" s="421"/>
      <c r="M686" s="422"/>
      <c r="N686" s="203"/>
      <c r="O686" s="203"/>
      <c r="P686" s="201"/>
      <c r="Q686" s="416"/>
    </row>
    <row r="687" spans="1:17" ht="14.25" customHeight="1">
      <c r="A687" s="3"/>
      <c r="B687" s="3"/>
      <c r="C687" s="3"/>
      <c r="D687" s="3"/>
      <c r="E687" s="206"/>
      <c r="F687" s="417"/>
      <c r="G687" s="418"/>
      <c r="H687" s="200"/>
      <c r="I687" s="200"/>
      <c r="J687" s="419"/>
      <c r="K687" s="420"/>
      <c r="L687" s="421"/>
      <c r="M687" s="422"/>
      <c r="N687" s="203"/>
      <c r="O687" s="203"/>
      <c r="P687" s="201"/>
      <c r="Q687" s="416"/>
    </row>
    <row r="688" spans="1:17" ht="14.25" customHeight="1">
      <c r="A688" s="3"/>
      <c r="B688" s="3"/>
      <c r="C688" s="3"/>
      <c r="D688" s="3"/>
      <c r="E688" s="206"/>
      <c r="F688" s="417"/>
      <c r="G688" s="418"/>
      <c r="H688" s="200"/>
      <c r="I688" s="200"/>
      <c r="J688" s="419"/>
      <c r="K688" s="420"/>
      <c r="L688" s="421"/>
      <c r="M688" s="422"/>
      <c r="N688" s="203"/>
      <c r="O688" s="203"/>
      <c r="P688" s="201"/>
      <c r="Q688" s="416"/>
    </row>
    <row r="689" spans="1:17" ht="14.25" customHeight="1">
      <c r="A689" s="3"/>
      <c r="B689" s="3"/>
      <c r="C689" s="3"/>
      <c r="D689" s="3"/>
      <c r="E689" s="206"/>
      <c r="F689" s="417"/>
      <c r="G689" s="418"/>
      <c r="H689" s="200"/>
      <c r="I689" s="200"/>
      <c r="J689" s="419"/>
      <c r="K689" s="420"/>
      <c r="L689" s="421"/>
      <c r="M689" s="422"/>
      <c r="N689" s="203"/>
      <c r="O689" s="203"/>
      <c r="P689" s="201"/>
      <c r="Q689" s="416"/>
    </row>
    <row r="690" spans="1:17" ht="14.25" customHeight="1">
      <c r="A690" s="3"/>
      <c r="B690" s="3"/>
      <c r="C690" s="3"/>
      <c r="D690" s="3"/>
      <c r="E690" s="206"/>
      <c r="F690" s="417"/>
      <c r="G690" s="418"/>
      <c r="H690" s="200"/>
      <c r="I690" s="200"/>
      <c r="J690" s="419"/>
      <c r="K690" s="420"/>
      <c r="L690" s="421"/>
      <c r="M690" s="422"/>
      <c r="N690" s="203"/>
      <c r="O690" s="203"/>
      <c r="P690" s="201"/>
      <c r="Q690" s="416"/>
    </row>
    <row r="691" spans="1:17" ht="14.25" customHeight="1">
      <c r="A691" s="3"/>
      <c r="B691" s="3"/>
      <c r="C691" s="3"/>
      <c r="D691" s="3"/>
      <c r="E691" s="206"/>
      <c r="F691" s="417"/>
      <c r="G691" s="418"/>
      <c r="H691" s="200"/>
      <c r="I691" s="200"/>
      <c r="J691" s="419"/>
      <c r="K691" s="420"/>
      <c r="L691" s="421"/>
      <c r="M691" s="422"/>
      <c r="N691" s="203"/>
      <c r="O691" s="203"/>
      <c r="P691" s="201"/>
      <c r="Q691" s="416"/>
    </row>
    <row r="692" spans="1:17" ht="14.25" customHeight="1">
      <c r="A692" s="3"/>
      <c r="B692" s="3"/>
      <c r="C692" s="3"/>
      <c r="D692" s="3"/>
      <c r="E692" s="206"/>
      <c r="F692" s="417"/>
      <c r="G692" s="418"/>
      <c r="H692" s="200"/>
      <c r="I692" s="200"/>
      <c r="J692" s="419"/>
      <c r="K692" s="420"/>
      <c r="L692" s="421"/>
      <c r="M692" s="422"/>
      <c r="N692" s="203"/>
      <c r="O692" s="203"/>
      <c r="P692" s="201"/>
      <c r="Q692" s="416"/>
    </row>
    <row r="693" spans="1:17" ht="14.25" customHeight="1">
      <c r="A693" s="3"/>
      <c r="B693" s="3"/>
      <c r="C693" s="3"/>
      <c r="D693" s="3"/>
      <c r="E693" s="206"/>
      <c r="F693" s="417"/>
      <c r="G693" s="418"/>
      <c r="H693" s="200"/>
      <c r="I693" s="200"/>
      <c r="J693" s="419"/>
      <c r="K693" s="420"/>
      <c r="L693" s="421"/>
      <c r="M693" s="422"/>
      <c r="N693" s="203"/>
      <c r="O693" s="203"/>
      <c r="P693" s="201"/>
      <c r="Q693" s="416"/>
    </row>
    <row r="694" spans="1:17" ht="14.25" customHeight="1">
      <c r="A694" s="3"/>
      <c r="B694" s="3"/>
      <c r="C694" s="3"/>
      <c r="D694" s="3"/>
      <c r="E694" s="206"/>
      <c r="F694" s="417"/>
      <c r="G694" s="418"/>
      <c r="H694" s="200"/>
      <c r="I694" s="200"/>
      <c r="J694" s="419"/>
      <c r="K694" s="420"/>
      <c r="L694" s="421"/>
      <c r="M694" s="422"/>
      <c r="N694" s="203"/>
      <c r="O694" s="203"/>
      <c r="P694" s="201"/>
      <c r="Q694" s="416"/>
    </row>
    <row r="695" spans="1:17" ht="14.25" customHeight="1">
      <c r="A695" s="3"/>
      <c r="B695" s="3"/>
      <c r="C695" s="3"/>
      <c r="D695" s="3"/>
      <c r="E695" s="206"/>
      <c r="F695" s="417"/>
      <c r="G695" s="418"/>
      <c r="H695" s="200"/>
      <c r="I695" s="200"/>
      <c r="J695" s="419"/>
      <c r="K695" s="420"/>
      <c r="L695" s="421"/>
      <c r="M695" s="422"/>
      <c r="N695" s="203"/>
      <c r="O695" s="203"/>
      <c r="P695" s="201"/>
      <c r="Q695" s="416"/>
    </row>
    <row r="696" spans="1:17" ht="14.25" customHeight="1">
      <c r="A696" s="3"/>
      <c r="B696" s="3"/>
      <c r="C696" s="3"/>
      <c r="D696" s="3"/>
      <c r="E696" s="206"/>
      <c r="F696" s="417"/>
      <c r="G696" s="418"/>
      <c r="H696" s="200"/>
      <c r="I696" s="200"/>
      <c r="J696" s="419"/>
      <c r="K696" s="420"/>
      <c r="L696" s="421"/>
      <c r="M696" s="422"/>
      <c r="N696" s="203"/>
      <c r="O696" s="203"/>
      <c r="P696" s="201"/>
      <c r="Q696" s="416"/>
    </row>
    <row r="697" spans="1:17" ht="14.25" customHeight="1">
      <c r="A697" s="3"/>
      <c r="B697" s="3"/>
      <c r="C697" s="3"/>
      <c r="D697" s="3"/>
      <c r="E697" s="206"/>
      <c r="F697" s="417"/>
      <c r="G697" s="418"/>
      <c r="H697" s="200"/>
      <c r="I697" s="200"/>
      <c r="J697" s="419"/>
      <c r="K697" s="420"/>
      <c r="L697" s="421"/>
      <c r="M697" s="422"/>
      <c r="N697" s="203"/>
      <c r="O697" s="203"/>
      <c r="P697" s="201"/>
      <c r="Q697" s="416"/>
    </row>
    <row r="698" spans="1:17" ht="14.25" customHeight="1">
      <c r="A698" s="3"/>
      <c r="B698" s="3"/>
      <c r="C698" s="3"/>
      <c r="D698" s="3"/>
      <c r="E698" s="206"/>
      <c r="F698" s="417"/>
      <c r="G698" s="418"/>
      <c r="H698" s="200"/>
      <c r="I698" s="200"/>
      <c r="J698" s="419"/>
      <c r="K698" s="420"/>
      <c r="L698" s="421"/>
      <c r="M698" s="422"/>
      <c r="N698" s="203"/>
      <c r="O698" s="203"/>
      <c r="P698" s="201"/>
      <c r="Q698" s="416"/>
    </row>
    <row r="699" spans="1:17" ht="14.25" customHeight="1">
      <c r="A699" s="3"/>
      <c r="B699" s="3"/>
      <c r="C699" s="3"/>
      <c r="D699" s="3"/>
      <c r="E699" s="206"/>
      <c r="F699" s="417"/>
      <c r="G699" s="418"/>
      <c r="H699" s="200"/>
      <c r="I699" s="200"/>
      <c r="J699" s="419"/>
      <c r="K699" s="420"/>
      <c r="L699" s="421"/>
      <c r="M699" s="422"/>
      <c r="N699" s="203"/>
      <c r="O699" s="203"/>
      <c r="P699" s="201"/>
      <c r="Q699" s="416"/>
    </row>
    <row r="700" spans="1:17" ht="14.25" customHeight="1">
      <c r="A700" s="3"/>
      <c r="B700" s="3"/>
      <c r="C700" s="3"/>
      <c r="D700" s="3"/>
      <c r="E700" s="206"/>
      <c r="F700" s="417"/>
      <c r="G700" s="418"/>
      <c r="H700" s="200"/>
      <c r="I700" s="200"/>
      <c r="J700" s="419"/>
      <c r="K700" s="420"/>
      <c r="L700" s="421"/>
      <c r="M700" s="422"/>
      <c r="N700" s="203"/>
      <c r="O700" s="203"/>
      <c r="P700" s="201"/>
      <c r="Q700" s="416"/>
    </row>
    <row r="701" spans="1:17" ht="14.25" customHeight="1">
      <c r="A701" s="3"/>
      <c r="B701" s="3"/>
      <c r="C701" s="3"/>
      <c r="D701" s="3"/>
      <c r="E701" s="206"/>
      <c r="F701" s="417"/>
      <c r="G701" s="418"/>
      <c r="H701" s="200"/>
      <c r="I701" s="200"/>
      <c r="J701" s="419"/>
      <c r="K701" s="420"/>
      <c r="L701" s="421"/>
      <c r="M701" s="422"/>
      <c r="N701" s="203"/>
      <c r="O701" s="203"/>
      <c r="P701" s="201"/>
      <c r="Q701" s="416"/>
    </row>
    <row r="702" spans="1:17" ht="14.25" customHeight="1">
      <c r="A702" s="3"/>
      <c r="B702" s="3"/>
      <c r="C702" s="3"/>
      <c r="D702" s="3"/>
      <c r="E702" s="206"/>
      <c r="F702" s="417"/>
      <c r="G702" s="418"/>
      <c r="H702" s="200"/>
      <c r="I702" s="200"/>
      <c r="J702" s="419"/>
      <c r="K702" s="420"/>
      <c r="L702" s="421"/>
      <c r="M702" s="422"/>
      <c r="N702" s="203"/>
      <c r="O702" s="203"/>
      <c r="P702" s="201"/>
      <c r="Q702" s="416"/>
    </row>
    <row r="703" spans="1:17" ht="14.25" customHeight="1">
      <c r="A703" s="3"/>
      <c r="B703" s="3"/>
      <c r="C703" s="3"/>
      <c r="D703" s="3"/>
      <c r="E703" s="206"/>
      <c r="F703" s="417"/>
      <c r="G703" s="418"/>
      <c r="H703" s="200"/>
      <c r="I703" s="200"/>
      <c r="J703" s="419"/>
      <c r="K703" s="420"/>
      <c r="L703" s="421"/>
      <c r="M703" s="422"/>
      <c r="N703" s="203"/>
      <c r="O703" s="203"/>
      <c r="P703" s="201"/>
      <c r="Q703" s="416"/>
    </row>
    <row r="704" spans="1:17" ht="14.25" customHeight="1">
      <c r="A704" s="3"/>
      <c r="B704" s="3"/>
      <c r="C704" s="3"/>
      <c r="D704" s="3"/>
      <c r="E704" s="206"/>
      <c r="F704" s="417"/>
      <c r="G704" s="418"/>
      <c r="H704" s="200"/>
      <c r="I704" s="200"/>
      <c r="J704" s="419"/>
      <c r="K704" s="420"/>
      <c r="L704" s="421"/>
      <c r="M704" s="422"/>
      <c r="N704" s="203"/>
      <c r="O704" s="203"/>
      <c r="P704" s="201"/>
      <c r="Q704" s="416"/>
    </row>
    <row r="705" spans="1:17" ht="14.25" customHeight="1">
      <c r="A705" s="3"/>
      <c r="B705" s="3"/>
      <c r="C705" s="3"/>
      <c r="D705" s="3"/>
      <c r="E705" s="206"/>
      <c r="F705" s="417"/>
      <c r="G705" s="418"/>
      <c r="H705" s="200"/>
      <c r="I705" s="200"/>
      <c r="J705" s="419"/>
      <c r="K705" s="420"/>
      <c r="L705" s="421"/>
      <c r="M705" s="422"/>
      <c r="N705" s="203"/>
      <c r="O705" s="203"/>
      <c r="P705" s="201"/>
      <c r="Q705" s="416"/>
    </row>
    <row r="706" spans="1:17" ht="14.25" customHeight="1">
      <c r="A706" s="3"/>
      <c r="B706" s="3"/>
      <c r="C706" s="3"/>
      <c r="D706" s="3"/>
      <c r="E706" s="206"/>
      <c r="F706" s="417"/>
      <c r="G706" s="418"/>
      <c r="H706" s="200"/>
      <c r="I706" s="200"/>
      <c r="J706" s="419"/>
      <c r="K706" s="420"/>
      <c r="L706" s="421"/>
      <c r="M706" s="422"/>
      <c r="N706" s="203"/>
      <c r="O706" s="203"/>
      <c r="P706" s="201"/>
      <c r="Q706" s="416"/>
    </row>
    <row r="707" spans="1:17" ht="14.25" customHeight="1">
      <c r="A707" s="3"/>
      <c r="B707" s="3"/>
      <c r="C707" s="3"/>
      <c r="D707" s="3"/>
      <c r="E707" s="206"/>
      <c r="F707" s="417"/>
      <c r="G707" s="418"/>
      <c r="H707" s="200"/>
      <c r="I707" s="200"/>
      <c r="J707" s="419"/>
      <c r="K707" s="420"/>
      <c r="L707" s="421"/>
      <c r="M707" s="422"/>
      <c r="N707" s="203"/>
      <c r="O707" s="203"/>
      <c r="P707" s="201"/>
      <c r="Q707" s="416"/>
    </row>
    <row r="708" spans="1:17" ht="14.25" customHeight="1">
      <c r="A708" s="3"/>
      <c r="B708" s="3"/>
      <c r="C708" s="3"/>
      <c r="D708" s="3"/>
      <c r="E708" s="206"/>
      <c r="F708" s="417"/>
      <c r="G708" s="418"/>
      <c r="H708" s="200"/>
      <c r="I708" s="200"/>
      <c r="J708" s="419"/>
      <c r="K708" s="420"/>
      <c r="L708" s="421"/>
      <c r="M708" s="422"/>
      <c r="N708" s="203"/>
      <c r="O708" s="203"/>
      <c r="P708" s="201"/>
      <c r="Q708" s="416"/>
    </row>
    <row r="709" spans="1:17" ht="14.25" customHeight="1">
      <c r="A709" s="3"/>
      <c r="B709" s="3"/>
      <c r="C709" s="3"/>
      <c r="D709" s="3"/>
      <c r="E709" s="206"/>
      <c r="F709" s="417"/>
      <c r="G709" s="418"/>
      <c r="H709" s="200"/>
      <c r="I709" s="200"/>
      <c r="J709" s="419"/>
      <c r="K709" s="420"/>
      <c r="L709" s="421"/>
      <c r="M709" s="422"/>
      <c r="N709" s="203"/>
      <c r="O709" s="203"/>
      <c r="P709" s="201"/>
      <c r="Q709" s="416"/>
    </row>
    <row r="710" spans="1:17" ht="14.25" customHeight="1">
      <c r="A710" s="3"/>
      <c r="B710" s="3"/>
      <c r="C710" s="3"/>
      <c r="D710" s="3"/>
      <c r="E710" s="206"/>
      <c r="F710" s="417"/>
      <c r="G710" s="418"/>
      <c r="H710" s="200"/>
      <c r="I710" s="200"/>
      <c r="J710" s="419"/>
      <c r="K710" s="420"/>
      <c r="L710" s="421"/>
      <c r="M710" s="422"/>
      <c r="N710" s="203"/>
      <c r="O710" s="203"/>
      <c r="P710" s="201"/>
      <c r="Q710" s="416"/>
    </row>
    <row r="711" spans="1:17" ht="14.25" customHeight="1">
      <c r="A711" s="3"/>
      <c r="B711" s="3"/>
      <c r="C711" s="3"/>
      <c r="D711" s="3"/>
      <c r="E711" s="206"/>
      <c r="F711" s="417"/>
      <c r="G711" s="418"/>
      <c r="H711" s="200"/>
      <c r="I711" s="200"/>
      <c r="J711" s="419"/>
      <c r="K711" s="420"/>
      <c r="L711" s="421"/>
      <c r="M711" s="422"/>
      <c r="N711" s="203"/>
      <c r="O711" s="203"/>
      <c r="P711" s="201"/>
      <c r="Q711" s="416"/>
    </row>
    <row r="712" spans="1:17" ht="14.25" customHeight="1">
      <c r="A712" s="3"/>
      <c r="B712" s="3"/>
      <c r="C712" s="3"/>
      <c r="D712" s="3"/>
      <c r="E712" s="206"/>
      <c r="F712" s="417"/>
      <c r="G712" s="418"/>
      <c r="H712" s="200"/>
      <c r="I712" s="200"/>
      <c r="J712" s="419"/>
      <c r="K712" s="420"/>
      <c r="L712" s="421"/>
      <c r="M712" s="422"/>
      <c r="N712" s="203"/>
      <c r="O712" s="203"/>
      <c r="P712" s="201"/>
      <c r="Q712" s="416"/>
    </row>
    <row r="713" spans="1:17" ht="14.25" customHeight="1">
      <c r="A713" s="3"/>
      <c r="B713" s="3"/>
      <c r="C713" s="3"/>
      <c r="D713" s="3"/>
      <c r="E713" s="206"/>
      <c r="F713" s="417"/>
      <c r="G713" s="418"/>
      <c r="H713" s="200"/>
      <c r="I713" s="200"/>
      <c r="J713" s="419"/>
      <c r="K713" s="420"/>
      <c r="L713" s="421"/>
      <c r="M713" s="422"/>
      <c r="N713" s="203"/>
      <c r="O713" s="203"/>
      <c r="P713" s="201"/>
      <c r="Q713" s="416"/>
    </row>
    <row r="714" spans="1:17" ht="14.25" customHeight="1">
      <c r="A714" s="3"/>
      <c r="B714" s="3"/>
      <c r="C714" s="3"/>
      <c r="D714" s="3"/>
      <c r="E714" s="206"/>
      <c r="F714" s="417"/>
      <c r="G714" s="418"/>
      <c r="H714" s="200"/>
      <c r="I714" s="200"/>
      <c r="J714" s="419"/>
      <c r="K714" s="420"/>
      <c r="L714" s="421"/>
      <c r="M714" s="422"/>
      <c r="N714" s="203"/>
      <c r="O714" s="203"/>
      <c r="P714" s="201"/>
      <c r="Q714" s="416"/>
    </row>
    <row r="715" spans="1:17" ht="14.25" customHeight="1">
      <c r="A715" s="3"/>
      <c r="B715" s="3"/>
      <c r="C715" s="3"/>
      <c r="D715" s="3"/>
      <c r="E715" s="206"/>
      <c r="F715" s="417"/>
      <c r="G715" s="418"/>
      <c r="H715" s="200"/>
      <c r="I715" s="200"/>
      <c r="J715" s="419"/>
      <c r="K715" s="420"/>
      <c r="L715" s="421"/>
      <c r="M715" s="422"/>
      <c r="N715" s="203"/>
      <c r="O715" s="203"/>
      <c r="P715" s="201"/>
      <c r="Q715" s="416"/>
    </row>
    <row r="716" spans="1:17" ht="14.25" customHeight="1">
      <c r="A716" s="3"/>
      <c r="B716" s="3"/>
      <c r="C716" s="3"/>
      <c r="D716" s="3"/>
      <c r="E716" s="206"/>
      <c r="F716" s="417"/>
      <c r="G716" s="418"/>
      <c r="H716" s="200"/>
      <c r="I716" s="200"/>
      <c r="J716" s="419"/>
      <c r="K716" s="420"/>
      <c r="L716" s="421"/>
      <c r="M716" s="422"/>
      <c r="N716" s="203"/>
      <c r="O716" s="203"/>
      <c r="P716" s="201"/>
      <c r="Q716" s="416"/>
    </row>
    <row r="717" spans="1:17" ht="14.25" customHeight="1">
      <c r="A717" s="3"/>
      <c r="B717" s="3"/>
      <c r="C717" s="3"/>
      <c r="D717" s="3"/>
      <c r="E717" s="206"/>
      <c r="F717" s="417"/>
      <c r="G717" s="418"/>
      <c r="H717" s="200"/>
      <c r="I717" s="200"/>
      <c r="J717" s="419"/>
      <c r="K717" s="420"/>
      <c r="L717" s="421"/>
      <c r="M717" s="422"/>
      <c r="N717" s="203"/>
      <c r="O717" s="203"/>
      <c r="P717" s="201"/>
      <c r="Q717" s="416"/>
    </row>
    <row r="718" spans="1:17" ht="14.25" customHeight="1">
      <c r="A718" s="3"/>
      <c r="B718" s="3"/>
      <c r="C718" s="3"/>
      <c r="D718" s="3"/>
      <c r="E718" s="206"/>
      <c r="F718" s="417"/>
      <c r="G718" s="418"/>
      <c r="H718" s="200"/>
      <c r="I718" s="200"/>
      <c r="J718" s="419"/>
      <c r="K718" s="420"/>
      <c r="L718" s="421"/>
      <c r="M718" s="422"/>
      <c r="N718" s="203"/>
      <c r="O718" s="203"/>
      <c r="P718" s="201"/>
      <c r="Q718" s="416"/>
    </row>
    <row r="719" spans="1:17" ht="14.25" customHeight="1">
      <c r="A719" s="3"/>
      <c r="B719" s="3"/>
      <c r="C719" s="3"/>
      <c r="D719" s="3"/>
      <c r="E719" s="206"/>
      <c r="F719" s="417"/>
      <c r="G719" s="418"/>
      <c r="H719" s="200"/>
      <c r="I719" s="200"/>
      <c r="J719" s="419"/>
      <c r="K719" s="420"/>
      <c r="L719" s="421"/>
      <c r="M719" s="422"/>
      <c r="N719" s="203"/>
      <c r="O719" s="203"/>
      <c r="P719" s="201"/>
      <c r="Q719" s="416"/>
    </row>
    <row r="720" spans="1:17" ht="14.25" customHeight="1">
      <c r="A720" s="3"/>
      <c r="B720" s="3"/>
      <c r="C720" s="3"/>
      <c r="D720" s="3"/>
      <c r="E720" s="206"/>
      <c r="F720" s="417"/>
      <c r="G720" s="418"/>
      <c r="H720" s="200"/>
      <c r="I720" s="200"/>
      <c r="J720" s="419"/>
      <c r="K720" s="420"/>
      <c r="L720" s="421"/>
      <c r="M720" s="422"/>
      <c r="N720" s="203"/>
      <c r="O720" s="203"/>
      <c r="P720" s="201"/>
      <c r="Q720" s="416"/>
    </row>
    <row r="721" spans="1:17" ht="14.25" customHeight="1">
      <c r="A721" s="3"/>
      <c r="B721" s="3"/>
      <c r="C721" s="3"/>
      <c r="D721" s="3"/>
      <c r="E721" s="206"/>
      <c r="F721" s="417"/>
      <c r="G721" s="418"/>
      <c r="H721" s="200"/>
      <c r="I721" s="200"/>
      <c r="J721" s="419"/>
      <c r="K721" s="420"/>
      <c r="L721" s="421"/>
      <c r="M721" s="422"/>
      <c r="N721" s="203"/>
      <c r="O721" s="203"/>
      <c r="P721" s="201"/>
      <c r="Q721" s="416"/>
    </row>
    <row r="722" spans="1:17" ht="14.25" customHeight="1">
      <c r="A722" s="3"/>
      <c r="B722" s="3"/>
      <c r="C722" s="3"/>
      <c r="D722" s="3"/>
      <c r="E722" s="206"/>
      <c r="F722" s="417"/>
      <c r="G722" s="418"/>
      <c r="H722" s="200"/>
      <c r="I722" s="200"/>
      <c r="J722" s="419"/>
      <c r="K722" s="420"/>
      <c r="L722" s="421"/>
      <c r="M722" s="422"/>
      <c r="N722" s="203"/>
      <c r="O722" s="203"/>
      <c r="P722" s="201"/>
      <c r="Q722" s="416"/>
    </row>
    <row r="723" spans="1:17" ht="14.25" customHeight="1">
      <c r="A723" s="3"/>
      <c r="B723" s="3"/>
      <c r="C723" s="3"/>
      <c r="D723" s="3"/>
      <c r="E723" s="206"/>
      <c r="F723" s="417"/>
      <c r="G723" s="418"/>
      <c r="H723" s="200"/>
      <c r="I723" s="200"/>
      <c r="J723" s="419"/>
      <c r="K723" s="420"/>
      <c r="L723" s="421"/>
      <c r="M723" s="422"/>
      <c r="N723" s="203"/>
      <c r="O723" s="203"/>
      <c r="P723" s="201"/>
      <c r="Q723" s="416"/>
    </row>
    <row r="724" spans="1:17" ht="14.25" customHeight="1">
      <c r="A724" s="3"/>
      <c r="B724" s="3"/>
      <c r="C724" s="3"/>
      <c r="D724" s="3"/>
      <c r="E724" s="206"/>
      <c r="F724" s="417"/>
      <c r="G724" s="418"/>
      <c r="H724" s="200"/>
      <c r="I724" s="200"/>
      <c r="J724" s="419"/>
      <c r="K724" s="420"/>
      <c r="L724" s="421"/>
      <c r="M724" s="422"/>
      <c r="N724" s="203"/>
      <c r="O724" s="203"/>
      <c r="P724" s="201"/>
      <c r="Q724" s="416"/>
    </row>
    <row r="725" spans="1:17" ht="14.25" customHeight="1">
      <c r="A725" s="3"/>
      <c r="B725" s="3"/>
      <c r="C725" s="3"/>
      <c r="D725" s="3"/>
      <c r="E725" s="206"/>
      <c r="F725" s="417"/>
      <c r="G725" s="418"/>
      <c r="H725" s="200"/>
      <c r="I725" s="200"/>
      <c r="J725" s="419"/>
      <c r="K725" s="420"/>
      <c r="L725" s="421"/>
      <c r="M725" s="422"/>
      <c r="N725" s="203"/>
      <c r="O725" s="203"/>
      <c r="P725" s="201"/>
      <c r="Q725" s="416"/>
    </row>
    <row r="726" spans="1:17" ht="14.25" customHeight="1">
      <c r="A726" s="3"/>
      <c r="B726" s="3"/>
      <c r="C726" s="3"/>
      <c r="D726" s="3"/>
      <c r="E726" s="206"/>
      <c r="F726" s="417"/>
      <c r="G726" s="418"/>
      <c r="H726" s="200"/>
      <c r="I726" s="200"/>
      <c r="J726" s="419"/>
      <c r="K726" s="420"/>
      <c r="L726" s="421"/>
      <c r="M726" s="422"/>
      <c r="N726" s="203"/>
      <c r="O726" s="203"/>
      <c r="P726" s="201"/>
      <c r="Q726" s="416"/>
    </row>
    <row r="727" spans="1:17" ht="14.25" customHeight="1">
      <c r="A727" s="3"/>
      <c r="B727" s="3"/>
      <c r="C727" s="3"/>
      <c r="D727" s="3"/>
      <c r="E727" s="206"/>
      <c r="F727" s="417"/>
      <c r="G727" s="418"/>
      <c r="H727" s="200"/>
      <c r="I727" s="200"/>
      <c r="J727" s="419"/>
      <c r="K727" s="420"/>
      <c r="L727" s="421"/>
      <c r="M727" s="422"/>
      <c r="N727" s="203"/>
      <c r="O727" s="203"/>
      <c r="P727" s="201"/>
      <c r="Q727" s="416"/>
    </row>
    <row r="728" spans="1:17" ht="14.25" customHeight="1">
      <c r="A728" s="3"/>
      <c r="B728" s="3"/>
      <c r="C728" s="3"/>
      <c r="D728" s="3"/>
      <c r="E728" s="206"/>
      <c r="F728" s="417"/>
      <c r="G728" s="418"/>
      <c r="H728" s="200"/>
      <c r="I728" s="200"/>
      <c r="J728" s="419"/>
      <c r="K728" s="420"/>
      <c r="L728" s="421"/>
      <c r="M728" s="422"/>
      <c r="N728" s="203"/>
      <c r="O728" s="203"/>
      <c r="P728" s="201"/>
      <c r="Q728" s="416"/>
    </row>
    <row r="729" spans="1:17" ht="14.25" customHeight="1">
      <c r="A729" s="3"/>
      <c r="B729" s="3"/>
      <c r="C729" s="3"/>
      <c r="D729" s="3"/>
      <c r="E729" s="206"/>
      <c r="F729" s="417"/>
      <c r="G729" s="418"/>
      <c r="H729" s="200"/>
      <c r="I729" s="200"/>
      <c r="J729" s="419"/>
      <c r="K729" s="420"/>
      <c r="L729" s="421"/>
      <c r="M729" s="422"/>
      <c r="N729" s="203"/>
      <c r="O729" s="203"/>
      <c r="P729" s="201"/>
      <c r="Q729" s="416"/>
    </row>
    <row r="730" spans="1:17" ht="14.25" customHeight="1">
      <c r="A730" s="3"/>
      <c r="B730" s="3"/>
      <c r="C730" s="3"/>
      <c r="D730" s="3"/>
      <c r="E730" s="206"/>
      <c r="F730" s="417"/>
      <c r="G730" s="418"/>
      <c r="H730" s="200"/>
      <c r="I730" s="200"/>
      <c r="J730" s="419"/>
      <c r="K730" s="420"/>
      <c r="L730" s="421"/>
      <c r="M730" s="422"/>
      <c r="N730" s="203"/>
      <c r="O730" s="203"/>
      <c r="P730" s="201"/>
      <c r="Q730" s="416"/>
    </row>
    <row r="731" spans="1:17" ht="14.25" customHeight="1">
      <c r="A731" s="3"/>
      <c r="B731" s="3"/>
      <c r="C731" s="3"/>
      <c r="D731" s="3"/>
      <c r="E731" s="206"/>
      <c r="F731" s="417"/>
      <c r="G731" s="418"/>
      <c r="H731" s="200"/>
      <c r="I731" s="200"/>
      <c r="J731" s="419"/>
      <c r="K731" s="420"/>
      <c r="L731" s="421"/>
      <c r="M731" s="422"/>
      <c r="N731" s="203"/>
      <c r="O731" s="203"/>
      <c r="P731" s="201"/>
      <c r="Q731" s="416"/>
    </row>
    <row r="732" spans="1:17" ht="14.25" customHeight="1">
      <c r="A732" s="3"/>
      <c r="B732" s="3"/>
      <c r="C732" s="3"/>
      <c r="D732" s="3"/>
      <c r="E732" s="206"/>
      <c r="F732" s="417"/>
      <c r="G732" s="418"/>
      <c r="H732" s="200"/>
      <c r="I732" s="200"/>
      <c r="J732" s="419"/>
      <c r="K732" s="420"/>
      <c r="L732" s="421"/>
      <c r="M732" s="422"/>
      <c r="N732" s="203"/>
      <c r="O732" s="203"/>
      <c r="P732" s="201"/>
      <c r="Q732" s="416"/>
    </row>
    <row r="733" spans="1:17" ht="14.25" customHeight="1">
      <c r="A733" s="3"/>
      <c r="B733" s="3"/>
      <c r="C733" s="3"/>
      <c r="D733" s="3"/>
      <c r="E733" s="206"/>
      <c r="F733" s="417"/>
      <c r="G733" s="418"/>
      <c r="H733" s="200"/>
      <c r="I733" s="200"/>
      <c r="J733" s="419"/>
      <c r="K733" s="420"/>
      <c r="L733" s="421"/>
      <c r="M733" s="422"/>
      <c r="N733" s="203"/>
      <c r="O733" s="203"/>
      <c r="P733" s="201"/>
      <c r="Q733" s="416"/>
    </row>
    <row r="734" spans="1:17" ht="14.25" customHeight="1">
      <c r="A734" s="3"/>
      <c r="B734" s="3"/>
      <c r="C734" s="3"/>
      <c r="D734" s="3"/>
      <c r="E734" s="206"/>
      <c r="F734" s="417"/>
      <c r="G734" s="418"/>
      <c r="H734" s="200"/>
      <c r="I734" s="200"/>
      <c r="J734" s="419"/>
      <c r="K734" s="420"/>
      <c r="L734" s="421"/>
      <c r="M734" s="422"/>
      <c r="N734" s="203"/>
      <c r="O734" s="203"/>
      <c r="P734" s="201"/>
      <c r="Q734" s="416"/>
    </row>
    <row r="735" spans="1:17" ht="14.25" customHeight="1">
      <c r="A735" s="3"/>
      <c r="B735" s="3"/>
      <c r="C735" s="3"/>
      <c r="D735" s="3"/>
      <c r="E735" s="206"/>
      <c r="F735" s="417"/>
      <c r="G735" s="418"/>
      <c r="H735" s="200"/>
      <c r="I735" s="200"/>
      <c r="J735" s="419"/>
      <c r="K735" s="420"/>
      <c r="L735" s="421"/>
      <c r="M735" s="422"/>
      <c r="N735" s="203"/>
      <c r="O735" s="203"/>
      <c r="P735" s="201"/>
      <c r="Q735" s="416"/>
    </row>
    <row r="736" spans="1:17" ht="14.25" customHeight="1">
      <c r="A736" s="3"/>
      <c r="B736" s="3"/>
      <c r="C736" s="3"/>
      <c r="D736" s="3"/>
      <c r="E736" s="206"/>
      <c r="F736" s="417"/>
      <c r="G736" s="418"/>
      <c r="H736" s="200"/>
      <c r="I736" s="200"/>
      <c r="J736" s="419"/>
      <c r="K736" s="420"/>
      <c r="L736" s="421"/>
      <c r="M736" s="422"/>
      <c r="N736" s="203"/>
      <c r="O736" s="203"/>
      <c r="P736" s="201"/>
      <c r="Q736" s="416"/>
    </row>
    <row r="737" spans="1:17" ht="14.25" customHeight="1">
      <c r="A737" s="3"/>
      <c r="B737" s="3"/>
      <c r="C737" s="3"/>
      <c r="D737" s="3"/>
      <c r="E737" s="206"/>
      <c r="F737" s="417"/>
      <c r="G737" s="418"/>
      <c r="H737" s="200"/>
      <c r="I737" s="200"/>
      <c r="J737" s="419"/>
      <c r="K737" s="420"/>
      <c r="L737" s="421"/>
      <c r="M737" s="422"/>
      <c r="N737" s="203"/>
      <c r="O737" s="203"/>
      <c r="P737" s="201"/>
      <c r="Q737" s="416"/>
    </row>
    <row r="738" spans="1:17" ht="14.25" customHeight="1">
      <c r="A738" s="3"/>
      <c r="B738" s="3"/>
      <c r="C738" s="3"/>
      <c r="D738" s="3"/>
      <c r="E738" s="206"/>
      <c r="F738" s="417"/>
      <c r="G738" s="418"/>
      <c r="H738" s="200"/>
      <c r="I738" s="200"/>
      <c r="J738" s="419"/>
      <c r="K738" s="420"/>
      <c r="L738" s="421"/>
      <c r="M738" s="422"/>
      <c r="N738" s="203"/>
      <c r="O738" s="203"/>
      <c r="P738" s="201"/>
      <c r="Q738" s="416"/>
    </row>
    <row r="739" spans="1:17" ht="14.25" customHeight="1">
      <c r="A739" s="3"/>
      <c r="B739" s="3"/>
      <c r="C739" s="3"/>
      <c r="D739" s="3"/>
      <c r="E739" s="206"/>
      <c r="F739" s="417"/>
      <c r="G739" s="418"/>
      <c r="H739" s="200"/>
      <c r="I739" s="200"/>
      <c r="J739" s="419"/>
      <c r="K739" s="420"/>
      <c r="L739" s="421"/>
      <c r="M739" s="422"/>
      <c r="N739" s="203"/>
      <c r="O739" s="203"/>
      <c r="P739" s="201"/>
      <c r="Q739" s="416"/>
    </row>
    <row r="740" spans="1:17" ht="14.25" customHeight="1">
      <c r="A740" s="3"/>
      <c r="B740" s="3"/>
      <c r="C740" s="3"/>
      <c r="D740" s="3"/>
      <c r="E740" s="206"/>
      <c r="F740" s="417"/>
      <c r="G740" s="418"/>
      <c r="H740" s="200"/>
      <c r="I740" s="200"/>
      <c r="J740" s="419"/>
      <c r="K740" s="420"/>
      <c r="L740" s="421"/>
      <c r="M740" s="422"/>
      <c r="N740" s="203"/>
      <c r="O740" s="203"/>
      <c r="P740" s="201"/>
      <c r="Q740" s="416"/>
    </row>
    <row r="741" spans="1:17" ht="14.25" customHeight="1">
      <c r="A741" s="3"/>
      <c r="B741" s="3"/>
      <c r="C741" s="3"/>
      <c r="D741" s="3"/>
      <c r="E741" s="206"/>
      <c r="F741" s="417"/>
      <c r="G741" s="418"/>
      <c r="H741" s="200"/>
      <c r="I741" s="200"/>
      <c r="J741" s="419"/>
      <c r="K741" s="420"/>
      <c r="L741" s="421"/>
      <c r="M741" s="422"/>
      <c r="N741" s="203"/>
      <c r="O741" s="203"/>
      <c r="P741" s="201"/>
      <c r="Q741" s="416"/>
    </row>
    <row r="742" spans="1:17" ht="14.25" customHeight="1">
      <c r="A742" s="3"/>
      <c r="B742" s="3"/>
      <c r="C742" s="3"/>
      <c r="D742" s="3"/>
      <c r="E742" s="206"/>
      <c r="F742" s="417"/>
      <c r="G742" s="418"/>
      <c r="H742" s="200"/>
      <c r="I742" s="200"/>
      <c r="J742" s="419"/>
      <c r="K742" s="420"/>
      <c r="L742" s="421"/>
      <c r="M742" s="422"/>
      <c r="N742" s="203"/>
      <c r="O742" s="203"/>
      <c r="P742" s="201"/>
      <c r="Q742" s="416"/>
    </row>
    <row r="743" spans="1:17" ht="14.25" customHeight="1">
      <c r="A743" s="3"/>
      <c r="B743" s="3"/>
      <c r="C743" s="3"/>
      <c r="D743" s="3"/>
      <c r="E743" s="206"/>
      <c r="F743" s="417"/>
      <c r="G743" s="418"/>
      <c r="H743" s="200"/>
      <c r="I743" s="200"/>
      <c r="J743" s="419"/>
      <c r="K743" s="420"/>
      <c r="L743" s="421"/>
      <c r="M743" s="422"/>
      <c r="N743" s="203"/>
      <c r="O743" s="203"/>
      <c r="P743" s="201"/>
      <c r="Q743" s="416"/>
    </row>
    <row r="744" spans="1:17" ht="14.25" customHeight="1">
      <c r="A744" s="3"/>
      <c r="B744" s="3"/>
      <c r="C744" s="3"/>
      <c r="D744" s="3"/>
      <c r="E744" s="206"/>
      <c r="F744" s="417"/>
      <c r="G744" s="418"/>
      <c r="H744" s="200"/>
      <c r="I744" s="200"/>
      <c r="J744" s="419"/>
      <c r="K744" s="420"/>
      <c r="L744" s="421"/>
      <c r="M744" s="422"/>
      <c r="N744" s="203"/>
      <c r="O744" s="203"/>
      <c r="P744" s="201"/>
      <c r="Q744" s="416"/>
    </row>
    <row r="745" spans="1:17" ht="14.25" customHeight="1">
      <c r="A745" s="3"/>
      <c r="B745" s="3"/>
      <c r="C745" s="3"/>
      <c r="D745" s="3"/>
      <c r="E745" s="206"/>
      <c r="F745" s="417"/>
      <c r="G745" s="418"/>
      <c r="H745" s="200"/>
      <c r="I745" s="200"/>
      <c r="J745" s="419"/>
      <c r="K745" s="420"/>
      <c r="L745" s="421"/>
      <c r="M745" s="422"/>
      <c r="N745" s="203"/>
      <c r="O745" s="203"/>
      <c r="P745" s="201"/>
      <c r="Q745" s="416"/>
    </row>
    <row r="746" spans="1:17" ht="14.25" customHeight="1">
      <c r="A746" s="3"/>
      <c r="B746" s="3"/>
      <c r="C746" s="3"/>
      <c r="D746" s="3"/>
      <c r="E746" s="206"/>
      <c r="F746" s="417"/>
      <c r="G746" s="418"/>
      <c r="H746" s="200"/>
      <c r="I746" s="200"/>
      <c r="J746" s="419"/>
      <c r="K746" s="420"/>
      <c r="L746" s="421"/>
      <c r="M746" s="422"/>
      <c r="N746" s="203"/>
      <c r="O746" s="203"/>
      <c r="P746" s="201"/>
      <c r="Q746" s="416"/>
    </row>
    <row r="747" spans="1:17" ht="14.25" customHeight="1">
      <c r="A747" s="3"/>
      <c r="B747" s="3"/>
      <c r="C747" s="3"/>
      <c r="D747" s="3"/>
      <c r="E747" s="206"/>
      <c r="F747" s="417"/>
      <c r="G747" s="418"/>
      <c r="H747" s="200"/>
      <c r="I747" s="200"/>
      <c r="J747" s="419"/>
      <c r="K747" s="420"/>
      <c r="L747" s="421"/>
      <c r="M747" s="422"/>
      <c r="N747" s="203"/>
      <c r="O747" s="203"/>
      <c r="P747" s="201"/>
      <c r="Q747" s="416"/>
    </row>
    <row r="748" spans="1:17" ht="14.25" customHeight="1">
      <c r="A748" s="3"/>
      <c r="B748" s="3"/>
      <c r="C748" s="3"/>
      <c r="D748" s="3"/>
      <c r="E748" s="206"/>
      <c r="F748" s="417"/>
      <c r="G748" s="418"/>
      <c r="H748" s="200"/>
      <c r="I748" s="200"/>
      <c r="J748" s="419"/>
      <c r="K748" s="420"/>
      <c r="L748" s="421"/>
      <c r="M748" s="422"/>
      <c r="N748" s="203"/>
      <c r="O748" s="203"/>
      <c r="P748" s="201"/>
      <c r="Q748" s="416"/>
    </row>
    <row r="749" spans="1:17" ht="14.25" customHeight="1">
      <c r="A749" s="3"/>
      <c r="B749" s="3"/>
      <c r="C749" s="3"/>
      <c r="D749" s="3"/>
      <c r="E749" s="206"/>
      <c r="F749" s="417"/>
      <c r="G749" s="418"/>
      <c r="H749" s="200"/>
      <c r="I749" s="200"/>
      <c r="J749" s="419"/>
      <c r="K749" s="420"/>
      <c r="L749" s="421"/>
      <c r="M749" s="422"/>
      <c r="N749" s="203"/>
      <c r="O749" s="203"/>
      <c r="P749" s="201"/>
      <c r="Q749" s="416"/>
    </row>
    <row r="750" spans="1:17" ht="14.25" customHeight="1">
      <c r="A750" s="3"/>
      <c r="B750" s="3"/>
      <c r="C750" s="3"/>
      <c r="D750" s="3"/>
      <c r="E750" s="206"/>
      <c r="F750" s="417"/>
      <c r="G750" s="418"/>
      <c r="H750" s="200"/>
      <c r="I750" s="200"/>
      <c r="J750" s="419"/>
      <c r="K750" s="420"/>
      <c r="L750" s="421"/>
      <c r="M750" s="422"/>
      <c r="N750" s="203"/>
      <c r="O750" s="203"/>
      <c r="P750" s="201"/>
      <c r="Q750" s="416"/>
    </row>
    <row r="751" spans="1:17" ht="14.25" customHeight="1">
      <c r="A751" s="3"/>
      <c r="B751" s="3"/>
      <c r="C751" s="3"/>
      <c r="D751" s="3"/>
      <c r="E751" s="206"/>
      <c r="F751" s="417"/>
      <c r="G751" s="418"/>
      <c r="H751" s="200"/>
      <c r="I751" s="200"/>
      <c r="J751" s="419"/>
      <c r="K751" s="420"/>
      <c r="L751" s="421"/>
      <c r="M751" s="422"/>
      <c r="N751" s="203"/>
      <c r="O751" s="203"/>
      <c r="P751" s="201"/>
      <c r="Q751" s="416"/>
    </row>
    <row r="752" spans="1:17" ht="14.25" customHeight="1">
      <c r="A752" s="3"/>
      <c r="B752" s="3"/>
      <c r="C752" s="3"/>
      <c r="D752" s="3"/>
      <c r="E752" s="206"/>
      <c r="F752" s="417"/>
      <c r="G752" s="418"/>
      <c r="H752" s="200"/>
      <c r="I752" s="200"/>
      <c r="J752" s="419"/>
      <c r="K752" s="420"/>
      <c r="L752" s="421"/>
      <c r="M752" s="422"/>
      <c r="N752" s="203"/>
      <c r="O752" s="203"/>
      <c r="P752" s="201"/>
      <c r="Q752" s="416"/>
    </row>
    <row r="753" spans="1:17" ht="14.25" customHeight="1">
      <c r="A753" s="3"/>
      <c r="B753" s="3"/>
      <c r="C753" s="3"/>
      <c r="D753" s="3"/>
      <c r="E753" s="206"/>
      <c r="F753" s="417"/>
      <c r="G753" s="418"/>
      <c r="H753" s="200"/>
      <c r="I753" s="200"/>
      <c r="J753" s="419"/>
      <c r="K753" s="420"/>
      <c r="L753" s="421"/>
      <c r="M753" s="422"/>
      <c r="N753" s="203"/>
      <c r="O753" s="203"/>
      <c r="P753" s="201"/>
      <c r="Q753" s="416"/>
    </row>
    <row r="754" spans="1:17" ht="14.25" customHeight="1">
      <c r="A754" s="3"/>
      <c r="B754" s="3"/>
      <c r="C754" s="3"/>
      <c r="D754" s="3"/>
      <c r="E754" s="206"/>
      <c r="F754" s="417"/>
      <c r="G754" s="418"/>
      <c r="H754" s="200"/>
      <c r="I754" s="200"/>
      <c r="J754" s="419"/>
      <c r="K754" s="420"/>
      <c r="L754" s="421"/>
      <c r="M754" s="422"/>
      <c r="N754" s="203"/>
      <c r="O754" s="203"/>
      <c r="P754" s="201"/>
      <c r="Q754" s="416"/>
    </row>
    <row r="755" spans="1:17" ht="14.25" customHeight="1">
      <c r="A755" s="3"/>
      <c r="B755" s="3"/>
      <c r="C755" s="3"/>
      <c r="D755" s="3"/>
      <c r="E755" s="206"/>
      <c r="F755" s="417"/>
      <c r="G755" s="418"/>
      <c r="H755" s="200"/>
      <c r="I755" s="200"/>
      <c r="J755" s="419"/>
      <c r="K755" s="420"/>
      <c r="L755" s="421"/>
      <c r="M755" s="422"/>
      <c r="N755" s="203"/>
      <c r="O755" s="203"/>
      <c r="P755" s="201"/>
      <c r="Q755" s="416"/>
    </row>
    <row r="756" spans="1:17" ht="14.25" customHeight="1">
      <c r="A756" s="3"/>
      <c r="B756" s="3"/>
      <c r="C756" s="3"/>
      <c r="D756" s="3"/>
      <c r="E756" s="206"/>
      <c r="F756" s="417"/>
      <c r="G756" s="418"/>
      <c r="H756" s="200"/>
      <c r="I756" s="200"/>
      <c r="J756" s="419"/>
      <c r="K756" s="420"/>
      <c r="L756" s="421"/>
      <c r="M756" s="422"/>
      <c r="N756" s="203"/>
      <c r="O756" s="203"/>
      <c r="P756" s="201"/>
      <c r="Q756" s="416"/>
    </row>
    <row r="757" spans="1:17" ht="14.25" customHeight="1">
      <c r="A757" s="3"/>
      <c r="B757" s="3"/>
      <c r="C757" s="3"/>
      <c r="D757" s="3"/>
      <c r="E757" s="206"/>
      <c r="F757" s="417"/>
      <c r="G757" s="418"/>
      <c r="H757" s="200"/>
      <c r="I757" s="200"/>
      <c r="J757" s="419"/>
      <c r="K757" s="420"/>
      <c r="L757" s="421"/>
      <c r="M757" s="422"/>
      <c r="N757" s="203"/>
      <c r="O757" s="203"/>
      <c r="P757" s="201"/>
      <c r="Q757" s="416"/>
    </row>
    <row r="758" spans="1:17" ht="14.25" customHeight="1">
      <c r="A758" s="3"/>
      <c r="B758" s="3"/>
      <c r="C758" s="3"/>
      <c r="D758" s="3"/>
      <c r="E758" s="206"/>
      <c r="F758" s="417"/>
      <c r="G758" s="418"/>
      <c r="H758" s="200"/>
      <c r="I758" s="200"/>
      <c r="J758" s="419"/>
      <c r="K758" s="420"/>
      <c r="L758" s="421"/>
      <c r="M758" s="422"/>
      <c r="N758" s="203"/>
      <c r="O758" s="203"/>
      <c r="P758" s="201"/>
      <c r="Q758" s="416"/>
    </row>
    <row r="759" spans="1:17" ht="14.25" customHeight="1">
      <c r="A759" s="3"/>
      <c r="B759" s="3"/>
      <c r="C759" s="3"/>
      <c r="D759" s="3"/>
      <c r="E759" s="206"/>
      <c r="F759" s="417"/>
      <c r="G759" s="418"/>
      <c r="H759" s="200"/>
      <c r="I759" s="200"/>
      <c r="J759" s="419"/>
      <c r="K759" s="420"/>
      <c r="L759" s="421"/>
      <c r="M759" s="422"/>
      <c r="N759" s="203"/>
      <c r="O759" s="203"/>
      <c r="P759" s="201"/>
      <c r="Q759" s="416"/>
    </row>
    <row r="760" spans="1:17" ht="14.25" customHeight="1">
      <c r="A760" s="3"/>
      <c r="B760" s="3"/>
      <c r="C760" s="3"/>
      <c r="D760" s="3"/>
      <c r="E760" s="206"/>
      <c r="F760" s="417"/>
      <c r="G760" s="418"/>
      <c r="H760" s="200"/>
      <c r="I760" s="200"/>
      <c r="J760" s="419"/>
      <c r="K760" s="420"/>
      <c r="L760" s="421"/>
      <c r="M760" s="422"/>
      <c r="N760" s="203"/>
      <c r="O760" s="203"/>
      <c r="P760" s="201"/>
      <c r="Q760" s="416"/>
    </row>
    <row r="761" spans="1:17" ht="14.25" customHeight="1">
      <c r="A761" s="3"/>
      <c r="B761" s="3"/>
      <c r="C761" s="3"/>
      <c r="D761" s="3"/>
      <c r="E761" s="206"/>
      <c r="F761" s="417"/>
      <c r="G761" s="418"/>
      <c r="H761" s="200"/>
      <c r="I761" s="200"/>
      <c r="J761" s="419"/>
      <c r="K761" s="420"/>
      <c r="L761" s="421"/>
      <c r="M761" s="422"/>
      <c r="N761" s="203"/>
      <c r="O761" s="203"/>
      <c r="P761" s="201"/>
      <c r="Q761" s="416"/>
    </row>
    <row r="762" spans="1:17" ht="14.25" customHeight="1">
      <c r="A762" s="3"/>
      <c r="B762" s="3"/>
      <c r="C762" s="3"/>
      <c r="D762" s="3"/>
      <c r="E762" s="206"/>
      <c r="F762" s="417"/>
      <c r="G762" s="418"/>
      <c r="H762" s="200"/>
      <c r="I762" s="200"/>
      <c r="J762" s="419"/>
      <c r="K762" s="420"/>
      <c r="L762" s="421"/>
      <c r="M762" s="422"/>
      <c r="N762" s="203"/>
      <c r="O762" s="203"/>
      <c r="P762" s="201"/>
      <c r="Q762" s="416"/>
    </row>
    <row r="763" spans="1:17" ht="14.25" customHeight="1">
      <c r="A763" s="3"/>
      <c r="B763" s="3"/>
      <c r="C763" s="3"/>
      <c r="D763" s="3"/>
      <c r="E763" s="206"/>
      <c r="F763" s="417"/>
      <c r="G763" s="418"/>
      <c r="H763" s="200"/>
      <c r="I763" s="200"/>
      <c r="J763" s="419"/>
      <c r="K763" s="420"/>
      <c r="L763" s="421"/>
      <c r="M763" s="422"/>
      <c r="N763" s="203"/>
      <c r="O763" s="203"/>
      <c r="P763" s="201"/>
      <c r="Q763" s="416"/>
    </row>
    <row r="764" spans="1:17" ht="14.25" customHeight="1">
      <c r="A764" s="3"/>
      <c r="B764" s="3"/>
      <c r="C764" s="3"/>
      <c r="D764" s="3"/>
      <c r="E764" s="206"/>
      <c r="F764" s="417"/>
      <c r="G764" s="418"/>
      <c r="H764" s="200"/>
      <c r="I764" s="200"/>
      <c r="J764" s="419"/>
      <c r="K764" s="420"/>
      <c r="L764" s="421"/>
      <c r="M764" s="422"/>
      <c r="N764" s="203"/>
      <c r="O764" s="203"/>
      <c r="P764" s="201"/>
      <c r="Q764" s="416"/>
    </row>
    <row r="765" spans="1:17" ht="14.25" customHeight="1">
      <c r="A765" s="3"/>
      <c r="B765" s="3"/>
      <c r="C765" s="3"/>
      <c r="D765" s="3"/>
      <c r="E765" s="206"/>
      <c r="F765" s="417"/>
      <c r="G765" s="418"/>
      <c r="H765" s="200"/>
      <c r="I765" s="200"/>
      <c r="J765" s="419"/>
      <c r="K765" s="420"/>
      <c r="L765" s="421"/>
      <c r="M765" s="422"/>
      <c r="N765" s="203"/>
      <c r="O765" s="203"/>
      <c r="P765" s="201"/>
      <c r="Q765" s="416"/>
    </row>
    <row r="766" spans="1:17" ht="14.25" customHeight="1">
      <c r="A766" s="3"/>
      <c r="B766" s="3"/>
      <c r="C766" s="3"/>
      <c r="D766" s="3"/>
      <c r="E766" s="206"/>
      <c r="F766" s="417"/>
      <c r="G766" s="418"/>
      <c r="H766" s="200"/>
      <c r="I766" s="200"/>
      <c r="J766" s="419"/>
      <c r="K766" s="420"/>
      <c r="L766" s="421"/>
      <c r="M766" s="422"/>
      <c r="N766" s="203"/>
      <c r="O766" s="203"/>
      <c r="P766" s="201"/>
      <c r="Q766" s="416"/>
    </row>
    <row r="767" spans="1:17" ht="14.25" customHeight="1">
      <c r="A767" s="3"/>
      <c r="B767" s="3"/>
      <c r="C767" s="3"/>
      <c r="D767" s="3"/>
      <c r="E767" s="206"/>
      <c r="F767" s="417"/>
      <c r="G767" s="418"/>
      <c r="H767" s="200"/>
      <c r="I767" s="200"/>
      <c r="J767" s="419"/>
      <c r="K767" s="420"/>
      <c r="L767" s="421"/>
      <c r="M767" s="422"/>
      <c r="N767" s="203"/>
      <c r="O767" s="203"/>
      <c r="P767" s="201"/>
      <c r="Q767" s="416"/>
    </row>
    <row r="768" spans="1:17" ht="14.25" customHeight="1">
      <c r="A768" s="3"/>
      <c r="B768" s="3"/>
      <c r="C768" s="3"/>
      <c r="D768" s="3"/>
      <c r="E768" s="206"/>
      <c r="F768" s="417"/>
      <c r="G768" s="418"/>
      <c r="H768" s="200"/>
      <c r="I768" s="200"/>
      <c r="J768" s="419"/>
      <c r="K768" s="420"/>
      <c r="L768" s="421"/>
      <c r="M768" s="422"/>
      <c r="N768" s="203"/>
      <c r="O768" s="203"/>
      <c r="P768" s="201"/>
      <c r="Q768" s="416"/>
    </row>
    <row r="769" spans="1:17" ht="14.25" customHeight="1">
      <c r="A769" s="3"/>
      <c r="B769" s="3"/>
      <c r="C769" s="3"/>
      <c r="D769" s="3"/>
      <c r="E769" s="206"/>
      <c r="F769" s="417"/>
      <c r="G769" s="418"/>
      <c r="H769" s="200"/>
      <c r="I769" s="200"/>
      <c r="J769" s="419"/>
      <c r="K769" s="420"/>
      <c r="L769" s="421"/>
      <c r="M769" s="422"/>
      <c r="N769" s="203"/>
      <c r="O769" s="203"/>
      <c r="P769" s="201"/>
      <c r="Q769" s="416"/>
    </row>
    <row r="770" spans="1:17" ht="14.25" customHeight="1">
      <c r="A770" s="3"/>
      <c r="B770" s="3"/>
      <c r="C770" s="3"/>
      <c r="D770" s="3"/>
      <c r="E770" s="206"/>
      <c r="F770" s="417"/>
      <c r="G770" s="418"/>
      <c r="H770" s="200"/>
      <c r="I770" s="200"/>
      <c r="J770" s="419"/>
      <c r="K770" s="420"/>
      <c r="L770" s="421"/>
      <c r="M770" s="422"/>
      <c r="N770" s="203"/>
      <c r="O770" s="203"/>
      <c r="P770" s="201"/>
      <c r="Q770" s="416"/>
    </row>
    <row r="771" spans="1:17" ht="14.25" customHeight="1">
      <c r="A771" s="3"/>
      <c r="B771" s="3"/>
      <c r="C771" s="3"/>
      <c r="D771" s="3"/>
      <c r="E771" s="206"/>
      <c r="F771" s="417"/>
      <c r="G771" s="418"/>
      <c r="H771" s="200"/>
      <c r="I771" s="200"/>
      <c r="J771" s="419"/>
      <c r="K771" s="420"/>
      <c r="L771" s="421"/>
      <c r="M771" s="422"/>
      <c r="N771" s="203"/>
      <c r="O771" s="203"/>
      <c r="P771" s="201"/>
      <c r="Q771" s="416"/>
    </row>
    <row r="772" spans="1:17" ht="14.25" customHeight="1">
      <c r="A772" s="3"/>
      <c r="B772" s="3"/>
      <c r="C772" s="3"/>
      <c r="D772" s="3"/>
      <c r="E772" s="206"/>
      <c r="F772" s="417"/>
      <c r="G772" s="418"/>
      <c r="H772" s="200"/>
      <c r="I772" s="200"/>
      <c r="J772" s="419"/>
      <c r="K772" s="420"/>
      <c r="L772" s="421"/>
      <c r="M772" s="422"/>
      <c r="N772" s="203"/>
      <c r="O772" s="203"/>
      <c r="P772" s="201"/>
      <c r="Q772" s="416"/>
    </row>
    <row r="773" spans="1:17" ht="14.25" customHeight="1">
      <c r="A773" s="3"/>
      <c r="B773" s="3"/>
      <c r="C773" s="3"/>
      <c r="D773" s="3"/>
      <c r="E773" s="206"/>
      <c r="F773" s="417"/>
      <c r="G773" s="418"/>
      <c r="H773" s="200"/>
      <c r="I773" s="200"/>
      <c r="J773" s="419"/>
      <c r="K773" s="420"/>
      <c r="L773" s="421"/>
      <c r="M773" s="422"/>
      <c r="N773" s="203"/>
      <c r="O773" s="203"/>
      <c r="P773" s="201"/>
      <c r="Q773" s="416"/>
    </row>
    <row r="774" spans="1:17" ht="14.25" customHeight="1">
      <c r="A774" s="3"/>
      <c r="B774" s="3"/>
      <c r="C774" s="3"/>
      <c r="D774" s="3"/>
      <c r="E774" s="206"/>
      <c r="F774" s="417"/>
      <c r="G774" s="418"/>
      <c r="H774" s="200"/>
      <c r="I774" s="200"/>
      <c r="J774" s="419"/>
      <c r="K774" s="420"/>
      <c r="L774" s="421"/>
      <c r="M774" s="422"/>
      <c r="N774" s="203"/>
      <c r="O774" s="203"/>
      <c r="P774" s="201"/>
      <c r="Q774" s="416"/>
    </row>
    <row r="775" spans="1:17" ht="14.25" customHeight="1">
      <c r="A775" s="3"/>
      <c r="B775" s="3"/>
      <c r="C775" s="3"/>
      <c r="D775" s="3"/>
      <c r="E775" s="206"/>
      <c r="F775" s="417"/>
      <c r="G775" s="418"/>
      <c r="H775" s="200"/>
      <c r="I775" s="200"/>
      <c r="J775" s="419"/>
      <c r="K775" s="420"/>
      <c r="L775" s="421"/>
      <c r="M775" s="422"/>
      <c r="N775" s="203"/>
      <c r="O775" s="203"/>
      <c r="P775" s="201"/>
      <c r="Q775" s="416"/>
    </row>
    <row r="776" spans="1:17" ht="14.25" customHeight="1">
      <c r="A776" s="3"/>
      <c r="B776" s="3"/>
      <c r="C776" s="3"/>
      <c r="D776" s="3"/>
      <c r="E776" s="206"/>
      <c r="F776" s="417"/>
      <c r="G776" s="418"/>
      <c r="H776" s="200"/>
      <c r="I776" s="200"/>
      <c r="J776" s="419"/>
      <c r="K776" s="420"/>
      <c r="L776" s="421"/>
      <c r="M776" s="422"/>
      <c r="N776" s="203"/>
      <c r="O776" s="203"/>
      <c r="P776" s="201"/>
      <c r="Q776" s="416"/>
    </row>
    <row r="777" spans="1:17" ht="14.25" customHeight="1">
      <c r="A777" s="3"/>
      <c r="B777" s="3"/>
      <c r="C777" s="3"/>
      <c r="D777" s="3"/>
      <c r="E777" s="206"/>
      <c r="F777" s="417"/>
      <c r="G777" s="418"/>
      <c r="H777" s="200"/>
      <c r="I777" s="200"/>
      <c r="J777" s="419"/>
      <c r="K777" s="420"/>
      <c r="L777" s="421"/>
      <c r="M777" s="422"/>
      <c r="N777" s="203"/>
      <c r="O777" s="203"/>
      <c r="P777" s="201"/>
      <c r="Q777" s="416"/>
    </row>
    <row r="778" spans="1:17" ht="14.25" customHeight="1">
      <c r="A778" s="3"/>
      <c r="B778" s="3"/>
      <c r="C778" s="3"/>
      <c r="D778" s="3"/>
      <c r="E778" s="206"/>
      <c r="F778" s="417"/>
      <c r="G778" s="418"/>
      <c r="H778" s="200"/>
      <c r="I778" s="200"/>
      <c r="J778" s="419"/>
      <c r="K778" s="420"/>
      <c r="L778" s="421"/>
      <c r="M778" s="422"/>
      <c r="N778" s="203"/>
      <c r="O778" s="203"/>
      <c r="P778" s="201"/>
      <c r="Q778" s="416"/>
    </row>
    <row r="779" spans="1:17" ht="14.25" customHeight="1">
      <c r="A779" s="3"/>
      <c r="B779" s="3"/>
      <c r="C779" s="3"/>
      <c r="D779" s="3"/>
      <c r="E779" s="206"/>
      <c r="F779" s="417"/>
      <c r="G779" s="418"/>
      <c r="H779" s="200"/>
      <c r="I779" s="200"/>
      <c r="J779" s="419"/>
      <c r="K779" s="420"/>
      <c r="L779" s="421"/>
      <c r="M779" s="422"/>
      <c r="N779" s="203"/>
      <c r="O779" s="203"/>
      <c r="P779" s="201"/>
      <c r="Q779" s="416"/>
    </row>
    <row r="780" spans="1:17" ht="14.25" customHeight="1">
      <c r="A780" s="3"/>
      <c r="B780" s="3"/>
      <c r="C780" s="3"/>
      <c r="D780" s="3"/>
      <c r="E780" s="206"/>
      <c r="F780" s="417"/>
      <c r="G780" s="418"/>
      <c r="H780" s="200"/>
      <c r="I780" s="200"/>
      <c r="J780" s="419"/>
      <c r="K780" s="420"/>
      <c r="L780" s="421"/>
      <c r="M780" s="422"/>
      <c r="N780" s="203"/>
      <c r="O780" s="203"/>
      <c r="P780" s="201"/>
      <c r="Q780" s="416"/>
    </row>
    <row r="781" spans="1:17" ht="14.25" customHeight="1">
      <c r="A781" s="3"/>
      <c r="B781" s="3"/>
      <c r="C781" s="3"/>
      <c r="D781" s="3"/>
      <c r="E781" s="206"/>
      <c r="F781" s="417"/>
      <c r="G781" s="418"/>
      <c r="H781" s="200"/>
      <c r="I781" s="200"/>
      <c r="J781" s="419"/>
      <c r="K781" s="420"/>
      <c r="L781" s="421"/>
      <c r="M781" s="422"/>
      <c r="N781" s="203"/>
      <c r="O781" s="203"/>
      <c r="P781" s="201"/>
      <c r="Q781" s="416"/>
    </row>
    <row r="782" spans="1:17" ht="14.25" customHeight="1">
      <c r="A782" s="3"/>
      <c r="B782" s="3"/>
      <c r="C782" s="3"/>
      <c r="D782" s="3"/>
      <c r="E782" s="206"/>
      <c r="F782" s="417"/>
      <c r="G782" s="418"/>
      <c r="H782" s="200"/>
      <c r="I782" s="200"/>
      <c r="J782" s="419"/>
      <c r="K782" s="420"/>
      <c r="L782" s="421"/>
      <c r="M782" s="422"/>
      <c r="N782" s="203"/>
      <c r="O782" s="203"/>
      <c r="P782" s="201"/>
      <c r="Q782" s="416"/>
    </row>
    <row r="783" spans="1:17" ht="14.25" customHeight="1">
      <c r="A783" s="3"/>
      <c r="B783" s="3"/>
      <c r="C783" s="3"/>
      <c r="D783" s="3"/>
      <c r="E783" s="206"/>
      <c r="F783" s="417"/>
      <c r="G783" s="418"/>
      <c r="H783" s="200"/>
      <c r="I783" s="200"/>
      <c r="J783" s="419"/>
      <c r="K783" s="420"/>
      <c r="L783" s="421"/>
      <c r="M783" s="422"/>
      <c r="N783" s="203"/>
      <c r="O783" s="203"/>
      <c r="P783" s="201"/>
      <c r="Q783" s="416"/>
    </row>
    <row r="784" spans="1:17" ht="14.25" customHeight="1">
      <c r="A784" s="3"/>
      <c r="B784" s="3"/>
      <c r="C784" s="3"/>
      <c r="D784" s="3"/>
      <c r="E784" s="206"/>
      <c r="F784" s="417"/>
      <c r="G784" s="418"/>
      <c r="H784" s="200"/>
      <c r="I784" s="200"/>
      <c r="J784" s="419"/>
      <c r="K784" s="420"/>
      <c r="L784" s="421"/>
      <c r="M784" s="422"/>
      <c r="N784" s="203"/>
      <c r="O784" s="203"/>
      <c r="P784" s="201"/>
      <c r="Q784" s="416"/>
    </row>
    <row r="785" spans="1:17" ht="14.25" customHeight="1">
      <c r="A785" s="3"/>
      <c r="B785" s="3"/>
      <c r="C785" s="3"/>
      <c r="D785" s="3"/>
      <c r="E785" s="206"/>
      <c r="F785" s="417"/>
      <c r="G785" s="418"/>
      <c r="H785" s="200"/>
      <c r="I785" s="200"/>
      <c r="J785" s="419"/>
      <c r="K785" s="420"/>
      <c r="L785" s="421"/>
      <c r="M785" s="422"/>
      <c r="N785" s="203"/>
      <c r="O785" s="203"/>
      <c r="P785" s="201"/>
      <c r="Q785" s="416"/>
    </row>
    <row r="786" spans="1:17" ht="14.25" customHeight="1">
      <c r="A786" s="3"/>
      <c r="B786" s="3"/>
      <c r="C786" s="3"/>
      <c r="D786" s="3"/>
      <c r="E786" s="206"/>
      <c r="F786" s="417"/>
      <c r="G786" s="418"/>
      <c r="H786" s="200"/>
      <c r="I786" s="200"/>
      <c r="J786" s="419"/>
      <c r="K786" s="420"/>
      <c r="L786" s="421"/>
      <c r="M786" s="422"/>
      <c r="N786" s="203"/>
      <c r="O786" s="203"/>
      <c r="P786" s="201"/>
      <c r="Q786" s="416"/>
    </row>
    <row r="787" spans="1:17" ht="14.25" customHeight="1">
      <c r="A787" s="3"/>
      <c r="B787" s="3"/>
      <c r="C787" s="3"/>
      <c r="D787" s="3"/>
      <c r="E787" s="206"/>
      <c r="F787" s="417"/>
      <c r="G787" s="418"/>
      <c r="H787" s="200"/>
      <c r="I787" s="200"/>
      <c r="J787" s="419"/>
      <c r="K787" s="420"/>
      <c r="L787" s="421"/>
      <c r="M787" s="422"/>
      <c r="N787" s="203"/>
      <c r="O787" s="203"/>
      <c r="P787" s="201"/>
      <c r="Q787" s="416"/>
    </row>
    <row r="788" spans="1:17" ht="14.25" customHeight="1">
      <c r="A788" s="3"/>
      <c r="B788" s="3"/>
      <c r="C788" s="3"/>
      <c r="D788" s="3"/>
      <c r="E788" s="206"/>
      <c r="F788" s="417"/>
      <c r="G788" s="418"/>
      <c r="H788" s="200"/>
      <c r="I788" s="200"/>
      <c r="J788" s="419"/>
      <c r="K788" s="420"/>
      <c r="L788" s="421"/>
      <c r="M788" s="422"/>
      <c r="N788" s="203"/>
      <c r="O788" s="203"/>
      <c r="P788" s="201"/>
      <c r="Q788" s="416"/>
    </row>
    <row r="789" spans="1:17" ht="14.25" customHeight="1">
      <c r="A789" s="3"/>
      <c r="B789" s="3"/>
      <c r="C789" s="3"/>
      <c r="D789" s="3"/>
      <c r="E789" s="206"/>
      <c r="F789" s="417"/>
      <c r="G789" s="418"/>
      <c r="H789" s="200"/>
      <c r="I789" s="200"/>
      <c r="J789" s="419"/>
      <c r="K789" s="420"/>
      <c r="L789" s="421"/>
      <c r="M789" s="422"/>
      <c r="N789" s="203"/>
      <c r="O789" s="203"/>
      <c r="P789" s="201"/>
      <c r="Q789" s="416"/>
    </row>
    <row r="790" spans="1:17" ht="14.25" customHeight="1">
      <c r="A790" s="3"/>
      <c r="B790" s="3"/>
      <c r="C790" s="3"/>
      <c r="D790" s="3"/>
      <c r="E790" s="206"/>
      <c r="F790" s="417"/>
      <c r="G790" s="418"/>
      <c r="H790" s="200"/>
      <c r="I790" s="200"/>
      <c r="J790" s="419"/>
      <c r="K790" s="420"/>
      <c r="L790" s="421"/>
      <c r="M790" s="422"/>
      <c r="N790" s="203"/>
      <c r="O790" s="203"/>
      <c r="P790" s="201"/>
      <c r="Q790" s="416"/>
    </row>
    <row r="791" spans="1:17" ht="14.25" customHeight="1">
      <c r="A791" s="3"/>
      <c r="B791" s="3"/>
      <c r="C791" s="3"/>
      <c r="D791" s="3"/>
      <c r="E791" s="206"/>
      <c r="F791" s="417"/>
      <c r="G791" s="418"/>
      <c r="H791" s="200"/>
      <c r="I791" s="200"/>
      <c r="J791" s="419"/>
      <c r="K791" s="420"/>
      <c r="L791" s="421"/>
      <c r="M791" s="422"/>
      <c r="N791" s="203"/>
      <c r="O791" s="203"/>
      <c r="P791" s="201"/>
      <c r="Q791" s="416"/>
    </row>
    <row r="792" spans="1:17" ht="14.25" customHeight="1">
      <c r="A792" s="3"/>
      <c r="B792" s="3"/>
      <c r="C792" s="3"/>
      <c r="D792" s="3"/>
      <c r="E792" s="206"/>
      <c r="F792" s="417"/>
      <c r="G792" s="418"/>
      <c r="H792" s="200"/>
      <c r="I792" s="200"/>
      <c r="J792" s="419"/>
      <c r="K792" s="420"/>
      <c r="L792" s="421"/>
      <c r="M792" s="422"/>
      <c r="N792" s="203"/>
      <c r="O792" s="203"/>
      <c r="P792" s="201"/>
      <c r="Q792" s="416"/>
    </row>
    <row r="793" spans="1:17" ht="14.25" customHeight="1">
      <c r="A793" s="3"/>
      <c r="B793" s="3"/>
      <c r="C793" s="3"/>
      <c r="D793" s="3"/>
      <c r="E793" s="206"/>
      <c r="F793" s="417"/>
      <c r="G793" s="418"/>
      <c r="H793" s="200"/>
      <c r="I793" s="200"/>
      <c r="J793" s="419"/>
      <c r="K793" s="420"/>
      <c r="L793" s="421"/>
      <c r="M793" s="422"/>
      <c r="N793" s="203"/>
      <c r="O793" s="203"/>
      <c r="P793" s="201"/>
      <c r="Q793" s="416"/>
    </row>
    <row r="794" spans="1:17" ht="14.25" customHeight="1">
      <c r="A794" s="3"/>
      <c r="B794" s="3"/>
      <c r="C794" s="3"/>
      <c r="D794" s="3"/>
      <c r="E794" s="206"/>
      <c r="F794" s="417"/>
      <c r="G794" s="418"/>
      <c r="H794" s="200"/>
      <c r="I794" s="200"/>
      <c r="J794" s="419"/>
      <c r="K794" s="420"/>
      <c r="L794" s="421"/>
      <c r="M794" s="422"/>
      <c r="N794" s="203"/>
      <c r="O794" s="203"/>
      <c r="P794" s="201"/>
      <c r="Q794" s="416"/>
    </row>
    <row r="795" spans="1:17" ht="14.25" customHeight="1">
      <c r="A795" s="3"/>
      <c r="B795" s="3"/>
      <c r="C795" s="3"/>
      <c r="D795" s="3"/>
      <c r="E795" s="206"/>
      <c r="F795" s="417"/>
      <c r="G795" s="418"/>
      <c r="H795" s="200"/>
      <c r="I795" s="200"/>
      <c r="J795" s="419"/>
      <c r="K795" s="420"/>
      <c r="L795" s="421"/>
      <c r="M795" s="422"/>
      <c r="N795" s="203"/>
      <c r="O795" s="203"/>
      <c r="P795" s="201"/>
      <c r="Q795" s="416"/>
    </row>
    <row r="796" spans="1:17" ht="14.25" customHeight="1">
      <c r="A796" s="3"/>
      <c r="B796" s="3"/>
      <c r="C796" s="3"/>
      <c r="D796" s="3"/>
      <c r="E796" s="206"/>
      <c r="F796" s="417"/>
      <c r="G796" s="418"/>
      <c r="H796" s="200"/>
      <c r="I796" s="200"/>
      <c r="J796" s="419"/>
      <c r="K796" s="420"/>
      <c r="L796" s="421"/>
      <c r="M796" s="422"/>
      <c r="N796" s="203"/>
      <c r="O796" s="203"/>
      <c r="P796" s="201"/>
      <c r="Q796" s="416"/>
    </row>
    <row r="797" spans="1:17" ht="14.25" customHeight="1">
      <c r="A797" s="3"/>
      <c r="B797" s="3"/>
      <c r="C797" s="3"/>
      <c r="D797" s="3"/>
      <c r="E797" s="206"/>
      <c r="F797" s="417"/>
      <c r="G797" s="418"/>
      <c r="H797" s="200"/>
      <c r="I797" s="200"/>
      <c r="J797" s="419"/>
      <c r="K797" s="420"/>
      <c r="L797" s="421"/>
      <c r="M797" s="422"/>
      <c r="N797" s="203"/>
      <c r="O797" s="203"/>
      <c r="P797" s="201"/>
      <c r="Q797" s="416"/>
    </row>
    <row r="798" spans="1:17" ht="14.25" customHeight="1">
      <c r="A798" s="3"/>
      <c r="B798" s="3"/>
      <c r="C798" s="3"/>
      <c r="D798" s="3"/>
      <c r="E798" s="206"/>
      <c r="F798" s="417"/>
      <c r="G798" s="418"/>
      <c r="H798" s="200"/>
      <c r="I798" s="200"/>
      <c r="J798" s="419"/>
      <c r="K798" s="420"/>
      <c r="L798" s="421"/>
      <c r="M798" s="422"/>
      <c r="N798" s="203"/>
      <c r="O798" s="203"/>
      <c r="P798" s="201"/>
      <c r="Q798" s="416"/>
    </row>
    <row r="799" spans="1:17" ht="14.25" customHeight="1">
      <c r="A799" s="3"/>
      <c r="B799" s="3"/>
      <c r="C799" s="3"/>
      <c r="D799" s="3"/>
      <c r="E799" s="206"/>
      <c r="F799" s="417"/>
      <c r="G799" s="418"/>
      <c r="H799" s="200"/>
      <c r="I799" s="200"/>
      <c r="J799" s="419"/>
      <c r="K799" s="420"/>
      <c r="L799" s="421"/>
      <c r="M799" s="422"/>
      <c r="N799" s="203"/>
      <c r="O799" s="203"/>
      <c r="P799" s="201"/>
      <c r="Q799" s="416"/>
    </row>
    <row r="800" spans="1:17" ht="14.25" customHeight="1">
      <c r="A800" s="3"/>
      <c r="B800" s="3"/>
      <c r="C800" s="3"/>
      <c r="D800" s="3"/>
      <c r="E800" s="206"/>
      <c r="F800" s="417"/>
      <c r="G800" s="418"/>
      <c r="H800" s="200"/>
      <c r="I800" s="200"/>
      <c r="J800" s="419"/>
      <c r="K800" s="420"/>
      <c r="L800" s="421"/>
      <c r="M800" s="422"/>
      <c r="N800" s="203"/>
      <c r="O800" s="203"/>
      <c r="P800" s="201"/>
      <c r="Q800" s="416"/>
    </row>
    <row r="801" spans="1:17" ht="14.25" customHeight="1">
      <c r="A801" s="3"/>
      <c r="B801" s="3"/>
      <c r="C801" s="3"/>
      <c r="D801" s="3"/>
      <c r="E801" s="206"/>
      <c r="F801" s="417"/>
      <c r="G801" s="418"/>
      <c r="H801" s="200"/>
      <c r="I801" s="200"/>
      <c r="J801" s="419"/>
      <c r="K801" s="420"/>
      <c r="L801" s="421"/>
      <c r="M801" s="422"/>
      <c r="N801" s="203"/>
      <c r="O801" s="203"/>
      <c r="P801" s="201"/>
      <c r="Q801" s="416"/>
    </row>
    <row r="802" spans="1:17" ht="14.25" customHeight="1">
      <c r="A802" s="3"/>
      <c r="B802" s="3"/>
      <c r="C802" s="3"/>
      <c r="D802" s="3"/>
      <c r="E802" s="206"/>
      <c r="F802" s="417"/>
      <c r="G802" s="418"/>
      <c r="H802" s="200"/>
      <c r="I802" s="200"/>
      <c r="J802" s="419"/>
      <c r="K802" s="420"/>
      <c r="L802" s="421"/>
      <c r="M802" s="422"/>
      <c r="N802" s="203"/>
      <c r="O802" s="203"/>
      <c r="P802" s="201"/>
      <c r="Q802" s="416"/>
    </row>
    <row r="803" spans="1:17" ht="14.25" customHeight="1">
      <c r="A803" s="3"/>
      <c r="B803" s="3"/>
      <c r="C803" s="3"/>
      <c r="D803" s="3"/>
      <c r="E803" s="206"/>
      <c r="F803" s="417"/>
      <c r="G803" s="418"/>
      <c r="H803" s="200"/>
      <c r="I803" s="200"/>
      <c r="J803" s="419"/>
      <c r="K803" s="420"/>
      <c r="L803" s="421"/>
      <c r="M803" s="422"/>
      <c r="N803" s="203"/>
      <c r="O803" s="203"/>
      <c r="P803" s="201"/>
      <c r="Q803" s="416"/>
    </row>
    <row r="804" spans="1:17" ht="14.25" customHeight="1">
      <c r="A804" s="3"/>
      <c r="B804" s="3"/>
      <c r="C804" s="3"/>
      <c r="D804" s="3"/>
      <c r="E804" s="206"/>
      <c r="F804" s="417"/>
      <c r="G804" s="418"/>
      <c r="H804" s="200"/>
      <c r="I804" s="200"/>
      <c r="J804" s="419"/>
      <c r="K804" s="420"/>
      <c r="L804" s="421"/>
      <c r="M804" s="422"/>
      <c r="N804" s="203"/>
      <c r="O804" s="203"/>
      <c r="P804" s="201"/>
      <c r="Q804" s="416"/>
    </row>
    <row r="805" spans="1:17" ht="14.25" customHeight="1">
      <c r="A805" s="3"/>
      <c r="B805" s="3"/>
      <c r="C805" s="3"/>
      <c r="D805" s="3"/>
      <c r="E805" s="206"/>
      <c r="F805" s="417"/>
      <c r="G805" s="418"/>
      <c r="H805" s="200"/>
      <c r="I805" s="200"/>
      <c r="J805" s="419"/>
      <c r="K805" s="420"/>
      <c r="L805" s="421"/>
      <c r="M805" s="422"/>
      <c r="N805" s="203"/>
      <c r="O805" s="203"/>
      <c r="P805" s="201"/>
      <c r="Q805" s="416"/>
    </row>
    <row r="806" spans="1:17" ht="14.25" customHeight="1">
      <c r="A806" s="3"/>
      <c r="B806" s="3"/>
      <c r="C806" s="3"/>
      <c r="D806" s="3"/>
      <c r="E806" s="206"/>
      <c r="F806" s="417"/>
      <c r="G806" s="418"/>
      <c r="H806" s="200"/>
      <c r="I806" s="200"/>
      <c r="J806" s="419"/>
      <c r="K806" s="420"/>
      <c r="L806" s="421"/>
      <c r="M806" s="422"/>
      <c r="N806" s="203"/>
      <c r="O806" s="203"/>
      <c r="P806" s="201"/>
      <c r="Q806" s="416"/>
    </row>
    <row r="807" spans="1:17" ht="14.25" customHeight="1">
      <c r="A807" s="3"/>
      <c r="B807" s="3"/>
      <c r="C807" s="3"/>
      <c r="D807" s="3"/>
      <c r="E807" s="206"/>
      <c r="F807" s="417"/>
      <c r="G807" s="418"/>
      <c r="H807" s="200"/>
      <c r="I807" s="200"/>
      <c r="J807" s="419"/>
      <c r="K807" s="420"/>
      <c r="L807" s="421"/>
      <c r="M807" s="422"/>
      <c r="N807" s="203"/>
      <c r="O807" s="203"/>
      <c r="P807" s="201"/>
      <c r="Q807" s="416"/>
    </row>
    <row r="808" spans="1:17" ht="14.25" customHeight="1">
      <c r="A808" s="3"/>
      <c r="B808" s="3"/>
      <c r="C808" s="3"/>
      <c r="D808" s="3"/>
      <c r="E808" s="206"/>
      <c r="F808" s="417"/>
      <c r="G808" s="418"/>
      <c r="H808" s="200"/>
      <c r="I808" s="200"/>
      <c r="J808" s="419"/>
      <c r="K808" s="420"/>
      <c r="L808" s="421"/>
      <c r="M808" s="422"/>
      <c r="N808" s="203"/>
      <c r="O808" s="203"/>
      <c r="P808" s="201"/>
      <c r="Q808" s="416"/>
    </row>
    <row r="809" spans="1:17" ht="14.25" customHeight="1">
      <c r="A809" s="3"/>
      <c r="B809" s="3"/>
      <c r="C809" s="3"/>
      <c r="D809" s="3"/>
      <c r="E809" s="206"/>
      <c r="F809" s="417"/>
      <c r="G809" s="418"/>
      <c r="H809" s="200"/>
      <c r="I809" s="200"/>
      <c r="J809" s="419"/>
      <c r="K809" s="420"/>
      <c r="L809" s="421"/>
      <c r="M809" s="422"/>
      <c r="N809" s="203"/>
      <c r="O809" s="203"/>
      <c r="P809" s="201"/>
      <c r="Q809" s="416"/>
    </row>
    <row r="810" spans="1:17" ht="14.25" customHeight="1">
      <c r="A810" s="3"/>
      <c r="B810" s="3"/>
      <c r="C810" s="3"/>
      <c r="D810" s="3"/>
      <c r="E810" s="206"/>
      <c r="F810" s="417"/>
      <c r="G810" s="418"/>
      <c r="H810" s="200"/>
      <c r="I810" s="200"/>
      <c r="J810" s="419"/>
      <c r="K810" s="420"/>
      <c r="L810" s="421"/>
      <c r="M810" s="422"/>
      <c r="N810" s="203"/>
      <c r="O810" s="203"/>
      <c r="P810" s="201"/>
      <c r="Q810" s="416"/>
    </row>
    <row r="811" spans="1:17" ht="14.25" customHeight="1">
      <c r="A811" s="3"/>
      <c r="B811" s="3"/>
      <c r="C811" s="3"/>
      <c r="D811" s="3"/>
      <c r="E811" s="206"/>
      <c r="F811" s="417"/>
      <c r="G811" s="418"/>
      <c r="H811" s="200"/>
      <c r="I811" s="200"/>
      <c r="J811" s="419"/>
      <c r="K811" s="420"/>
      <c r="L811" s="421"/>
      <c r="M811" s="422"/>
      <c r="N811" s="203"/>
      <c r="O811" s="203"/>
      <c r="P811" s="201"/>
      <c r="Q811" s="416"/>
    </row>
    <row r="812" spans="1:17" ht="14.25" customHeight="1">
      <c r="A812" s="3"/>
      <c r="B812" s="3"/>
      <c r="C812" s="3"/>
      <c r="D812" s="3"/>
      <c r="E812" s="206"/>
      <c r="F812" s="417"/>
      <c r="G812" s="418"/>
      <c r="H812" s="200"/>
      <c r="I812" s="200"/>
      <c r="J812" s="419"/>
      <c r="K812" s="420"/>
      <c r="L812" s="421"/>
      <c r="M812" s="422"/>
      <c r="N812" s="203"/>
      <c r="O812" s="203"/>
      <c r="P812" s="201"/>
      <c r="Q812" s="416"/>
    </row>
    <row r="813" spans="1:17" ht="14.25" customHeight="1">
      <c r="A813" s="3"/>
      <c r="B813" s="3"/>
      <c r="C813" s="3"/>
      <c r="D813" s="3"/>
      <c r="E813" s="206"/>
      <c r="F813" s="417"/>
      <c r="G813" s="418"/>
      <c r="H813" s="200"/>
      <c r="I813" s="200"/>
      <c r="J813" s="419"/>
      <c r="K813" s="420"/>
      <c r="L813" s="421"/>
      <c r="M813" s="422"/>
      <c r="N813" s="203"/>
      <c r="O813" s="203"/>
      <c r="P813" s="201"/>
      <c r="Q813" s="416"/>
    </row>
    <row r="814" spans="1:17" ht="14.25" customHeight="1">
      <c r="A814" s="3"/>
      <c r="B814" s="3"/>
      <c r="C814" s="3"/>
      <c r="D814" s="3"/>
      <c r="E814" s="206"/>
      <c r="F814" s="417"/>
      <c r="G814" s="418"/>
      <c r="H814" s="200"/>
      <c r="I814" s="200"/>
      <c r="J814" s="419"/>
      <c r="K814" s="420"/>
      <c r="L814" s="421"/>
      <c r="M814" s="422"/>
      <c r="N814" s="203"/>
      <c r="O814" s="203"/>
      <c r="P814" s="201"/>
      <c r="Q814" s="416"/>
    </row>
    <row r="815" spans="1:17" ht="14.25" customHeight="1">
      <c r="A815" s="3"/>
      <c r="B815" s="3"/>
      <c r="C815" s="3"/>
      <c r="D815" s="3"/>
      <c r="E815" s="206"/>
      <c r="F815" s="417"/>
      <c r="G815" s="418"/>
      <c r="H815" s="200"/>
      <c r="I815" s="200"/>
      <c r="J815" s="419"/>
      <c r="K815" s="420"/>
      <c r="L815" s="421"/>
      <c r="M815" s="422"/>
      <c r="N815" s="203"/>
      <c r="O815" s="203"/>
      <c r="P815" s="201"/>
      <c r="Q815" s="416"/>
    </row>
    <row r="816" spans="1:17" ht="14.25" customHeight="1">
      <c r="A816" s="3"/>
      <c r="B816" s="3"/>
      <c r="C816" s="3"/>
      <c r="D816" s="3"/>
      <c r="E816" s="206"/>
      <c r="F816" s="417"/>
      <c r="G816" s="418"/>
      <c r="H816" s="200"/>
      <c r="I816" s="200"/>
      <c r="J816" s="419"/>
      <c r="K816" s="420"/>
      <c r="L816" s="421"/>
      <c r="M816" s="422"/>
      <c r="N816" s="203"/>
      <c r="O816" s="203"/>
      <c r="P816" s="201"/>
      <c r="Q816" s="416"/>
    </row>
    <row r="817" spans="1:17" ht="14.25" customHeight="1">
      <c r="A817" s="3"/>
      <c r="B817" s="3"/>
      <c r="C817" s="3"/>
      <c r="D817" s="3"/>
      <c r="E817" s="206"/>
      <c r="F817" s="417"/>
      <c r="G817" s="418"/>
      <c r="H817" s="200"/>
      <c r="I817" s="200"/>
      <c r="J817" s="419"/>
      <c r="K817" s="420"/>
      <c r="L817" s="421"/>
      <c r="M817" s="422"/>
      <c r="N817" s="203"/>
      <c r="O817" s="203"/>
      <c r="P817" s="201"/>
      <c r="Q817" s="416"/>
    </row>
    <row r="818" spans="1:17" ht="14.25" customHeight="1">
      <c r="A818" s="3"/>
      <c r="B818" s="3"/>
      <c r="C818" s="3"/>
      <c r="D818" s="3"/>
      <c r="E818" s="206"/>
      <c r="F818" s="417"/>
      <c r="G818" s="418"/>
      <c r="H818" s="200"/>
      <c r="I818" s="200"/>
      <c r="J818" s="419"/>
      <c r="K818" s="420"/>
      <c r="L818" s="421"/>
      <c r="M818" s="422"/>
      <c r="N818" s="203"/>
      <c r="O818" s="203"/>
      <c r="P818" s="201"/>
      <c r="Q818" s="416"/>
    </row>
    <row r="819" spans="1:17" ht="14.25" customHeight="1">
      <c r="A819" s="3"/>
      <c r="B819" s="3"/>
      <c r="C819" s="3"/>
      <c r="D819" s="3"/>
      <c r="E819" s="206"/>
      <c r="F819" s="417"/>
      <c r="G819" s="418"/>
      <c r="H819" s="200"/>
      <c r="I819" s="200"/>
      <c r="J819" s="419"/>
      <c r="K819" s="420"/>
      <c r="L819" s="421"/>
      <c r="M819" s="422"/>
      <c r="N819" s="203"/>
      <c r="O819" s="203"/>
      <c r="P819" s="201"/>
      <c r="Q819" s="416"/>
    </row>
    <row r="820" spans="1:17" ht="14.25" customHeight="1">
      <c r="A820" s="3"/>
      <c r="B820" s="3"/>
      <c r="C820" s="3"/>
      <c r="D820" s="3"/>
      <c r="E820" s="206"/>
      <c r="F820" s="417"/>
      <c r="G820" s="418"/>
      <c r="H820" s="200"/>
      <c r="I820" s="200"/>
      <c r="J820" s="419"/>
      <c r="K820" s="420"/>
      <c r="L820" s="421"/>
      <c r="M820" s="422"/>
      <c r="N820" s="203"/>
      <c r="O820" s="203"/>
      <c r="P820" s="201"/>
      <c r="Q820" s="416"/>
    </row>
    <row r="821" spans="1:17" ht="14.25" customHeight="1">
      <c r="A821" s="3"/>
      <c r="B821" s="3"/>
      <c r="C821" s="3"/>
      <c r="D821" s="3"/>
      <c r="E821" s="206"/>
      <c r="F821" s="417"/>
      <c r="G821" s="418"/>
      <c r="H821" s="200"/>
      <c r="I821" s="200"/>
      <c r="J821" s="419"/>
      <c r="K821" s="420"/>
      <c r="L821" s="421"/>
      <c r="M821" s="422"/>
      <c r="N821" s="203"/>
      <c r="O821" s="203"/>
      <c r="P821" s="201"/>
      <c r="Q821" s="416"/>
    </row>
    <row r="822" spans="1:17" ht="14.25" customHeight="1">
      <c r="A822" s="3"/>
      <c r="B822" s="3"/>
      <c r="C822" s="3"/>
      <c r="D822" s="3"/>
      <c r="E822" s="206"/>
      <c r="F822" s="417"/>
      <c r="G822" s="418"/>
      <c r="H822" s="200"/>
      <c r="I822" s="200"/>
      <c r="J822" s="419"/>
      <c r="K822" s="420"/>
      <c r="L822" s="421"/>
      <c r="M822" s="422"/>
      <c r="N822" s="203"/>
      <c r="O822" s="203"/>
      <c r="P822" s="201"/>
      <c r="Q822" s="416"/>
    </row>
    <row r="823" spans="1:17" ht="14.25" customHeight="1">
      <c r="A823" s="3"/>
      <c r="B823" s="3"/>
      <c r="C823" s="3"/>
      <c r="D823" s="3"/>
      <c r="E823" s="206"/>
      <c r="F823" s="417"/>
      <c r="G823" s="418"/>
      <c r="H823" s="200"/>
      <c r="I823" s="200"/>
      <c r="J823" s="419"/>
      <c r="K823" s="420"/>
      <c r="L823" s="421"/>
      <c r="M823" s="422"/>
      <c r="N823" s="203"/>
      <c r="O823" s="203"/>
      <c r="P823" s="201"/>
      <c r="Q823" s="416"/>
    </row>
    <row r="824" spans="1:17" ht="14.25" customHeight="1">
      <c r="A824" s="3"/>
      <c r="B824" s="3"/>
      <c r="C824" s="3"/>
      <c r="D824" s="3"/>
      <c r="E824" s="206"/>
      <c r="F824" s="417"/>
      <c r="G824" s="418"/>
      <c r="H824" s="200"/>
      <c r="I824" s="200"/>
      <c r="J824" s="419"/>
      <c r="K824" s="420"/>
      <c r="L824" s="421"/>
      <c r="M824" s="422"/>
      <c r="N824" s="203"/>
      <c r="O824" s="203"/>
      <c r="P824" s="201"/>
      <c r="Q824" s="416"/>
    </row>
    <row r="825" spans="1:17" ht="14.25" customHeight="1">
      <c r="A825" s="3"/>
      <c r="B825" s="3"/>
      <c r="C825" s="3"/>
      <c r="D825" s="3"/>
      <c r="E825" s="206"/>
      <c r="F825" s="417"/>
      <c r="G825" s="418"/>
      <c r="H825" s="200"/>
      <c r="I825" s="200"/>
      <c r="J825" s="419"/>
      <c r="K825" s="420"/>
      <c r="L825" s="421"/>
      <c r="M825" s="422"/>
      <c r="N825" s="203"/>
      <c r="O825" s="203"/>
      <c r="P825" s="201"/>
      <c r="Q825" s="416"/>
    </row>
    <row r="826" spans="1:17" ht="14.25" customHeight="1">
      <c r="A826" s="3"/>
      <c r="B826" s="3"/>
      <c r="C826" s="3"/>
      <c r="D826" s="3"/>
      <c r="E826" s="206"/>
      <c r="F826" s="417"/>
      <c r="G826" s="418"/>
      <c r="H826" s="200"/>
      <c r="I826" s="200"/>
      <c r="J826" s="419"/>
      <c r="K826" s="420"/>
      <c r="L826" s="421"/>
      <c r="M826" s="422"/>
      <c r="N826" s="203"/>
      <c r="O826" s="203"/>
      <c r="P826" s="201"/>
      <c r="Q826" s="416"/>
    </row>
    <row r="827" spans="1:17" ht="14.25" customHeight="1">
      <c r="A827" s="3"/>
      <c r="B827" s="3"/>
      <c r="C827" s="3"/>
      <c r="D827" s="3"/>
      <c r="E827" s="206"/>
      <c r="F827" s="417"/>
      <c r="G827" s="418"/>
      <c r="H827" s="200"/>
      <c r="I827" s="200"/>
      <c r="J827" s="419"/>
      <c r="K827" s="420"/>
      <c r="L827" s="421"/>
      <c r="M827" s="422"/>
      <c r="N827" s="203"/>
      <c r="O827" s="203"/>
      <c r="P827" s="201"/>
      <c r="Q827" s="416"/>
    </row>
    <row r="828" spans="1:17" ht="14.25" customHeight="1">
      <c r="A828" s="3"/>
      <c r="B828" s="3"/>
      <c r="C828" s="3"/>
      <c r="D828" s="3"/>
      <c r="E828" s="206"/>
      <c r="F828" s="417"/>
      <c r="G828" s="418"/>
      <c r="H828" s="200"/>
      <c r="I828" s="200"/>
      <c r="J828" s="419"/>
      <c r="K828" s="420"/>
      <c r="L828" s="421"/>
      <c r="M828" s="422"/>
      <c r="N828" s="203"/>
      <c r="O828" s="203"/>
      <c r="P828" s="201"/>
      <c r="Q828" s="416"/>
    </row>
    <row r="829" spans="1:17" ht="14.25" customHeight="1">
      <c r="A829" s="3"/>
      <c r="B829" s="3"/>
      <c r="C829" s="3"/>
      <c r="D829" s="3"/>
      <c r="E829" s="206"/>
      <c r="F829" s="417"/>
      <c r="G829" s="418"/>
      <c r="H829" s="200"/>
      <c r="I829" s="200"/>
      <c r="J829" s="419"/>
      <c r="K829" s="420"/>
      <c r="L829" s="421"/>
      <c r="M829" s="422"/>
      <c r="N829" s="203"/>
      <c r="O829" s="203"/>
      <c r="P829" s="201"/>
      <c r="Q829" s="416"/>
    </row>
    <row r="830" spans="1:17" ht="14.25" customHeight="1">
      <c r="A830" s="3"/>
      <c r="B830" s="3"/>
      <c r="C830" s="3"/>
      <c r="D830" s="3"/>
      <c r="E830" s="206"/>
      <c r="F830" s="417"/>
      <c r="G830" s="418"/>
      <c r="H830" s="200"/>
      <c r="I830" s="200"/>
      <c r="J830" s="419"/>
      <c r="K830" s="420"/>
      <c r="L830" s="421"/>
      <c r="M830" s="422"/>
      <c r="N830" s="203"/>
      <c r="O830" s="203"/>
      <c r="P830" s="201"/>
      <c r="Q830" s="416"/>
    </row>
    <row r="831" spans="1:17" ht="14.25" customHeight="1">
      <c r="A831" s="3"/>
      <c r="B831" s="3"/>
      <c r="C831" s="3"/>
      <c r="D831" s="3"/>
      <c r="E831" s="206"/>
      <c r="F831" s="417"/>
      <c r="G831" s="418"/>
      <c r="H831" s="200"/>
      <c r="I831" s="200"/>
      <c r="J831" s="419"/>
      <c r="K831" s="420"/>
      <c r="L831" s="421"/>
      <c r="M831" s="422"/>
      <c r="N831" s="203"/>
      <c r="O831" s="203"/>
      <c r="P831" s="201"/>
      <c r="Q831" s="416"/>
    </row>
    <row r="832" spans="1:17" ht="14.25" customHeight="1">
      <c r="A832" s="3"/>
      <c r="B832" s="3"/>
      <c r="C832" s="3"/>
      <c r="D832" s="3"/>
      <c r="E832" s="206"/>
      <c r="F832" s="417"/>
      <c r="G832" s="418"/>
      <c r="H832" s="200"/>
      <c r="I832" s="200"/>
      <c r="J832" s="419"/>
      <c r="K832" s="420"/>
      <c r="L832" s="421"/>
      <c r="M832" s="422"/>
      <c r="N832" s="203"/>
      <c r="O832" s="203"/>
      <c r="P832" s="201"/>
      <c r="Q832" s="416"/>
    </row>
    <row r="833" spans="1:17" ht="14.25" customHeight="1">
      <c r="A833" s="3"/>
      <c r="B833" s="3"/>
      <c r="C833" s="3"/>
      <c r="D833" s="3"/>
      <c r="E833" s="206"/>
      <c r="F833" s="417"/>
      <c r="G833" s="418"/>
      <c r="H833" s="200"/>
      <c r="I833" s="200"/>
      <c r="J833" s="419"/>
      <c r="K833" s="420"/>
      <c r="L833" s="421"/>
      <c r="M833" s="422"/>
      <c r="N833" s="203"/>
      <c r="O833" s="203"/>
      <c r="P833" s="201"/>
      <c r="Q833" s="416"/>
    </row>
    <row r="834" spans="1:17" ht="14.25" customHeight="1">
      <c r="A834" s="3"/>
      <c r="B834" s="3"/>
      <c r="C834" s="3"/>
      <c r="D834" s="3"/>
      <c r="E834" s="206"/>
      <c r="F834" s="417"/>
      <c r="G834" s="418"/>
      <c r="H834" s="200"/>
      <c r="I834" s="200"/>
      <c r="J834" s="419"/>
      <c r="K834" s="420"/>
      <c r="L834" s="421"/>
      <c r="M834" s="422"/>
      <c r="N834" s="203"/>
      <c r="O834" s="203"/>
      <c r="P834" s="201"/>
      <c r="Q834" s="416"/>
    </row>
    <row r="835" spans="1:17" ht="14.25" customHeight="1">
      <c r="A835" s="3"/>
      <c r="B835" s="3"/>
      <c r="C835" s="3"/>
      <c r="D835" s="3"/>
      <c r="E835" s="206"/>
      <c r="F835" s="417"/>
      <c r="G835" s="418"/>
      <c r="H835" s="200"/>
      <c r="I835" s="200"/>
      <c r="J835" s="419"/>
      <c r="K835" s="420"/>
      <c r="L835" s="421"/>
      <c r="M835" s="422"/>
      <c r="N835" s="203"/>
      <c r="O835" s="203"/>
      <c r="P835" s="201"/>
      <c r="Q835" s="416"/>
    </row>
    <row r="836" spans="1:17" ht="14.25" customHeight="1">
      <c r="A836" s="3"/>
      <c r="B836" s="3"/>
      <c r="C836" s="3"/>
      <c r="D836" s="3"/>
      <c r="E836" s="206"/>
      <c r="F836" s="417"/>
      <c r="G836" s="418"/>
      <c r="H836" s="200"/>
      <c r="I836" s="200"/>
      <c r="J836" s="419"/>
      <c r="K836" s="420"/>
      <c r="L836" s="421"/>
      <c r="M836" s="422"/>
      <c r="N836" s="203"/>
      <c r="O836" s="203"/>
      <c r="P836" s="201"/>
      <c r="Q836" s="416"/>
    </row>
    <row r="837" spans="1:17" ht="14.25" customHeight="1">
      <c r="A837" s="3"/>
      <c r="B837" s="3"/>
      <c r="C837" s="3"/>
      <c r="D837" s="3"/>
      <c r="E837" s="206"/>
      <c r="F837" s="417"/>
      <c r="G837" s="418"/>
      <c r="H837" s="200"/>
      <c r="I837" s="200"/>
      <c r="J837" s="419"/>
      <c r="K837" s="420"/>
      <c r="L837" s="421"/>
      <c r="M837" s="422"/>
      <c r="N837" s="203"/>
      <c r="O837" s="203"/>
      <c r="P837" s="201"/>
      <c r="Q837" s="416"/>
    </row>
    <row r="838" spans="1:17" ht="14.25" customHeight="1">
      <c r="A838" s="3"/>
      <c r="B838" s="3"/>
      <c r="C838" s="3"/>
      <c r="D838" s="3"/>
      <c r="E838" s="206"/>
      <c r="F838" s="417"/>
      <c r="G838" s="418"/>
      <c r="H838" s="200"/>
      <c r="I838" s="200"/>
      <c r="J838" s="419"/>
      <c r="K838" s="420"/>
      <c r="L838" s="421"/>
      <c r="M838" s="422"/>
      <c r="N838" s="203"/>
      <c r="O838" s="203"/>
      <c r="P838" s="201"/>
      <c r="Q838" s="416"/>
    </row>
    <row r="839" spans="1:17" ht="14.25" customHeight="1">
      <c r="A839" s="3"/>
      <c r="B839" s="3"/>
      <c r="C839" s="3"/>
      <c r="D839" s="3"/>
      <c r="E839" s="206"/>
      <c r="F839" s="417"/>
      <c r="G839" s="418"/>
      <c r="H839" s="200"/>
      <c r="I839" s="200"/>
      <c r="J839" s="419"/>
      <c r="K839" s="420"/>
      <c r="L839" s="421"/>
      <c r="M839" s="422"/>
      <c r="N839" s="203"/>
      <c r="O839" s="203"/>
      <c r="P839" s="201"/>
      <c r="Q839" s="416"/>
    </row>
    <row r="840" spans="1:17" ht="14.25" customHeight="1">
      <c r="A840" s="3"/>
      <c r="B840" s="3"/>
      <c r="C840" s="3"/>
      <c r="D840" s="3"/>
      <c r="E840" s="206"/>
      <c r="F840" s="417"/>
      <c r="G840" s="418"/>
      <c r="H840" s="200"/>
      <c r="I840" s="200"/>
      <c r="J840" s="419"/>
      <c r="K840" s="420"/>
      <c r="L840" s="421"/>
      <c r="M840" s="422"/>
      <c r="N840" s="203"/>
      <c r="O840" s="203"/>
      <c r="P840" s="201"/>
      <c r="Q840" s="416"/>
    </row>
    <row r="841" spans="1:17" ht="14.25" customHeight="1">
      <c r="A841" s="3"/>
      <c r="B841" s="3"/>
      <c r="C841" s="3"/>
      <c r="D841" s="3"/>
      <c r="E841" s="206"/>
      <c r="F841" s="417"/>
      <c r="G841" s="418"/>
      <c r="H841" s="200"/>
      <c r="I841" s="200"/>
      <c r="J841" s="419"/>
      <c r="K841" s="420"/>
      <c r="L841" s="421"/>
      <c r="M841" s="422"/>
      <c r="N841" s="203"/>
      <c r="O841" s="203"/>
      <c r="P841" s="201"/>
      <c r="Q841" s="416"/>
    </row>
    <row r="842" spans="1:17" ht="14.25" customHeight="1">
      <c r="A842" s="3"/>
      <c r="B842" s="3"/>
      <c r="C842" s="3"/>
      <c r="D842" s="3"/>
      <c r="E842" s="206"/>
      <c r="F842" s="417"/>
      <c r="G842" s="418"/>
      <c r="H842" s="200"/>
      <c r="I842" s="200"/>
      <c r="J842" s="419"/>
      <c r="K842" s="420"/>
      <c r="L842" s="421"/>
      <c r="M842" s="422"/>
      <c r="N842" s="203"/>
      <c r="O842" s="203"/>
      <c r="P842" s="201"/>
      <c r="Q842" s="416"/>
    </row>
    <row r="843" spans="1:17" ht="14.25" customHeight="1">
      <c r="A843" s="3"/>
      <c r="B843" s="3"/>
      <c r="C843" s="3"/>
      <c r="D843" s="3"/>
      <c r="E843" s="206"/>
      <c r="F843" s="417"/>
      <c r="G843" s="418"/>
      <c r="H843" s="200"/>
      <c r="I843" s="200"/>
      <c r="J843" s="419"/>
      <c r="K843" s="420"/>
      <c r="L843" s="421"/>
      <c r="M843" s="422"/>
      <c r="N843" s="203"/>
      <c r="O843" s="203"/>
      <c r="P843" s="201"/>
      <c r="Q843" s="416"/>
    </row>
    <row r="844" spans="1:17" ht="14.25" customHeight="1">
      <c r="A844" s="3"/>
      <c r="B844" s="3"/>
      <c r="C844" s="3"/>
      <c r="D844" s="3"/>
      <c r="E844" s="206"/>
      <c r="F844" s="417"/>
      <c r="G844" s="418"/>
      <c r="H844" s="200"/>
      <c r="I844" s="200"/>
      <c r="J844" s="419"/>
      <c r="K844" s="420"/>
      <c r="L844" s="421"/>
      <c r="M844" s="422"/>
      <c r="N844" s="203"/>
      <c r="O844" s="203"/>
      <c r="P844" s="201"/>
      <c r="Q844" s="416"/>
    </row>
    <row r="845" spans="1:17" ht="14.25" customHeight="1">
      <c r="A845" s="3"/>
      <c r="B845" s="3"/>
      <c r="C845" s="3"/>
      <c r="D845" s="3"/>
      <c r="E845" s="206"/>
      <c r="F845" s="417"/>
      <c r="G845" s="418"/>
      <c r="H845" s="200"/>
      <c r="I845" s="200"/>
      <c r="J845" s="419"/>
      <c r="K845" s="420"/>
      <c r="L845" s="421"/>
      <c r="M845" s="422"/>
      <c r="N845" s="203"/>
      <c r="O845" s="203"/>
      <c r="P845" s="201"/>
      <c r="Q845" s="416"/>
    </row>
    <row r="846" spans="1:17" ht="14.25" customHeight="1">
      <c r="A846" s="3"/>
      <c r="B846" s="3"/>
      <c r="C846" s="3"/>
      <c r="D846" s="3"/>
      <c r="E846" s="206"/>
      <c r="F846" s="417"/>
      <c r="G846" s="418"/>
      <c r="H846" s="200"/>
      <c r="I846" s="200"/>
      <c r="J846" s="419"/>
      <c r="K846" s="420"/>
      <c r="L846" s="421"/>
      <c r="M846" s="422"/>
      <c r="N846" s="203"/>
      <c r="O846" s="203"/>
      <c r="P846" s="201"/>
      <c r="Q846" s="416"/>
    </row>
    <row r="847" spans="1:17" ht="14.25" customHeight="1">
      <c r="A847" s="3"/>
      <c r="B847" s="3"/>
      <c r="C847" s="3"/>
      <c r="D847" s="3"/>
      <c r="E847" s="206"/>
      <c r="F847" s="417"/>
      <c r="G847" s="418"/>
      <c r="H847" s="200"/>
      <c r="I847" s="200"/>
      <c r="J847" s="419"/>
      <c r="K847" s="420"/>
      <c r="L847" s="421"/>
      <c r="M847" s="422"/>
      <c r="N847" s="203"/>
      <c r="O847" s="203"/>
      <c r="P847" s="201"/>
      <c r="Q847" s="416"/>
    </row>
    <row r="848" spans="1:17" ht="14.25" customHeight="1">
      <c r="A848" s="3"/>
      <c r="B848" s="3"/>
      <c r="C848" s="3"/>
      <c r="D848" s="3"/>
      <c r="E848" s="206"/>
      <c r="F848" s="417"/>
      <c r="G848" s="418"/>
      <c r="H848" s="200"/>
      <c r="I848" s="200"/>
      <c r="J848" s="419"/>
      <c r="K848" s="420"/>
      <c r="L848" s="421"/>
      <c r="M848" s="422"/>
      <c r="N848" s="203"/>
      <c r="O848" s="203"/>
      <c r="P848" s="201"/>
      <c r="Q848" s="416"/>
    </row>
    <row r="849" spans="1:17" ht="14.25" customHeight="1">
      <c r="A849" s="3"/>
      <c r="B849" s="3"/>
      <c r="C849" s="3"/>
      <c r="D849" s="3"/>
      <c r="E849" s="206"/>
      <c r="F849" s="417"/>
      <c r="G849" s="418"/>
      <c r="H849" s="200"/>
      <c r="I849" s="200"/>
      <c r="J849" s="419"/>
      <c r="K849" s="420"/>
      <c r="L849" s="421"/>
      <c r="M849" s="422"/>
      <c r="N849" s="203"/>
      <c r="O849" s="203"/>
      <c r="P849" s="201"/>
      <c r="Q849" s="416"/>
    </row>
    <row r="850" spans="1:17" ht="14.25" customHeight="1">
      <c r="A850" s="3"/>
      <c r="B850" s="3"/>
      <c r="C850" s="3"/>
      <c r="D850" s="3"/>
      <c r="E850" s="206"/>
      <c r="F850" s="417"/>
      <c r="G850" s="418"/>
      <c r="H850" s="200"/>
      <c r="I850" s="200"/>
      <c r="J850" s="419"/>
      <c r="K850" s="420"/>
      <c r="L850" s="421"/>
      <c r="M850" s="422"/>
      <c r="N850" s="203"/>
      <c r="O850" s="203"/>
      <c r="P850" s="201"/>
      <c r="Q850" s="416"/>
    </row>
    <row r="851" spans="1:17" ht="14.25" customHeight="1">
      <c r="A851" s="3"/>
      <c r="B851" s="3"/>
      <c r="C851" s="3"/>
      <c r="D851" s="3"/>
      <c r="E851" s="206"/>
      <c r="F851" s="417"/>
      <c r="G851" s="418"/>
      <c r="H851" s="200"/>
      <c r="I851" s="200"/>
      <c r="J851" s="419"/>
      <c r="K851" s="420"/>
      <c r="L851" s="421"/>
      <c r="M851" s="422"/>
      <c r="N851" s="203"/>
      <c r="O851" s="203"/>
      <c r="P851" s="201"/>
      <c r="Q851" s="416"/>
    </row>
    <row r="852" spans="1:17" ht="14.25" customHeight="1">
      <c r="A852" s="3"/>
      <c r="B852" s="3"/>
      <c r="C852" s="3"/>
      <c r="D852" s="3"/>
      <c r="E852" s="206"/>
      <c r="F852" s="417"/>
      <c r="G852" s="418"/>
      <c r="H852" s="200"/>
      <c r="I852" s="200"/>
      <c r="J852" s="419"/>
      <c r="K852" s="420"/>
      <c r="L852" s="421"/>
      <c r="M852" s="422"/>
      <c r="N852" s="203"/>
      <c r="O852" s="203"/>
      <c r="P852" s="201"/>
      <c r="Q852" s="416"/>
    </row>
    <row r="853" spans="1:17" ht="14.25" customHeight="1">
      <c r="A853" s="3"/>
      <c r="B853" s="3"/>
      <c r="C853" s="3"/>
      <c r="D853" s="3"/>
      <c r="E853" s="206"/>
      <c r="F853" s="417"/>
      <c r="G853" s="418"/>
      <c r="H853" s="200"/>
      <c r="I853" s="200"/>
      <c r="J853" s="419"/>
      <c r="K853" s="420"/>
      <c r="L853" s="421"/>
      <c r="M853" s="422"/>
      <c r="N853" s="203"/>
      <c r="O853" s="203"/>
      <c r="P853" s="201"/>
      <c r="Q853" s="416"/>
    </row>
    <row r="854" spans="1:17" ht="14.25" customHeight="1">
      <c r="A854" s="3"/>
      <c r="B854" s="3"/>
      <c r="C854" s="3"/>
      <c r="D854" s="3"/>
      <c r="E854" s="206"/>
      <c r="F854" s="417"/>
      <c r="G854" s="418"/>
      <c r="H854" s="200"/>
      <c r="I854" s="200"/>
      <c r="J854" s="419"/>
      <c r="K854" s="420"/>
      <c r="L854" s="421"/>
      <c r="M854" s="422"/>
      <c r="N854" s="203"/>
      <c r="O854" s="203"/>
      <c r="P854" s="201"/>
      <c r="Q854" s="416"/>
    </row>
    <row r="855" spans="1:17" ht="14.25" customHeight="1">
      <c r="A855" s="3"/>
      <c r="B855" s="3"/>
      <c r="C855" s="3"/>
      <c r="D855" s="3"/>
      <c r="E855" s="206"/>
      <c r="F855" s="417"/>
      <c r="G855" s="418"/>
      <c r="H855" s="200"/>
      <c r="I855" s="200"/>
      <c r="J855" s="419"/>
      <c r="K855" s="420"/>
      <c r="L855" s="421"/>
      <c r="M855" s="422"/>
      <c r="N855" s="203"/>
      <c r="O855" s="203"/>
      <c r="P855" s="201"/>
      <c r="Q855" s="416"/>
    </row>
    <row r="856" spans="1:17" ht="14.25" customHeight="1">
      <c r="A856" s="3"/>
      <c r="B856" s="3"/>
      <c r="C856" s="3"/>
      <c r="D856" s="3"/>
      <c r="E856" s="206"/>
      <c r="F856" s="417"/>
      <c r="G856" s="418"/>
      <c r="H856" s="200"/>
      <c r="I856" s="200"/>
      <c r="J856" s="419"/>
      <c r="K856" s="420"/>
      <c r="L856" s="421"/>
      <c r="M856" s="422"/>
      <c r="N856" s="203"/>
      <c r="O856" s="203"/>
      <c r="P856" s="201"/>
      <c r="Q856" s="416"/>
    </row>
    <row r="857" spans="1:17" ht="14.25" customHeight="1">
      <c r="A857" s="3"/>
      <c r="B857" s="3"/>
      <c r="C857" s="3"/>
      <c r="D857" s="3"/>
      <c r="E857" s="206"/>
      <c r="F857" s="417"/>
      <c r="G857" s="418"/>
      <c r="H857" s="200"/>
      <c r="I857" s="200"/>
      <c r="J857" s="419"/>
      <c r="K857" s="420"/>
      <c r="L857" s="421"/>
      <c r="M857" s="422"/>
      <c r="N857" s="203"/>
      <c r="O857" s="203"/>
      <c r="P857" s="201"/>
      <c r="Q857" s="416"/>
    </row>
    <row r="858" spans="1:17" ht="14.25" customHeight="1">
      <c r="A858" s="3"/>
      <c r="B858" s="3"/>
      <c r="C858" s="3"/>
      <c r="D858" s="3"/>
      <c r="E858" s="206"/>
      <c r="F858" s="417"/>
      <c r="G858" s="418"/>
      <c r="H858" s="200"/>
      <c r="I858" s="200"/>
      <c r="J858" s="419"/>
      <c r="K858" s="420"/>
      <c r="L858" s="421"/>
      <c r="M858" s="422"/>
      <c r="N858" s="203"/>
      <c r="O858" s="203"/>
      <c r="P858" s="201"/>
      <c r="Q858" s="416"/>
    </row>
    <row r="859" spans="1:17" ht="14.25" customHeight="1">
      <c r="A859" s="3"/>
      <c r="B859" s="3"/>
      <c r="C859" s="3"/>
      <c r="D859" s="3"/>
      <c r="E859" s="206"/>
      <c r="F859" s="417"/>
      <c r="G859" s="418"/>
      <c r="H859" s="200"/>
      <c r="I859" s="200"/>
      <c r="J859" s="419"/>
      <c r="K859" s="420"/>
      <c r="L859" s="421"/>
      <c r="M859" s="422"/>
      <c r="N859" s="203"/>
      <c r="O859" s="203"/>
      <c r="P859" s="201"/>
      <c r="Q859" s="416"/>
    </row>
    <row r="860" spans="1:17" ht="14.25" customHeight="1">
      <c r="A860" s="3"/>
      <c r="B860" s="3"/>
      <c r="C860" s="3"/>
      <c r="D860" s="3"/>
      <c r="E860" s="206"/>
      <c r="F860" s="417"/>
      <c r="G860" s="418"/>
      <c r="H860" s="200"/>
      <c r="I860" s="200"/>
      <c r="J860" s="419"/>
      <c r="K860" s="420"/>
      <c r="L860" s="421"/>
      <c r="M860" s="422"/>
      <c r="N860" s="203"/>
      <c r="O860" s="203"/>
      <c r="P860" s="201"/>
      <c r="Q860" s="416"/>
    </row>
    <row r="861" spans="1:17" ht="14.25" customHeight="1">
      <c r="A861" s="3"/>
      <c r="B861" s="3"/>
      <c r="C861" s="3"/>
      <c r="D861" s="3"/>
      <c r="E861" s="206"/>
      <c r="F861" s="417"/>
      <c r="G861" s="418"/>
      <c r="H861" s="200"/>
      <c r="I861" s="200"/>
      <c r="J861" s="419"/>
      <c r="K861" s="420"/>
      <c r="L861" s="421"/>
      <c r="M861" s="422"/>
      <c r="N861" s="203"/>
      <c r="O861" s="203"/>
      <c r="P861" s="201"/>
      <c r="Q861" s="416"/>
    </row>
    <row r="862" spans="1:17" ht="14.25" customHeight="1">
      <c r="A862" s="3"/>
      <c r="B862" s="3"/>
      <c r="C862" s="3"/>
      <c r="D862" s="3"/>
      <c r="E862" s="206"/>
      <c r="F862" s="417"/>
      <c r="G862" s="418"/>
      <c r="H862" s="200"/>
      <c r="I862" s="200"/>
      <c r="J862" s="419"/>
      <c r="K862" s="420"/>
      <c r="L862" s="421"/>
      <c r="M862" s="422"/>
      <c r="N862" s="203"/>
      <c r="O862" s="203"/>
      <c r="P862" s="201"/>
      <c r="Q862" s="416"/>
    </row>
    <row r="863" spans="1:17" ht="14.25" customHeight="1">
      <c r="A863" s="3"/>
      <c r="B863" s="3"/>
      <c r="C863" s="3"/>
      <c r="D863" s="3"/>
      <c r="E863" s="206"/>
      <c r="F863" s="417"/>
      <c r="G863" s="418"/>
      <c r="H863" s="200"/>
      <c r="I863" s="200"/>
      <c r="J863" s="419"/>
      <c r="K863" s="420"/>
      <c r="L863" s="421"/>
      <c r="M863" s="422"/>
      <c r="N863" s="203"/>
      <c r="O863" s="203"/>
      <c r="P863" s="201"/>
      <c r="Q863" s="416"/>
    </row>
    <row r="864" spans="1:17" ht="14.25" customHeight="1">
      <c r="A864" s="3"/>
      <c r="B864" s="3"/>
      <c r="C864" s="3"/>
      <c r="D864" s="3"/>
      <c r="E864" s="206"/>
      <c r="F864" s="417"/>
      <c r="G864" s="418"/>
      <c r="H864" s="200"/>
      <c r="I864" s="200"/>
      <c r="J864" s="419"/>
      <c r="K864" s="420"/>
      <c r="L864" s="421"/>
      <c r="M864" s="422"/>
      <c r="N864" s="203"/>
      <c r="O864" s="203"/>
      <c r="P864" s="201"/>
      <c r="Q864" s="416"/>
    </row>
    <row r="865" spans="1:17" ht="14.25" customHeight="1">
      <c r="A865" s="3"/>
      <c r="B865" s="3"/>
      <c r="C865" s="3"/>
      <c r="D865" s="3"/>
      <c r="E865" s="206"/>
      <c r="F865" s="417"/>
      <c r="G865" s="418"/>
      <c r="H865" s="200"/>
      <c r="I865" s="200"/>
      <c r="J865" s="419"/>
      <c r="K865" s="420"/>
      <c r="L865" s="421"/>
      <c r="M865" s="422"/>
      <c r="N865" s="203"/>
      <c r="O865" s="203"/>
      <c r="P865" s="201"/>
      <c r="Q865" s="416"/>
    </row>
    <row r="866" spans="1:17" ht="14.25" customHeight="1">
      <c r="A866" s="3"/>
      <c r="B866" s="3"/>
      <c r="C866" s="3"/>
      <c r="D866" s="3"/>
      <c r="E866" s="206"/>
      <c r="F866" s="417"/>
      <c r="G866" s="418"/>
      <c r="H866" s="200"/>
      <c r="I866" s="200"/>
      <c r="J866" s="419"/>
      <c r="K866" s="420"/>
      <c r="L866" s="421"/>
      <c r="M866" s="422"/>
      <c r="N866" s="203"/>
      <c r="O866" s="203"/>
      <c r="P866" s="201"/>
      <c r="Q866" s="416"/>
    </row>
    <row r="867" spans="1:17" ht="14.25" customHeight="1">
      <c r="A867" s="3"/>
      <c r="B867" s="3"/>
      <c r="C867" s="3"/>
      <c r="D867" s="3"/>
      <c r="E867" s="206"/>
      <c r="F867" s="417"/>
      <c r="G867" s="418"/>
      <c r="H867" s="200"/>
      <c r="I867" s="200"/>
      <c r="J867" s="419"/>
      <c r="K867" s="420"/>
      <c r="L867" s="421"/>
      <c r="M867" s="422"/>
      <c r="N867" s="203"/>
      <c r="O867" s="203"/>
      <c r="P867" s="201"/>
      <c r="Q867" s="416"/>
    </row>
    <row r="868" spans="1:17" ht="14.25" customHeight="1">
      <c r="A868" s="3"/>
      <c r="B868" s="3"/>
      <c r="C868" s="3"/>
      <c r="D868" s="3"/>
      <c r="E868" s="206"/>
      <c r="F868" s="417"/>
      <c r="G868" s="418"/>
      <c r="H868" s="200"/>
      <c r="I868" s="200"/>
      <c r="J868" s="419"/>
      <c r="K868" s="420"/>
      <c r="L868" s="421"/>
      <c r="M868" s="422"/>
      <c r="N868" s="203"/>
      <c r="O868" s="203"/>
      <c r="P868" s="201"/>
      <c r="Q868" s="416"/>
    </row>
    <row r="869" spans="1:17" ht="14.25" customHeight="1">
      <c r="A869" s="3"/>
      <c r="B869" s="3"/>
      <c r="C869" s="3"/>
      <c r="D869" s="3"/>
      <c r="E869" s="206"/>
      <c r="F869" s="417"/>
      <c r="G869" s="418"/>
      <c r="H869" s="200"/>
      <c r="I869" s="200"/>
      <c r="J869" s="419"/>
      <c r="K869" s="420"/>
      <c r="L869" s="421"/>
      <c r="M869" s="422"/>
      <c r="N869" s="203"/>
      <c r="O869" s="203"/>
      <c r="P869" s="201"/>
      <c r="Q869" s="416"/>
    </row>
    <row r="870" spans="1:17" ht="14.25" customHeight="1">
      <c r="A870" s="3"/>
      <c r="B870" s="3"/>
      <c r="C870" s="3"/>
      <c r="D870" s="3"/>
      <c r="E870" s="206"/>
      <c r="F870" s="417"/>
      <c r="G870" s="418"/>
      <c r="H870" s="200"/>
      <c r="I870" s="200"/>
      <c r="J870" s="419"/>
      <c r="K870" s="420"/>
      <c r="L870" s="421"/>
      <c r="M870" s="422"/>
      <c r="N870" s="203"/>
      <c r="O870" s="203"/>
      <c r="P870" s="201"/>
      <c r="Q870" s="416"/>
    </row>
    <row r="871" spans="1:17" ht="14.25" customHeight="1">
      <c r="A871" s="3"/>
      <c r="B871" s="3"/>
      <c r="C871" s="3"/>
      <c r="D871" s="3"/>
      <c r="E871" s="206"/>
      <c r="F871" s="417"/>
      <c r="G871" s="418"/>
      <c r="H871" s="200"/>
      <c r="I871" s="200"/>
      <c r="J871" s="419"/>
      <c r="K871" s="420"/>
      <c r="L871" s="421"/>
      <c r="M871" s="422"/>
      <c r="N871" s="203"/>
      <c r="O871" s="203"/>
      <c r="P871" s="201"/>
      <c r="Q871" s="416"/>
    </row>
    <row r="872" spans="1:17" ht="14.25" customHeight="1">
      <c r="A872" s="3"/>
      <c r="B872" s="3"/>
      <c r="C872" s="3"/>
      <c r="D872" s="3"/>
      <c r="E872" s="206"/>
      <c r="F872" s="417"/>
      <c r="G872" s="418"/>
      <c r="H872" s="200"/>
      <c r="I872" s="200"/>
      <c r="J872" s="419"/>
      <c r="K872" s="420"/>
      <c r="L872" s="421"/>
      <c r="M872" s="422"/>
      <c r="N872" s="203"/>
      <c r="O872" s="203"/>
      <c r="P872" s="201"/>
      <c r="Q872" s="416"/>
    </row>
    <row r="873" spans="1:17" ht="14.25" customHeight="1">
      <c r="A873" s="3"/>
      <c r="B873" s="3"/>
      <c r="C873" s="3"/>
      <c r="D873" s="3"/>
      <c r="E873" s="206"/>
      <c r="F873" s="417"/>
      <c r="G873" s="418"/>
      <c r="H873" s="200"/>
      <c r="I873" s="200"/>
      <c r="J873" s="419"/>
      <c r="K873" s="420"/>
      <c r="L873" s="421"/>
      <c r="M873" s="422"/>
      <c r="N873" s="203"/>
      <c r="O873" s="203"/>
      <c r="P873" s="201"/>
      <c r="Q873" s="416"/>
    </row>
    <row r="874" spans="1:17" ht="14.25" customHeight="1">
      <c r="A874" s="3"/>
      <c r="B874" s="3"/>
      <c r="C874" s="3"/>
      <c r="D874" s="3"/>
      <c r="E874" s="206"/>
      <c r="F874" s="417"/>
      <c r="G874" s="418"/>
      <c r="H874" s="200"/>
      <c r="I874" s="200"/>
      <c r="J874" s="419"/>
      <c r="K874" s="420"/>
      <c r="L874" s="421"/>
      <c r="M874" s="422"/>
      <c r="N874" s="203"/>
      <c r="O874" s="203"/>
      <c r="P874" s="201"/>
      <c r="Q874" s="416"/>
    </row>
    <row r="875" spans="1:17" ht="14.25" customHeight="1">
      <c r="A875" s="3"/>
      <c r="B875" s="3"/>
      <c r="C875" s="3"/>
      <c r="D875" s="3"/>
      <c r="E875" s="206"/>
      <c r="F875" s="417"/>
      <c r="G875" s="418"/>
      <c r="H875" s="200"/>
      <c r="I875" s="200"/>
      <c r="J875" s="419"/>
      <c r="K875" s="420"/>
      <c r="L875" s="421"/>
      <c r="M875" s="422"/>
      <c r="N875" s="203"/>
      <c r="O875" s="203"/>
      <c r="P875" s="201"/>
      <c r="Q875" s="416"/>
    </row>
    <row r="876" spans="1:17" ht="14.25" customHeight="1">
      <c r="A876" s="3"/>
      <c r="B876" s="3"/>
      <c r="C876" s="3"/>
      <c r="D876" s="3"/>
      <c r="E876" s="206"/>
      <c r="F876" s="417"/>
      <c r="G876" s="418"/>
      <c r="H876" s="200"/>
      <c r="I876" s="200"/>
      <c r="J876" s="419"/>
      <c r="K876" s="420"/>
      <c r="L876" s="421"/>
      <c r="M876" s="422"/>
      <c r="N876" s="203"/>
      <c r="O876" s="203"/>
      <c r="P876" s="201"/>
      <c r="Q876" s="416"/>
    </row>
    <row r="877" spans="1:17" ht="14.25" customHeight="1">
      <c r="A877" s="3"/>
      <c r="B877" s="3"/>
      <c r="C877" s="3"/>
      <c r="D877" s="3"/>
      <c r="E877" s="206"/>
      <c r="F877" s="417"/>
      <c r="G877" s="418"/>
      <c r="H877" s="200"/>
      <c r="I877" s="200"/>
      <c r="J877" s="419"/>
      <c r="K877" s="420"/>
      <c r="L877" s="421"/>
      <c r="M877" s="422"/>
      <c r="N877" s="203"/>
      <c r="O877" s="203"/>
      <c r="P877" s="201"/>
      <c r="Q877" s="416"/>
    </row>
    <row r="878" spans="1:17" ht="14.25" customHeight="1">
      <c r="A878" s="3"/>
      <c r="B878" s="3"/>
      <c r="C878" s="3"/>
      <c r="D878" s="3"/>
      <c r="E878" s="206"/>
      <c r="F878" s="417"/>
      <c r="G878" s="418"/>
      <c r="H878" s="200"/>
      <c r="I878" s="200"/>
      <c r="J878" s="419"/>
      <c r="K878" s="420"/>
      <c r="L878" s="421"/>
      <c r="M878" s="422"/>
      <c r="N878" s="203"/>
      <c r="O878" s="203"/>
      <c r="P878" s="201"/>
      <c r="Q878" s="416"/>
    </row>
    <row r="879" spans="1:17" ht="14.25" customHeight="1">
      <c r="A879" s="3"/>
      <c r="B879" s="3"/>
      <c r="C879" s="3"/>
      <c r="D879" s="3"/>
      <c r="E879" s="206"/>
      <c r="F879" s="417"/>
      <c r="G879" s="418"/>
      <c r="H879" s="200"/>
      <c r="I879" s="200"/>
      <c r="J879" s="419"/>
      <c r="K879" s="420"/>
      <c r="L879" s="421"/>
      <c r="M879" s="422"/>
      <c r="N879" s="203"/>
      <c r="O879" s="203"/>
      <c r="P879" s="201"/>
      <c r="Q879" s="416"/>
    </row>
    <row r="880" spans="1:17" ht="14.25" customHeight="1">
      <c r="A880" s="3"/>
      <c r="B880" s="3"/>
      <c r="C880" s="3"/>
      <c r="D880" s="3"/>
      <c r="E880" s="206"/>
      <c r="F880" s="417"/>
      <c r="G880" s="418"/>
      <c r="H880" s="200"/>
      <c r="I880" s="200"/>
      <c r="J880" s="419"/>
      <c r="K880" s="420"/>
      <c r="L880" s="421"/>
      <c r="M880" s="422"/>
      <c r="N880" s="203"/>
      <c r="O880" s="203"/>
      <c r="P880" s="201"/>
      <c r="Q880" s="416"/>
    </row>
    <row r="881" spans="1:17" ht="14.25" customHeight="1">
      <c r="A881" s="3"/>
      <c r="B881" s="3"/>
      <c r="C881" s="3"/>
      <c r="D881" s="3"/>
      <c r="E881" s="206"/>
      <c r="F881" s="417"/>
      <c r="G881" s="418"/>
      <c r="H881" s="200"/>
      <c r="I881" s="200"/>
      <c r="J881" s="419"/>
      <c r="K881" s="420"/>
      <c r="L881" s="421"/>
      <c r="M881" s="422"/>
      <c r="N881" s="203"/>
      <c r="O881" s="203"/>
      <c r="P881" s="201"/>
      <c r="Q881" s="416"/>
    </row>
    <row r="882" spans="1:17" ht="14.25" customHeight="1">
      <c r="A882" s="3"/>
      <c r="B882" s="3"/>
      <c r="C882" s="3"/>
      <c r="D882" s="3"/>
      <c r="E882" s="206"/>
      <c r="F882" s="417"/>
      <c r="G882" s="418"/>
      <c r="H882" s="200"/>
      <c r="I882" s="200"/>
      <c r="J882" s="419"/>
      <c r="K882" s="420"/>
      <c r="L882" s="421"/>
      <c r="M882" s="422"/>
      <c r="N882" s="203"/>
      <c r="O882" s="203"/>
      <c r="P882" s="201"/>
      <c r="Q882" s="416"/>
    </row>
    <row r="883" spans="1:17" ht="14.25" customHeight="1">
      <c r="A883" s="3"/>
      <c r="B883" s="3"/>
      <c r="C883" s="3"/>
      <c r="D883" s="3"/>
      <c r="E883" s="206"/>
      <c r="F883" s="417"/>
      <c r="G883" s="418"/>
      <c r="H883" s="200"/>
      <c r="I883" s="200"/>
      <c r="J883" s="419"/>
      <c r="K883" s="420"/>
      <c r="L883" s="421"/>
      <c r="M883" s="422"/>
      <c r="N883" s="203"/>
      <c r="O883" s="203"/>
      <c r="P883" s="201"/>
      <c r="Q883" s="416"/>
    </row>
    <row r="884" spans="1:17" ht="14.25" customHeight="1">
      <c r="A884" s="3"/>
      <c r="B884" s="3"/>
      <c r="C884" s="3"/>
      <c r="D884" s="3"/>
      <c r="E884" s="206"/>
      <c r="F884" s="417"/>
      <c r="G884" s="418"/>
      <c r="H884" s="200"/>
      <c r="I884" s="200"/>
      <c r="J884" s="419"/>
      <c r="K884" s="420"/>
      <c r="L884" s="421"/>
      <c r="M884" s="422"/>
      <c r="N884" s="203"/>
      <c r="O884" s="203"/>
      <c r="P884" s="201"/>
      <c r="Q884" s="416"/>
    </row>
    <row r="885" spans="1:17" ht="14.25" customHeight="1">
      <c r="A885" s="3"/>
      <c r="B885" s="3"/>
      <c r="C885" s="3"/>
      <c r="D885" s="3"/>
      <c r="E885" s="206"/>
      <c r="F885" s="417"/>
      <c r="G885" s="418"/>
      <c r="H885" s="200"/>
      <c r="I885" s="200"/>
      <c r="J885" s="419"/>
      <c r="K885" s="420"/>
      <c r="L885" s="421"/>
      <c r="M885" s="422"/>
      <c r="N885" s="203"/>
      <c r="O885" s="203"/>
      <c r="P885" s="201"/>
      <c r="Q885" s="416"/>
    </row>
    <row r="886" spans="1:17" ht="14.25" customHeight="1">
      <c r="A886" s="3"/>
      <c r="B886" s="3"/>
      <c r="C886" s="3"/>
      <c r="D886" s="3"/>
      <c r="E886" s="206"/>
      <c r="F886" s="417"/>
      <c r="G886" s="418"/>
      <c r="H886" s="200"/>
      <c r="I886" s="200"/>
      <c r="J886" s="419"/>
      <c r="K886" s="420"/>
      <c r="L886" s="421"/>
      <c r="M886" s="422"/>
      <c r="N886" s="203"/>
      <c r="O886" s="203"/>
      <c r="P886" s="201"/>
      <c r="Q886" s="416"/>
    </row>
    <row r="887" spans="1:17" ht="14.25" customHeight="1">
      <c r="A887" s="3"/>
      <c r="B887" s="3"/>
      <c r="C887" s="3"/>
      <c r="D887" s="3"/>
      <c r="E887" s="206"/>
      <c r="F887" s="417"/>
      <c r="G887" s="418"/>
      <c r="H887" s="200"/>
      <c r="I887" s="200"/>
      <c r="J887" s="419"/>
      <c r="K887" s="420"/>
      <c r="L887" s="421"/>
      <c r="M887" s="422"/>
      <c r="N887" s="203"/>
      <c r="O887" s="203"/>
      <c r="P887" s="201"/>
      <c r="Q887" s="416"/>
    </row>
    <row r="888" spans="1:17" ht="14.25" customHeight="1">
      <c r="A888" s="3"/>
      <c r="B888" s="3"/>
      <c r="C888" s="3"/>
      <c r="D888" s="3"/>
      <c r="E888" s="206"/>
      <c r="F888" s="417"/>
      <c r="G888" s="418"/>
      <c r="H888" s="200"/>
      <c r="I888" s="200"/>
      <c r="J888" s="419"/>
      <c r="K888" s="420"/>
      <c r="L888" s="421"/>
      <c r="M888" s="422"/>
      <c r="N888" s="203"/>
      <c r="O888" s="203"/>
      <c r="P888" s="201"/>
      <c r="Q888" s="416"/>
    </row>
    <row r="889" spans="1:17" ht="14.25" customHeight="1">
      <c r="A889" s="3"/>
      <c r="B889" s="3"/>
      <c r="C889" s="3"/>
      <c r="D889" s="3"/>
      <c r="E889" s="206"/>
      <c r="F889" s="417"/>
      <c r="G889" s="418"/>
      <c r="H889" s="200"/>
      <c r="I889" s="200"/>
      <c r="J889" s="419"/>
      <c r="K889" s="420"/>
      <c r="L889" s="421"/>
      <c r="M889" s="422"/>
      <c r="N889" s="203"/>
      <c r="O889" s="203"/>
      <c r="P889" s="201"/>
      <c r="Q889" s="416"/>
    </row>
    <row r="890" spans="1:17" ht="14.25" customHeight="1">
      <c r="A890" s="3"/>
      <c r="B890" s="3"/>
      <c r="C890" s="3"/>
      <c r="D890" s="3"/>
      <c r="E890" s="206"/>
      <c r="F890" s="417"/>
      <c r="G890" s="418"/>
      <c r="H890" s="200"/>
      <c r="I890" s="200"/>
      <c r="J890" s="419"/>
      <c r="K890" s="420"/>
      <c r="L890" s="421"/>
      <c r="M890" s="422"/>
      <c r="N890" s="203"/>
      <c r="O890" s="203"/>
      <c r="P890" s="201"/>
      <c r="Q890" s="416"/>
    </row>
    <row r="891" spans="1:17" ht="14.25" customHeight="1">
      <c r="A891" s="3"/>
      <c r="B891" s="3"/>
      <c r="C891" s="3"/>
      <c r="D891" s="3"/>
      <c r="E891" s="206"/>
      <c r="F891" s="417"/>
      <c r="G891" s="418"/>
      <c r="H891" s="200"/>
      <c r="I891" s="200"/>
      <c r="J891" s="419"/>
      <c r="K891" s="420"/>
      <c r="L891" s="421"/>
      <c r="M891" s="422"/>
      <c r="N891" s="203"/>
      <c r="O891" s="203"/>
      <c r="P891" s="201"/>
      <c r="Q891" s="416"/>
    </row>
    <row r="892" spans="1:17" ht="14.25" customHeight="1">
      <c r="A892" s="3"/>
      <c r="B892" s="3"/>
      <c r="C892" s="3"/>
      <c r="D892" s="3"/>
      <c r="E892" s="206"/>
      <c r="F892" s="417"/>
      <c r="G892" s="418"/>
      <c r="H892" s="200"/>
      <c r="I892" s="200"/>
      <c r="J892" s="419"/>
      <c r="K892" s="420"/>
      <c r="L892" s="421"/>
      <c r="M892" s="422"/>
      <c r="N892" s="203"/>
      <c r="O892" s="203"/>
      <c r="P892" s="201"/>
      <c r="Q892" s="416"/>
    </row>
    <row r="893" spans="1:17" ht="14.25" customHeight="1">
      <c r="A893" s="3"/>
      <c r="B893" s="3"/>
      <c r="C893" s="3"/>
      <c r="D893" s="3"/>
      <c r="E893" s="206"/>
      <c r="F893" s="417"/>
      <c r="G893" s="418"/>
      <c r="H893" s="200"/>
      <c r="I893" s="200"/>
      <c r="J893" s="419"/>
      <c r="K893" s="420"/>
      <c r="L893" s="421"/>
      <c r="M893" s="422"/>
      <c r="N893" s="203"/>
      <c r="O893" s="203"/>
      <c r="P893" s="201"/>
      <c r="Q893" s="416"/>
    </row>
    <row r="894" spans="1:17" ht="14.25" customHeight="1">
      <c r="A894" s="3"/>
      <c r="B894" s="3"/>
      <c r="C894" s="3"/>
      <c r="D894" s="3"/>
      <c r="E894" s="206"/>
      <c r="F894" s="417"/>
      <c r="G894" s="418"/>
      <c r="H894" s="200"/>
      <c r="I894" s="200"/>
      <c r="J894" s="419"/>
      <c r="K894" s="420"/>
      <c r="L894" s="421"/>
      <c r="M894" s="422"/>
      <c r="N894" s="203"/>
      <c r="O894" s="203"/>
      <c r="P894" s="201"/>
      <c r="Q894" s="416"/>
    </row>
    <row r="895" spans="1:17" ht="14.25" customHeight="1">
      <c r="A895" s="3"/>
      <c r="B895" s="3"/>
      <c r="C895" s="3"/>
      <c r="D895" s="3"/>
      <c r="E895" s="206"/>
      <c r="F895" s="417"/>
      <c r="G895" s="418"/>
      <c r="H895" s="200"/>
      <c r="I895" s="200"/>
      <c r="J895" s="419"/>
      <c r="K895" s="420"/>
      <c r="L895" s="421"/>
      <c r="M895" s="422"/>
      <c r="N895" s="203"/>
      <c r="O895" s="203"/>
      <c r="P895" s="201"/>
      <c r="Q895" s="416"/>
    </row>
    <row r="896" spans="1:17" ht="14.25" customHeight="1">
      <c r="A896" s="3"/>
      <c r="B896" s="3"/>
      <c r="C896" s="3"/>
      <c r="D896" s="3"/>
      <c r="E896" s="206"/>
      <c r="F896" s="417"/>
      <c r="G896" s="418"/>
      <c r="H896" s="200"/>
      <c r="I896" s="200"/>
      <c r="J896" s="419"/>
      <c r="K896" s="420"/>
      <c r="L896" s="421"/>
      <c r="M896" s="422"/>
      <c r="N896" s="203"/>
      <c r="O896" s="203"/>
      <c r="P896" s="201"/>
      <c r="Q896" s="416"/>
    </row>
    <row r="897" spans="1:17" ht="14.25" customHeight="1">
      <c r="A897" s="3"/>
      <c r="B897" s="3"/>
      <c r="C897" s="3"/>
      <c r="D897" s="3"/>
      <c r="E897" s="206"/>
      <c r="F897" s="417"/>
      <c r="G897" s="418"/>
      <c r="H897" s="200"/>
      <c r="I897" s="200"/>
      <c r="J897" s="419"/>
      <c r="K897" s="420"/>
      <c r="L897" s="421"/>
      <c r="M897" s="422"/>
      <c r="N897" s="203"/>
      <c r="O897" s="203"/>
      <c r="P897" s="201"/>
      <c r="Q897" s="416"/>
    </row>
    <row r="898" spans="1:17" ht="14.25" customHeight="1">
      <c r="A898" s="3"/>
      <c r="B898" s="3"/>
      <c r="C898" s="3"/>
      <c r="D898" s="3"/>
      <c r="E898" s="206"/>
      <c r="F898" s="417"/>
      <c r="G898" s="418"/>
      <c r="H898" s="200"/>
      <c r="I898" s="200"/>
      <c r="J898" s="419"/>
      <c r="K898" s="420"/>
      <c r="L898" s="421"/>
      <c r="M898" s="422"/>
      <c r="N898" s="203"/>
      <c r="O898" s="203"/>
      <c r="P898" s="201"/>
      <c r="Q898" s="416"/>
    </row>
    <row r="899" spans="1:17" ht="14.25" customHeight="1">
      <c r="A899" s="3"/>
      <c r="B899" s="3"/>
      <c r="C899" s="3"/>
      <c r="D899" s="3"/>
      <c r="E899" s="206"/>
      <c r="F899" s="417"/>
      <c r="G899" s="418"/>
      <c r="H899" s="200"/>
      <c r="I899" s="200"/>
      <c r="J899" s="419"/>
      <c r="K899" s="420"/>
      <c r="L899" s="421"/>
      <c r="M899" s="422"/>
      <c r="N899" s="203"/>
      <c r="O899" s="203"/>
      <c r="P899" s="201"/>
      <c r="Q899" s="416"/>
    </row>
    <row r="900" spans="1:17" ht="14.25" customHeight="1">
      <c r="A900" s="3"/>
      <c r="B900" s="3"/>
      <c r="C900" s="3"/>
      <c r="D900" s="3"/>
      <c r="E900" s="206"/>
      <c r="F900" s="417"/>
      <c r="G900" s="418"/>
      <c r="H900" s="200"/>
      <c r="I900" s="200"/>
      <c r="J900" s="419"/>
      <c r="K900" s="420"/>
      <c r="L900" s="421"/>
      <c r="M900" s="422"/>
      <c r="N900" s="203"/>
      <c r="O900" s="203"/>
      <c r="P900" s="201"/>
      <c r="Q900" s="416"/>
    </row>
    <row r="901" spans="1:17" ht="14.25" customHeight="1">
      <c r="A901" s="3"/>
      <c r="B901" s="3"/>
      <c r="C901" s="3"/>
      <c r="D901" s="3"/>
      <c r="E901" s="206"/>
      <c r="F901" s="417"/>
      <c r="G901" s="418"/>
      <c r="H901" s="200"/>
      <c r="I901" s="200"/>
      <c r="J901" s="419"/>
      <c r="K901" s="420"/>
      <c r="L901" s="421"/>
      <c r="M901" s="422"/>
      <c r="N901" s="203"/>
      <c r="O901" s="203"/>
      <c r="P901" s="201"/>
      <c r="Q901" s="416"/>
    </row>
    <row r="902" spans="1:17" ht="14.25" customHeight="1">
      <c r="A902" s="3"/>
      <c r="B902" s="3"/>
      <c r="C902" s="3"/>
      <c r="D902" s="3"/>
      <c r="E902" s="206"/>
      <c r="F902" s="417"/>
      <c r="G902" s="418"/>
      <c r="H902" s="200"/>
      <c r="I902" s="200"/>
      <c r="J902" s="419"/>
      <c r="K902" s="420"/>
      <c r="L902" s="421"/>
      <c r="M902" s="422"/>
      <c r="N902" s="203"/>
      <c r="O902" s="203"/>
      <c r="P902" s="201"/>
      <c r="Q902" s="416"/>
    </row>
    <row r="903" spans="1:17" ht="14.25" customHeight="1">
      <c r="A903" s="3"/>
      <c r="B903" s="3"/>
      <c r="C903" s="3"/>
      <c r="D903" s="3"/>
      <c r="E903" s="206"/>
      <c r="F903" s="417"/>
      <c r="G903" s="418"/>
      <c r="H903" s="200"/>
      <c r="I903" s="200"/>
      <c r="J903" s="419"/>
      <c r="K903" s="420"/>
      <c r="L903" s="421"/>
      <c r="M903" s="422"/>
      <c r="N903" s="203"/>
      <c r="O903" s="203"/>
      <c r="P903" s="201"/>
      <c r="Q903" s="416"/>
    </row>
    <row r="904" spans="1:17" ht="14.25" customHeight="1">
      <c r="A904" s="3"/>
      <c r="B904" s="3"/>
      <c r="C904" s="3"/>
      <c r="D904" s="3"/>
      <c r="E904" s="206"/>
      <c r="F904" s="417"/>
      <c r="G904" s="418"/>
      <c r="H904" s="200"/>
      <c r="I904" s="200"/>
      <c r="J904" s="419"/>
      <c r="K904" s="420"/>
      <c r="L904" s="421"/>
      <c r="M904" s="422"/>
      <c r="N904" s="203"/>
      <c r="O904" s="203"/>
      <c r="P904" s="201"/>
      <c r="Q904" s="416"/>
    </row>
    <row r="905" spans="1:17" ht="14.25" customHeight="1">
      <c r="A905" s="3"/>
      <c r="B905" s="3"/>
      <c r="C905" s="3"/>
      <c r="D905" s="3"/>
      <c r="E905" s="206"/>
      <c r="F905" s="417"/>
      <c r="G905" s="418"/>
      <c r="H905" s="200"/>
      <c r="I905" s="200"/>
      <c r="J905" s="419"/>
      <c r="K905" s="420"/>
      <c r="L905" s="421"/>
      <c r="M905" s="422"/>
      <c r="N905" s="203"/>
      <c r="O905" s="203"/>
      <c r="P905" s="201"/>
      <c r="Q905" s="416"/>
    </row>
    <row r="906" spans="1:17" ht="14.25" customHeight="1">
      <c r="A906" s="3"/>
      <c r="B906" s="3"/>
      <c r="C906" s="3"/>
      <c r="D906" s="3"/>
      <c r="E906" s="206"/>
      <c r="F906" s="417"/>
      <c r="G906" s="418"/>
      <c r="H906" s="200"/>
      <c r="I906" s="200"/>
      <c r="J906" s="419"/>
      <c r="K906" s="420"/>
      <c r="L906" s="421"/>
      <c r="M906" s="422"/>
      <c r="N906" s="203"/>
      <c r="O906" s="203"/>
      <c r="P906" s="201"/>
      <c r="Q906" s="416"/>
    </row>
    <row r="907" spans="1:17" ht="14.25" customHeight="1">
      <c r="A907" s="3"/>
      <c r="B907" s="3"/>
      <c r="C907" s="3"/>
      <c r="D907" s="3"/>
      <c r="E907" s="206"/>
      <c r="F907" s="417"/>
      <c r="G907" s="418"/>
      <c r="H907" s="200"/>
      <c r="I907" s="200"/>
      <c r="J907" s="419"/>
      <c r="K907" s="420"/>
      <c r="L907" s="421"/>
      <c r="M907" s="422"/>
      <c r="N907" s="203"/>
      <c r="O907" s="203"/>
      <c r="P907" s="201"/>
      <c r="Q907" s="416"/>
    </row>
    <row r="908" spans="1:17" ht="14.25" customHeight="1">
      <c r="A908" s="3"/>
      <c r="B908" s="3"/>
      <c r="C908" s="3"/>
      <c r="D908" s="3"/>
      <c r="E908" s="206"/>
      <c r="F908" s="417"/>
      <c r="G908" s="418"/>
      <c r="H908" s="200"/>
      <c r="I908" s="200"/>
      <c r="J908" s="419"/>
      <c r="K908" s="420"/>
      <c r="L908" s="421"/>
      <c r="M908" s="422"/>
      <c r="N908" s="203"/>
      <c r="O908" s="203"/>
      <c r="P908" s="201"/>
      <c r="Q908" s="416"/>
    </row>
    <row r="909" spans="1:17" ht="14.25" customHeight="1">
      <c r="A909" s="3"/>
      <c r="B909" s="3"/>
      <c r="C909" s="3"/>
      <c r="D909" s="3"/>
      <c r="E909" s="206"/>
      <c r="F909" s="417"/>
      <c r="G909" s="418"/>
      <c r="H909" s="200"/>
      <c r="I909" s="200"/>
      <c r="J909" s="419"/>
      <c r="K909" s="420"/>
      <c r="L909" s="421"/>
      <c r="M909" s="422"/>
      <c r="N909" s="203"/>
      <c r="O909" s="203"/>
      <c r="P909" s="201"/>
      <c r="Q909" s="416"/>
    </row>
    <row r="910" spans="1:17" ht="14.25" customHeight="1">
      <c r="A910" s="3"/>
      <c r="B910" s="3"/>
      <c r="C910" s="3"/>
      <c r="D910" s="3"/>
      <c r="E910" s="206"/>
      <c r="F910" s="417"/>
      <c r="G910" s="418"/>
      <c r="H910" s="200"/>
      <c r="I910" s="200"/>
      <c r="J910" s="419"/>
      <c r="K910" s="420"/>
      <c r="L910" s="421"/>
      <c r="M910" s="422"/>
      <c r="N910" s="203"/>
      <c r="O910" s="203"/>
      <c r="P910" s="201"/>
      <c r="Q910" s="416"/>
    </row>
    <row r="911" spans="1:17" ht="14.25" customHeight="1">
      <c r="A911" s="3"/>
      <c r="B911" s="3"/>
      <c r="C911" s="3"/>
      <c r="D911" s="3"/>
      <c r="E911" s="206"/>
      <c r="F911" s="417"/>
      <c r="G911" s="418"/>
      <c r="H911" s="200"/>
      <c r="I911" s="200"/>
      <c r="J911" s="419"/>
      <c r="K911" s="420"/>
      <c r="L911" s="421"/>
      <c r="M911" s="422"/>
      <c r="N911" s="203"/>
      <c r="O911" s="203"/>
      <c r="P911" s="201"/>
      <c r="Q911" s="416"/>
    </row>
    <row r="912" spans="1:17" ht="14.25" customHeight="1">
      <c r="A912" s="3"/>
      <c r="B912" s="3"/>
      <c r="C912" s="3"/>
      <c r="D912" s="3"/>
      <c r="E912" s="206"/>
      <c r="F912" s="417"/>
      <c r="G912" s="418"/>
      <c r="H912" s="200"/>
      <c r="I912" s="200"/>
      <c r="J912" s="419"/>
      <c r="K912" s="420"/>
      <c r="L912" s="421"/>
      <c r="M912" s="422"/>
      <c r="N912" s="203"/>
      <c r="O912" s="203"/>
      <c r="P912" s="201"/>
      <c r="Q912" s="416"/>
    </row>
    <row r="913" spans="1:17" ht="14.25" customHeight="1">
      <c r="A913" s="3"/>
      <c r="B913" s="3"/>
      <c r="C913" s="3"/>
      <c r="D913" s="3"/>
      <c r="E913" s="206"/>
      <c r="F913" s="417"/>
      <c r="G913" s="418"/>
      <c r="H913" s="200"/>
      <c r="I913" s="200"/>
      <c r="J913" s="419"/>
      <c r="K913" s="420"/>
      <c r="L913" s="421"/>
      <c r="M913" s="422"/>
      <c r="N913" s="203"/>
      <c r="O913" s="203"/>
      <c r="P913" s="201"/>
      <c r="Q913" s="416"/>
    </row>
    <row r="914" spans="1:17" ht="14.25" customHeight="1">
      <c r="A914" s="3"/>
      <c r="B914" s="3"/>
      <c r="C914" s="3"/>
      <c r="D914" s="3"/>
      <c r="E914" s="206"/>
      <c r="F914" s="417"/>
      <c r="G914" s="418"/>
      <c r="H914" s="200"/>
      <c r="I914" s="200"/>
      <c r="J914" s="419"/>
      <c r="K914" s="420"/>
      <c r="L914" s="421"/>
      <c r="M914" s="422"/>
      <c r="N914" s="203"/>
      <c r="O914" s="203"/>
      <c r="P914" s="201"/>
      <c r="Q914" s="416"/>
    </row>
    <row r="915" spans="1:17" ht="14.25" customHeight="1">
      <c r="A915" s="3"/>
      <c r="B915" s="3"/>
      <c r="C915" s="3"/>
      <c r="D915" s="3"/>
      <c r="E915" s="206"/>
      <c r="F915" s="417"/>
      <c r="G915" s="418"/>
      <c r="H915" s="200"/>
      <c r="I915" s="200"/>
      <c r="J915" s="419"/>
      <c r="K915" s="420"/>
      <c r="L915" s="421"/>
      <c r="M915" s="422"/>
      <c r="N915" s="203"/>
      <c r="O915" s="203"/>
      <c r="P915" s="201"/>
      <c r="Q915" s="416"/>
    </row>
    <row r="916" spans="1:17" ht="14.25" customHeight="1">
      <c r="A916" s="3"/>
      <c r="B916" s="3"/>
      <c r="C916" s="3"/>
      <c r="D916" s="3"/>
      <c r="E916" s="206"/>
      <c r="F916" s="417"/>
      <c r="G916" s="418"/>
      <c r="H916" s="200"/>
      <c r="I916" s="200"/>
      <c r="J916" s="419"/>
      <c r="K916" s="420"/>
      <c r="L916" s="421"/>
      <c r="M916" s="422"/>
      <c r="N916" s="203"/>
      <c r="O916" s="203"/>
      <c r="P916" s="201"/>
      <c r="Q916" s="416"/>
    </row>
    <row r="917" spans="1:17" ht="14.25" customHeight="1">
      <c r="A917" s="3"/>
      <c r="B917" s="3"/>
      <c r="C917" s="3"/>
      <c r="D917" s="3"/>
      <c r="E917" s="206"/>
      <c r="F917" s="417"/>
      <c r="G917" s="418"/>
      <c r="H917" s="200"/>
      <c r="I917" s="200"/>
      <c r="J917" s="419"/>
      <c r="K917" s="420"/>
      <c r="L917" s="421"/>
      <c r="M917" s="422"/>
      <c r="N917" s="203"/>
      <c r="O917" s="203"/>
      <c r="P917" s="201"/>
      <c r="Q917" s="416"/>
    </row>
    <row r="918" spans="1:17" ht="14.25" customHeight="1">
      <c r="A918" s="3"/>
      <c r="B918" s="3"/>
      <c r="C918" s="3"/>
      <c r="D918" s="3"/>
      <c r="E918" s="206"/>
      <c r="F918" s="417"/>
      <c r="G918" s="418"/>
      <c r="H918" s="200"/>
      <c r="I918" s="200"/>
      <c r="J918" s="419"/>
      <c r="K918" s="420"/>
      <c r="L918" s="421"/>
      <c r="M918" s="422"/>
      <c r="N918" s="203"/>
      <c r="O918" s="203"/>
      <c r="P918" s="201"/>
      <c r="Q918" s="416"/>
    </row>
    <row r="919" spans="1:17" ht="14.25" customHeight="1">
      <c r="A919" s="3"/>
      <c r="B919" s="3"/>
      <c r="C919" s="3"/>
      <c r="D919" s="3"/>
      <c r="E919" s="206"/>
      <c r="F919" s="417"/>
      <c r="G919" s="418"/>
      <c r="H919" s="200"/>
      <c r="I919" s="200"/>
      <c r="J919" s="419"/>
      <c r="K919" s="420"/>
      <c r="L919" s="421"/>
      <c r="M919" s="422"/>
      <c r="N919" s="203"/>
      <c r="O919" s="203"/>
      <c r="P919" s="201"/>
      <c r="Q919" s="416"/>
    </row>
    <row r="920" spans="1:17" ht="14.25" customHeight="1">
      <c r="A920" s="3"/>
      <c r="B920" s="3"/>
      <c r="C920" s="3"/>
      <c r="D920" s="3"/>
      <c r="E920" s="206"/>
      <c r="F920" s="417"/>
      <c r="G920" s="418"/>
      <c r="H920" s="200"/>
      <c r="I920" s="200"/>
      <c r="J920" s="419"/>
      <c r="K920" s="420"/>
      <c r="L920" s="421"/>
      <c r="M920" s="422"/>
      <c r="N920" s="203"/>
      <c r="O920" s="203"/>
      <c r="P920" s="201"/>
      <c r="Q920" s="416"/>
    </row>
    <row r="921" spans="1:17" ht="14.25" customHeight="1">
      <c r="A921" s="3"/>
      <c r="B921" s="3"/>
      <c r="C921" s="3"/>
      <c r="D921" s="3"/>
      <c r="E921" s="206"/>
      <c r="F921" s="417"/>
      <c r="G921" s="418"/>
      <c r="H921" s="200"/>
      <c r="I921" s="200"/>
      <c r="J921" s="419"/>
      <c r="K921" s="420"/>
      <c r="L921" s="421"/>
      <c r="M921" s="422"/>
      <c r="N921" s="203"/>
      <c r="O921" s="203"/>
      <c r="P921" s="201"/>
      <c r="Q921" s="416"/>
    </row>
    <row r="922" spans="1:17" ht="14.25" customHeight="1">
      <c r="A922" s="3"/>
      <c r="B922" s="3"/>
      <c r="C922" s="3"/>
      <c r="D922" s="3"/>
      <c r="E922" s="206"/>
      <c r="F922" s="417"/>
      <c r="G922" s="418"/>
      <c r="H922" s="200"/>
      <c r="I922" s="200"/>
      <c r="J922" s="419"/>
      <c r="K922" s="420"/>
      <c r="L922" s="421"/>
      <c r="M922" s="422"/>
      <c r="N922" s="203"/>
      <c r="O922" s="203"/>
      <c r="P922" s="201"/>
      <c r="Q922" s="416"/>
    </row>
    <row r="923" spans="1:17" ht="14.25" customHeight="1">
      <c r="A923" s="3"/>
      <c r="B923" s="3"/>
      <c r="C923" s="3"/>
      <c r="D923" s="3"/>
      <c r="E923" s="206"/>
      <c r="F923" s="417"/>
      <c r="G923" s="418"/>
      <c r="H923" s="200"/>
      <c r="I923" s="200"/>
      <c r="J923" s="419"/>
      <c r="K923" s="420"/>
      <c r="L923" s="421"/>
      <c r="M923" s="422"/>
      <c r="N923" s="203"/>
      <c r="O923" s="203"/>
      <c r="P923" s="201"/>
      <c r="Q923" s="416"/>
    </row>
    <row r="924" spans="1:17" ht="14.25" customHeight="1">
      <c r="A924" s="3"/>
      <c r="B924" s="3"/>
      <c r="C924" s="3"/>
      <c r="D924" s="3"/>
      <c r="E924" s="206"/>
      <c r="F924" s="417"/>
      <c r="G924" s="418"/>
      <c r="H924" s="200"/>
      <c r="I924" s="200"/>
      <c r="J924" s="419"/>
      <c r="K924" s="420"/>
      <c r="L924" s="421"/>
      <c r="M924" s="422"/>
      <c r="N924" s="203"/>
      <c r="O924" s="203"/>
      <c r="P924" s="201"/>
      <c r="Q924" s="416"/>
    </row>
    <row r="925" spans="1:17" ht="14.25" customHeight="1">
      <c r="A925" s="3"/>
      <c r="B925" s="3"/>
      <c r="C925" s="3"/>
      <c r="D925" s="3"/>
      <c r="E925" s="206"/>
      <c r="F925" s="417"/>
      <c r="G925" s="418"/>
      <c r="H925" s="200"/>
      <c r="I925" s="200"/>
      <c r="J925" s="419"/>
      <c r="K925" s="420"/>
      <c r="L925" s="421"/>
      <c r="M925" s="422"/>
      <c r="N925" s="203"/>
      <c r="O925" s="203"/>
      <c r="P925" s="201"/>
      <c r="Q925" s="416"/>
    </row>
    <row r="926" spans="1:17" ht="14.25" customHeight="1">
      <c r="A926" s="3"/>
      <c r="B926" s="3"/>
      <c r="C926" s="3"/>
      <c r="D926" s="3"/>
      <c r="E926" s="206"/>
      <c r="F926" s="417"/>
      <c r="G926" s="418"/>
      <c r="H926" s="200"/>
      <c r="I926" s="200"/>
      <c r="J926" s="419"/>
      <c r="K926" s="420"/>
      <c r="L926" s="421"/>
      <c r="M926" s="422"/>
      <c r="N926" s="203"/>
      <c r="O926" s="203"/>
      <c r="P926" s="201"/>
      <c r="Q926" s="416"/>
    </row>
    <row r="927" spans="1:17" ht="14.25" customHeight="1">
      <c r="A927" s="3"/>
      <c r="B927" s="3"/>
      <c r="C927" s="3"/>
      <c r="D927" s="3"/>
      <c r="E927" s="206"/>
      <c r="F927" s="417"/>
      <c r="G927" s="418"/>
      <c r="H927" s="200"/>
      <c r="I927" s="200"/>
      <c r="J927" s="419"/>
      <c r="K927" s="420"/>
      <c r="L927" s="421"/>
      <c r="M927" s="422"/>
      <c r="N927" s="203"/>
      <c r="O927" s="203"/>
      <c r="P927" s="201"/>
      <c r="Q927" s="416"/>
    </row>
    <row r="928" spans="1:17" ht="14.25" customHeight="1">
      <c r="A928" s="3"/>
      <c r="B928" s="3"/>
      <c r="C928" s="3"/>
      <c r="D928" s="3"/>
      <c r="E928" s="206"/>
      <c r="F928" s="417"/>
      <c r="G928" s="418"/>
      <c r="H928" s="200"/>
      <c r="I928" s="200"/>
      <c r="J928" s="419"/>
      <c r="K928" s="420"/>
      <c r="L928" s="421"/>
      <c r="M928" s="422"/>
      <c r="N928" s="203"/>
      <c r="O928" s="203"/>
      <c r="P928" s="201"/>
      <c r="Q928" s="416"/>
    </row>
    <row r="929" spans="1:17" ht="14.25" customHeight="1">
      <c r="A929" s="3"/>
      <c r="B929" s="3"/>
      <c r="C929" s="3"/>
      <c r="D929" s="3"/>
      <c r="E929" s="206"/>
      <c r="F929" s="417"/>
      <c r="G929" s="418"/>
      <c r="H929" s="200"/>
      <c r="I929" s="200"/>
      <c r="J929" s="419"/>
      <c r="K929" s="420"/>
      <c r="L929" s="421"/>
      <c r="M929" s="422"/>
      <c r="N929" s="203"/>
      <c r="O929" s="203"/>
      <c r="P929" s="201"/>
      <c r="Q929" s="416"/>
    </row>
    <row r="930" spans="1:17" ht="14.25" customHeight="1">
      <c r="A930" s="3"/>
      <c r="B930" s="3"/>
      <c r="C930" s="3"/>
      <c r="D930" s="3"/>
      <c r="E930" s="206"/>
      <c r="F930" s="417"/>
      <c r="G930" s="418"/>
      <c r="H930" s="200"/>
      <c r="I930" s="200"/>
      <c r="J930" s="419"/>
      <c r="K930" s="420"/>
      <c r="L930" s="421"/>
      <c r="M930" s="422"/>
      <c r="N930" s="203"/>
      <c r="O930" s="203"/>
      <c r="P930" s="201"/>
      <c r="Q930" s="416"/>
    </row>
    <row r="931" spans="1:17" ht="14.25" customHeight="1">
      <c r="A931" s="3"/>
      <c r="B931" s="3"/>
      <c r="C931" s="3"/>
      <c r="D931" s="3"/>
      <c r="E931" s="206"/>
      <c r="F931" s="417"/>
      <c r="G931" s="418"/>
      <c r="H931" s="200"/>
      <c r="I931" s="200"/>
      <c r="J931" s="419"/>
      <c r="K931" s="420"/>
      <c r="L931" s="421"/>
      <c r="M931" s="422"/>
      <c r="N931" s="203"/>
      <c r="O931" s="203"/>
      <c r="P931" s="201"/>
      <c r="Q931" s="416"/>
    </row>
    <row r="932" spans="1:17" ht="14.25" customHeight="1">
      <c r="A932" s="3"/>
      <c r="B932" s="3"/>
      <c r="C932" s="3"/>
      <c r="D932" s="3"/>
      <c r="E932" s="206"/>
      <c r="F932" s="417"/>
      <c r="G932" s="418"/>
      <c r="H932" s="200"/>
      <c r="I932" s="200"/>
      <c r="J932" s="419"/>
      <c r="K932" s="420"/>
      <c r="L932" s="421"/>
      <c r="M932" s="422"/>
      <c r="N932" s="203"/>
      <c r="O932" s="203"/>
      <c r="P932" s="201"/>
      <c r="Q932" s="416"/>
    </row>
    <row r="933" spans="1:17" ht="14.25" customHeight="1">
      <c r="A933" s="3"/>
      <c r="B933" s="3"/>
      <c r="C933" s="3"/>
      <c r="D933" s="3"/>
      <c r="E933" s="206"/>
      <c r="F933" s="417"/>
      <c r="G933" s="418"/>
      <c r="H933" s="200"/>
      <c r="I933" s="200"/>
      <c r="J933" s="419"/>
      <c r="K933" s="420"/>
      <c r="L933" s="421"/>
      <c r="M933" s="422"/>
      <c r="N933" s="203"/>
      <c r="O933" s="203"/>
      <c r="P933" s="201"/>
      <c r="Q933" s="416"/>
    </row>
    <row r="934" spans="1:17" ht="14.25" customHeight="1">
      <c r="A934" s="3"/>
      <c r="B934" s="3"/>
      <c r="C934" s="3"/>
      <c r="D934" s="3"/>
      <c r="E934" s="206"/>
      <c r="F934" s="417"/>
      <c r="G934" s="418"/>
      <c r="H934" s="200"/>
      <c r="I934" s="200"/>
      <c r="J934" s="419"/>
      <c r="K934" s="420"/>
      <c r="L934" s="421"/>
      <c r="M934" s="422"/>
      <c r="N934" s="203"/>
      <c r="O934" s="203"/>
      <c r="P934" s="201"/>
      <c r="Q934" s="416"/>
    </row>
    <row r="935" spans="1:17" ht="14.25" customHeight="1">
      <c r="A935" s="3"/>
      <c r="B935" s="3"/>
      <c r="C935" s="3"/>
      <c r="D935" s="3"/>
      <c r="E935" s="206"/>
      <c r="F935" s="417"/>
      <c r="G935" s="418"/>
      <c r="H935" s="200"/>
      <c r="I935" s="200"/>
      <c r="J935" s="419"/>
      <c r="K935" s="420"/>
      <c r="L935" s="421"/>
      <c r="M935" s="422"/>
      <c r="N935" s="203"/>
      <c r="O935" s="203"/>
      <c r="P935" s="201"/>
      <c r="Q935" s="416"/>
    </row>
    <row r="936" spans="1:17" ht="14.25" customHeight="1">
      <c r="A936" s="3"/>
      <c r="B936" s="3"/>
      <c r="C936" s="3"/>
      <c r="D936" s="3"/>
      <c r="E936" s="206"/>
      <c r="F936" s="417"/>
      <c r="G936" s="418"/>
      <c r="H936" s="200"/>
      <c r="I936" s="200"/>
      <c r="J936" s="419"/>
      <c r="K936" s="420"/>
      <c r="L936" s="421"/>
      <c r="M936" s="422"/>
      <c r="N936" s="203"/>
      <c r="O936" s="203"/>
      <c r="P936" s="201"/>
      <c r="Q936" s="416"/>
    </row>
    <row r="937" spans="1:17" ht="14.25" customHeight="1">
      <c r="A937" s="3"/>
      <c r="B937" s="3"/>
      <c r="C937" s="3"/>
      <c r="D937" s="3"/>
      <c r="E937" s="206"/>
      <c r="F937" s="417"/>
      <c r="G937" s="418"/>
      <c r="H937" s="200"/>
      <c r="I937" s="200"/>
      <c r="J937" s="419"/>
      <c r="K937" s="420"/>
      <c r="L937" s="421"/>
      <c r="M937" s="422"/>
      <c r="N937" s="203"/>
      <c r="O937" s="203"/>
      <c r="P937" s="201"/>
      <c r="Q937" s="416"/>
    </row>
    <row r="938" spans="1:17" ht="14.25" customHeight="1">
      <c r="A938" s="3"/>
      <c r="B938" s="3"/>
      <c r="C938" s="3"/>
      <c r="D938" s="3"/>
      <c r="E938" s="206"/>
      <c r="F938" s="417"/>
      <c r="G938" s="418"/>
      <c r="H938" s="200"/>
      <c r="I938" s="200"/>
      <c r="J938" s="419"/>
      <c r="K938" s="420"/>
      <c r="L938" s="421"/>
      <c r="M938" s="422"/>
      <c r="N938" s="203"/>
      <c r="O938" s="203"/>
      <c r="P938" s="201"/>
      <c r="Q938" s="416"/>
    </row>
    <row r="939" spans="1:17" ht="14.25" customHeight="1">
      <c r="A939" s="3"/>
      <c r="B939" s="3"/>
      <c r="C939" s="3"/>
      <c r="D939" s="3"/>
      <c r="E939" s="206"/>
      <c r="F939" s="417"/>
      <c r="G939" s="418"/>
      <c r="H939" s="200"/>
      <c r="I939" s="200"/>
      <c r="J939" s="419"/>
      <c r="K939" s="420"/>
      <c r="L939" s="421"/>
      <c r="M939" s="422"/>
      <c r="N939" s="203"/>
      <c r="O939" s="203"/>
      <c r="P939" s="201"/>
      <c r="Q939" s="416"/>
    </row>
    <row r="940" spans="1:17" ht="14.25" customHeight="1">
      <c r="A940" s="3"/>
      <c r="B940" s="3"/>
      <c r="C940" s="3"/>
      <c r="D940" s="3"/>
      <c r="E940" s="206"/>
      <c r="F940" s="417"/>
      <c r="G940" s="418"/>
      <c r="H940" s="200"/>
      <c r="I940" s="200"/>
      <c r="J940" s="419"/>
      <c r="K940" s="420"/>
      <c r="L940" s="421"/>
      <c r="M940" s="422"/>
      <c r="N940" s="203"/>
      <c r="O940" s="203"/>
      <c r="P940" s="201"/>
      <c r="Q940" s="416"/>
    </row>
    <row r="941" spans="1:17" ht="14.25" customHeight="1">
      <c r="A941" s="3"/>
      <c r="B941" s="3"/>
      <c r="C941" s="3"/>
      <c r="D941" s="3"/>
      <c r="E941" s="206"/>
      <c r="F941" s="417"/>
      <c r="G941" s="418"/>
      <c r="H941" s="200"/>
      <c r="I941" s="200"/>
      <c r="J941" s="419"/>
      <c r="K941" s="420"/>
      <c r="L941" s="421"/>
      <c r="M941" s="422"/>
      <c r="N941" s="203"/>
      <c r="O941" s="203"/>
      <c r="P941" s="201"/>
      <c r="Q941" s="416"/>
    </row>
    <row r="942" spans="1:17" ht="14.25" customHeight="1">
      <c r="A942" s="3"/>
      <c r="B942" s="3"/>
      <c r="C942" s="3"/>
      <c r="D942" s="3"/>
      <c r="E942" s="206"/>
      <c r="F942" s="417"/>
      <c r="G942" s="418"/>
      <c r="H942" s="200"/>
      <c r="I942" s="200"/>
      <c r="J942" s="419"/>
      <c r="K942" s="420"/>
      <c r="L942" s="421"/>
      <c r="M942" s="422"/>
      <c r="N942" s="203"/>
      <c r="O942" s="203"/>
      <c r="P942" s="201"/>
      <c r="Q942" s="416"/>
    </row>
    <row r="943" spans="1:17" ht="14.25" customHeight="1">
      <c r="A943" s="3"/>
      <c r="B943" s="3"/>
      <c r="C943" s="3"/>
      <c r="D943" s="3"/>
      <c r="E943" s="206"/>
      <c r="F943" s="417"/>
      <c r="G943" s="418"/>
      <c r="H943" s="200"/>
      <c r="I943" s="200"/>
      <c r="J943" s="419"/>
      <c r="K943" s="420"/>
      <c r="L943" s="421"/>
      <c r="M943" s="422"/>
      <c r="N943" s="203"/>
      <c r="O943" s="203"/>
      <c r="P943" s="201"/>
      <c r="Q943" s="416"/>
    </row>
    <row r="944" spans="1:17" ht="14.25" customHeight="1">
      <c r="A944" s="3"/>
      <c r="B944" s="3"/>
      <c r="C944" s="3"/>
      <c r="D944" s="3"/>
      <c r="E944" s="206"/>
      <c r="F944" s="417"/>
      <c r="G944" s="418"/>
      <c r="H944" s="200"/>
      <c r="I944" s="200"/>
      <c r="J944" s="419"/>
      <c r="K944" s="420"/>
      <c r="L944" s="421"/>
      <c r="M944" s="422"/>
      <c r="N944" s="203"/>
      <c r="O944" s="203"/>
      <c r="P944" s="201"/>
      <c r="Q944" s="416"/>
    </row>
    <row r="945" spans="1:17" ht="14.25" customHeight="1">
      <c r="A945" s="3"/>
      <c r="B945" s="3"/>
      <c r="C945" s="3"/>
      <c r="D945" s="3"/>
      <c r="E945" s="206"/>
      <c r="F945" s="417"/>
      <c r="G945" s="418"/>
      <c r="H945" s="200"/>
      <c r="I945" s="200"/>
      <c r="J945" s="419"/>
      <c r="K945" s="420"/>
      <c r="L945" s="421"/>
      <c r="M945" s="422"/>
      <c r="N945" s="203"/>
      <c r="O945" s="203"/>
      <c r="P945" s="201"/>
      <c r="Q945" s="416"/>
    </row>
    <row r="946" spans="1:17" ht="14.25" customHeight="1">
      <c r="A946" s="3"/>
      <c r="B946" s="3"/>
      <c r="C946" s="3"/>
      <c r="D946" s="3"/>
      <c r="E946" s="206"/>
      <c r="F946" s="417"/>
      <c r="G946" s="418"/>
      <c r="H946" s="200"/>
      <c r="I946" s="200"/>
      <c r="J946" s="419"/>
      <c r="K946" s="420"/>
      <c r="L946" s="421"/>
      <c r="M946" s="422"/>
      <c r="N946" s="203"/>
      <c r="O946" s="203"/>
      <c r="P946" s="201"/>
      <c r="Q946" s="416"/>
    </row>
    <row r="947" spans="1:17" ht="14.25" customHeight="1">
      <c r="A947" s="3"/>
      <c r="B947" s="3"/>
      <c r="C947" s="3"/>
      <c r="D947" s="3"/>
      <c r="E947" s="206"/>
      <c r="F947" s="417"/>
      <c r="G947" s="418"/>
      <c r="H947" s="200"/>
      <c r="I947" s="200"/>
      <c r="J947" s="419"/>
      <c r="K947" s="420"/>
      <c r="L947" s="421"/>
      <c r="M947" s="422"/>
      <c r="N947" s="203"/>
      <c r="O947" s="203"/>
      <c r="P947" s="201"/>
      <c r="Q947" s="416"/>
    </row>
    <row r="948" spans="1:17" ht="14.25" customHeight="1">
      <c r="A948" s="3"/>
      <c r="B948" s="3"/>
      <c r="C948" s="3"/>
      <c r="D948" s="3"/>
      <c r="E948" s="206"/>
      <c r="F948" s="417"/>
      <c r="G948" s="418"/>
      <c r="H948" s="200"/>
      <c r="I948" s="200"/>
      <c r="J948" s="419"/>
      <c r="K948" s="420"/>
      <c r="L948" s="421"/>
      <c r="M948" s="422"/>
      <c r="N948" s="203"/>
      <c r="O948" s="203"/>
      <c r="P948" s="201"/>
      <c r="Q948" s="416"/>
    </row>
    <row r="949" spans="1:17" ht="14.25" customHeight="1">
      <c r="A949" s="3"/>
      <c r="B949" s="3"/>
      <c r="C949" s="3"/>
      <c r="D949" s="3"/>
      <c r="E949" s="206"/>
      <c r="F949" s="417"/>
      <c r="G949" s="418"/>
      <c r="H949" s="200"/>
      <c r="I949" s="200"/>
      <c r="J949" s="419"/>
      <c r="K949" s="420"/>
      <c r="L949" s="421"/>
      <c r="M949" s="422"/>
      <c r="N949" s="203"/>
      <c r="O949" s="203"/>
      <c r="P949" s="201"/>
      <c r="Q949" s="416"/>
    </row>
    <row r="950" spans="1:17" ht="14.25" customHeight="1">
      <c r="A950" s="3"/>
      <c r="B950" s="3"/>
      <c r="C950" s="3"/>
      <c r="D950" s="3"/>
      <c r="E950" s="206"/>
      <c r="F950" s="417"/>
      <c r="G950" s="418"/>
      <c r="H950" s="200"/>
      <c r="I950" s="200"/>
      <c r="J950" s="419"/>
      <c r="K950" s="420"/>
      <c r="L950" s="421"/>
      <c r="M950" s="422"/>
      <c r="N950" s="203"/>
      <c r="O950" s="203"/>
      <c r="P950" s="201"/>
      <c r="Q950" s="416"/>
    </row>
    <row r="951" spans="1:17" ht="14.25" customHeight="1">
      <c r="A951" s="3"/>
      <c r="B951" s="3"/>
      <c r="C951" s="3"/>
      <c r="D951" s="3"/>
      <c r="E951" s="206"/>
      <c r="F951" s="417"/>
      <c r="G951" s="418"/>
      <c r="H951" s="200"/>
      <c r="I951" s="200"/>
      <c r="J951" s="419"/>
      <c r="K951" s="420"/>
      <c r="L951" s="421"/>
      <c r="M951" s="422"/>
      <c r="N951" s="203"/>
      <c r="O951" s="203"/>
      <c r="P951" s="201"/>
      <c r="Q951" s="416"/>
    </row>
    <row r="952" spans="1:17" ht="14.25" customHeight="1">
      <c r="A952" s="3"/>
      <c r="B952" s="3"/>
      <c r="C952" s="3"/>
      <c r="D952" s="3"/>
      <c r="E952" s="206"/>
      <c r="F952" s="417"/>
      <c r="G952" s="418"/>
      <c r="H952" s="200"/>
      <c r="I952" s="200"/>
      <c r="J952" s="419"/>
      <c r="K952" s="420"/>
      <c r="L952" s="421"/>
      <c r="M952" s="422"/>
      <c r="N952" s="203"/>
      <c r="O952" s="203"/>
      <c r="P952" s="201"/>
      <c r="Q952" s="416"/>
    </row>
    <row r="953" spans="1:17" ht="14.25" customHeight="1">
      <c r="A953" s="3"/>
      <c r="B953" s="3"/>
      <c r="C953" s="3"/>
      <c r="D953" s="3"/>
      <c r="E953" s="206"/>
      <c r="F953" s="417"/>
      <c r="G953" s="418"/>
      <c r="H953" s="200"/>
      <c r="I953" s="200"/>
      <c r="J953" s="419"/>
      <c r="K953" s="420"/>
      <c r="L953" s="421"/>
      <c r="M953" s="422"/>
      <c r="N953" s="203"/>
      <c r="O953" s="203"/>
      <c r="P953" s="201"/>
      <c r="Q953" s="416"/>
    </row>
    <row r="954" spans="1:17" ht="14.25" customHeight="1">
      <c r="A954" s="3"/>
      <c r="B954" s="3"/>
      <c r="C954" s="3"/>
      <c r="D954" s="3"/>
      <c r="E954" s="206"/>
      <c r="F954" s="417"/>
      <c r="G954" s="418"/>
      <c r="H954" s="200"/>
      <c r="I954" s="200"/>
      <c r="J954" s="419"/>
      <c r="K954" s="420"/>
      <c r="L954" s="421"/>
      <c r="M954" s="422"/>
      <c r="N954" s="203"/>
      <c r="O954" s="203"/>
      <c r="P954" s="201"/>
      <c r="Q954" s="416"/>
    </row>
    <row r="955" spans="1:17" ht="14.25" customHeight="1">
      <c r="A955" s="3"/>
      <c r="B955" s="3"/>
      <c r="C955" s="3"/>
      <c r="D955" s="3"/>
      <c r="E955" s="206"/>
      <c r="F955" s="417"/>
      <c r="G955" s="418"/>
      <c r="H955" s="200"/>
      <c r="I955" s="200"/>
      <c r="J955" s="419"/>
      <c r="K955" s="420"/>
      <c r="L955" s="421"/>
      <c r="M955" s="422"/>
      <c r="N955" s="203"/>
      <c r="O955" s="203"/>
      <c r="P955" s="201"/>
      <c r="Q955" s="416"/>
    </row>
    <row r="956" spans="1:17" ht="14.25" customHeight="1">
      <c r="A956" s="3"/>
      <c r="B956" s="3"/>
      <c r="C956" s="3"/>
      <c r="D956" s="3"/>
      <c r="E956" s="206"/>
      <c r="F956" s="417"/>
      <c r="G956" s="418"/>
      <c r="H956" s="200"/>
      <c r="I956" s="200"/>
      <c r="J956" s="419"/>
      <c r="K956" s="420"/>
      <c r="L956" s="421"/>
      <c r="M956" s="422"/>
      <c r="N956" s="203"/>
      <c r="O956" s="203"/>
      <c r="P956" s="201"/>
      <c r="Q956" s="416"/>
    </row>
    <row r="957" spans="1:17" ht="14.25" customHeight="1">
      <c r="A957" s="3"/>
      <c r="B957" s="3"/>
      <c r="C957" s="3"/>
      <c r="D957" s="3"/>
      <c r="E957" s="206"/>
      <c r="F957" s="417"/>
      <c r="G957" s="418"/>
      <c r="H957" s="200"/>
      <c r="I957" s="200"/>
      <c r="J957" s="419"/>
      <c r="K957" s="420"/>
      <c r="L957" s="421"/>
      <c r="M957" s="422"/>
      <c r="N957" s="203"/>
      <c r="O957" s="203"/>
      <c r="P957" s="201"/>
      <c r="Q957" s="416"/>
    </row>
    <row r="958" spans="1:17" ht="14.25" customHeight="1">
      <c r="A958" s="3"/>
      <c r="B958" s="3"/>
      <c r="C958" s="3"/>
      <c r="D958" s="3"/>
      <c r="E958" s="206"/>
      <c r="F958" s="417"/>
      <c r="G958" s="418"/>
      <c r="H958" s="200"/>
      <c r="I958" s="200"/>
      <c r="J958" s="419"/>
      <c r="K958" s="420"/>
      <c r="L958" s="421"/>
      <c r="M958" s="422"/>
      <c r="N958" s="203"/>
      <c r="O958" s="203"/>
      <c r="P958" s="201"/>
      <c r="Q958" s="416"/>
    </row>
    <row r="959" spans="1:17" ht="14.25" customHeight="1">
      <c r="A959" s="3"/>
      <c r="B959" s="3"/>
      <c r="C959" s="3"/>
      <c r="D959" s="3"/>
      <c r="E959" s="206"/>
      <c r="F959" s="417"/>
      <c r="G959" s="418"/>
      <c r="H959" s="200"/>
      <c r="I959" s="200"/>
      <c r="J959" s="419"/>
      <c r="K959" s="420"/>
      <c r="L959" s="421"/>
      <c r="M959" s="422"/>
      <c r="N959" s="203"/>
      <c r="O959" s="203"/>
      <c r="P959" s="201"/>
      <c r="Q959" s="416"/>
    </row>
    <row r="960" spans="1:17" ht="14.25" customHeight="1">
      <c r="A960" s="3"/>
      <c r="B960" s="3"/>
      <c r="C960" s="3"/>
      <c r="D960" s="3"/>
      <c r="E960" s="206"/>
      <c r="F960" s="417"/>
      <c r="G960" s="418"/>
      <c r="H960" s="200"/>
      <c r="I960" s="200"/>
      <c r="J960" s="419"/>
      <c r="K960" s="420"/>
      <c r="L960" s="421"/>
      <c r="M960" s="422"/>
      <c r="N960" s="203"/>
      <c r="O960" s="203"/>
      <c r="P960" s="201"/>
      <c r="Q960" s="416"/>
    </row>
    <row r="961" spans="1:17" ht="14.25" customHeight="1">
      <c r="A961" s="3"/>
      <c r="B961" s="3"/>
      <c r="C961" s="3"/>
      <c r="D961" s="3"/>
      <c r="E961" s="206"/>
      <c r="F961" s="417"/>
      <c r="G961" s="418"/>
      <c r="H961" s="200"/>
      <c r="I961" s="200"/>
      <c r="J961" s="419"/>
      <c r="K961" s="420"/>
      <c r="L961" s="421"/>
      <c r="M961" s="422"/>
      <c r="N961" s="203"/>
      <c r="O961" s="203"/>
      <c r="P961" s="201"/>
      <c r="Q961" s="416"/>
    </row>
    <row r="962" spans="1:17" ht="14.25" customHeight="1">
      <c r="A962" s="3"/>
      <c r="B962" s="3"/>
      <c r="C962" s="3"/>
      <c r="D962" s="3"/>
      <c r="E962" s="206"/>
      <c r="F962" s="417"/>
      <c r="G962" s="418"/>
      <c r="H962" s="200"/>
      <c r="I962" s="200"/>
      <c r="J962" s="419"/>
      <c r="K962" s="420"/>
      <c r="L962" s="421"/>
      <c r="M962" s="422"/>
      <c r="N962" s="203"/>
      <c r="O962" s="203"/>
      <c r="P962" s="201"/>
      <c r="Q962" s="416"/>
    </row>
    <row r="963" spans="1:17" ht="14.25" customHeight="1">
      <c r="A963" s="3"/>
      <c r="B963" s="3"/>
      <c r="C963" s="3"/>
      <c r="D963" s="3"/>
      <c r="E963" s="206"/>
      <c r="F963" s="417"/>
      <c r="G963" s="418"/>
      <c r="H963" s="200"/>
      <c r="I963" s="200"/>
      <c r="J963" s="419"/>
      <c r="K963" s="420"/>
      <c r="L963" s="421"/>
      <c r="M963" s="422"/>
      <c r="N963" s="203"/>
      <c r="O963" s="203"/>
      <c r="P963" s="201"/>
      <c r="Q963" s="416"/>
    </row>
    <row r="964" spans="1:17" ht="14.25" customHeight="1">
      <c r="A964" s="3"/>
      <c r="B964" s="3"/>
      <c r="C964" s="3"/>
      <c r="D964" s="3"/>
      <c r="E964" s="206"/>
      <c r="F964" s="417"/>
      <c r="G964" s="418"/>
      <c r="H964" s="200"/>
      <c r="I964" s="200"/>
      <c r="J964" s="419"/>
      <c r="K964" s="420"/>
      <c r="L964" s="421"/>
      <c r="M964" s="422"/>
      <c r="N964" s="203"/>
      <c r="O964" s="203"/>
      <c r="P964" s="201"/>
      <c r="Q964" s="416"/>
    </row>
    <row r="965" spans="1:17" ht="14.25" customHeight="1">
      <c r="A965" s="3"/>
      <c r="B965" s="3"/>
      <c r="C965" s="3"/>
      <c r="D965" s="3"/>
      <c r="E965" s="206"/>
      <c r="F965" s="417"/>
      <c r="G965" s="418"/>
      <c r="H965" s="200"/>
      <c r="I965" s="200"/>
      <c r="J965" s="419"/>
      <c r="K965" s="420"/>
      <c r="L965" s="421"/>
      <c r="M965" s="422"/>
      <c r="N965" s="203"/>
      <c r="O965" s="203"/>
      <c r="P965" s="201"/>
      <c r="Q965" s="416"/>
    </row>
    <row r="966" spans="1:17" ht="14.25" customHeight="1">
      <c r="A966" s="3"/>
      <c r="B966" s="3"/>
      <c r="C966" s="3"/>
      <c r="D966" s="3"/>
      <c r="E966" s="206"/>
      <c r="F966" s="417"/>
      <c r="G966" s="418"/>
      <c r="H966" s="200"/>
      <c r="I966" s="200"/>
      <c r="J966" s="419"/>
      <c r="K966" s="420"/>
      <c r="L966" s="421"/>
      <c r="M966" s="422"/>
      <c r="N966" s="203"/>
      <c r="O966" s="203"/>
      <c r="P966" s="201"/>
      <c r="Q966" s="416"/>
    </row>
    <row r="967" spans="1:17" ht="14.25" customHeight="1">
      <c r="A967" s="3"/>
      <c r="B967" s="3"/>
      <c r="C967" s="3"/>
      <c r="D967" s="3"/>
      <c r="E967" s="206"/>
      <c r="F967" s="417"/>
      <c r="G967" s="418"/>
      <c r="H967" s="200"/>
      <c r="I967" s="200"/>
      <c r="J967" s="419"/>
      <c r="K967" s="420"/>
      <c r="L967" s="421"/>
      <c r="M967" s="422"/>
      <c r="N967" s="203"/>
      <c r="O967" s="203"/>
      <c r="P967" s="201"/>
      <c r="Q967" s="416"/>
    </row>
    <row r="968" spans="1:17" ht="14.25" customHeight="1">
      <c r="A968" s="3"/>
      <c r="B968" s="3"/>
      <c r="C968" s="3"/>
      <c r="D968" s="3"/>
      <c r="E968" s="206"/>
      <c r="F968" s="417"/>
      <c r="G968" s="418"/>
      <c r="H968" s="200"/>
      <c r="I968" s="200"/>
      <c r="J968" s="419"/>
      <c r="K968" s="420"/>
      <c r="L968" s="421"/>
      <c r="M968" s="422"/>
      <c r="N968" s="203"/>
      <c r="O968" s="203"/>
      <c r="P968" s="201"/>
      <c r="Q968" s="416"/>
    </row>
    <row r="969" spans="1:17" ht="14.25" customHeight="1">
      <c r="A969" s="3"/>
      <c r="B969" s="3"/>
      <c r="C969" s="3"/>
      <c r="D969" s="3"/>
      <c r="E969" s="206"/>
      <c r="F969" s="417"/>
      <c r="G969" s="418"/>
      <c r="H969" s="200"/>
      <c r="I969" s="200"/>
      <c r="J969" s="419"/>
      <c r="K969" s="420"/>
      <c r="L969" s="421"/>
      <c r="M969" s="422"/>
      <c r="N969" s="203"/>
      <c r="O969" s="203"/>
      <c r="P969" s="201"/>
      <c r="Q969" s="416"/>
    </row>
    <row r="970" spans="1:17" ht="14.25" customHeight="1">
      <c r="A970" s="3"/>
      <c r="B970" s="3"/>
      <c r="C970" s="3"/>
      <c r="D970" s="3"/>
      <c r="E970" s="206"/>
      <c r="F970" s="417"/>
      <c r="G970" s="418"/>
      <c r="H970" s="200"/>
      <c r="I970" s="200"/>
      <c r="J970" s="419"/>
      <c r="K970" s="420"/>
      <c r="L970" s="421"/>
      <c r="M970" s="422"/>
      <c r="N970" s="203"/>
      <c r="O970" s="203"/>
      <c r="P970" s="201"/>
      <c r="Q970" s="416"/>
    </row>
    <row r="971" spans="1:17" ht="14.25" customHeight="1">
      <c r="A971" s="3"/>
      <c r="B971" s="3"/>
      <c r="C971" s="3"/>
      <c r="D971" s="3"/>
      <c r="E971" s="206"/>
      <c r="F971" s="417"/>
      <c r="G971" s="418"/>
      <c r="H971" s="200"/>
      <c r="I971" s="200"/>
      <c r="J971" s="419"/>
      <c r="K971" s="420"/>
      <c r="L971" s="421"/>
      <c r="M971" s="422"/>
      <c r="N971" s="203"/>
      <c r="O971" s="203"/>
      <c r="P971" s="201"/>
      <c r="Q971" s="416"/>
    </row>
    <row r="972" spans="1:17" ht="14.25" customHeight="1">
      <c r="A972" s="3"/>
      <c r="B972" s="3"/>
      <c r="C972" s="3"/>
      <c r="D972" s="3"/>
      <c r="E972" s="206"/>
      <c r="F972" s="417"/>
      <c r="G972" s="418"/>
      <c r="H972" s="200"/>
      <c r="I972" s="200"/>
      <c r="J972" s="419"/>
      <c r="K972" s="420"/>
      <c r="L972" s="421"/>
      <c r="M972" s="422"/>
      <c r="N972" s="203"/>
      <c r="O972" s="203"/>
      <c r="P972" s="201"/>
      <c r="Q972" s="416"/>
    </row>
    <row r="973" spans="1:17" ht="14.25" customHeight="1">
      <c r="A973" s="3"/>
      <c r="B973" s="3"/>
      <c r="C973" s="3"/>
      <c r="D973" s="3"/>
      <c r="E973" s="206"/>
      <c r="F973" s="417"/>
      <c r="G973" s="418"/>
      <c r="H973" s="200"/>
      <c r="I973" s="200"/>
      <c r="J973" s="419"/>
      <c r="K973" s="420"/>
      <c r="L973" s="421"/>
      <c r="M973" s="422"/>
      <c r="N973" s="203"/>
      <c r="O973" s="203"/>
      <c r="P973" s="201"/>
      <c r="Q973" s="416"/>
    </row>
    <row r="974" spans="1:17" ht="14.25" customHeight="1">
      <c r="A974" s="3"/>
      <c r="B974" s="3"/>
      <c r="C974" s="3"/>
      <c r="D974" s="3"/>
      <c r="E974" s="206"/>
      <c r="F974" s="417"/>
      <c r="G974" s="418"/>
      <c r="H974" s="200"/>
      <c r="I974" s="200"/>
      <c r="J974" s="419"/>
      <c r="K974" s="420"/>
      <c r="L974" s="421"/>
      <c r="M974" s="422"/>
      <c r="N974" s="203"/>
      <c r="O974" s="203"/>
      <c r="P974" s="201"/>
      <c r="Q974" s="416"/>
    </row>
    <row r="975" spans="1:17" ht="14.25" customHeight="1">
      <c r="A975" s="3"/>
      <c r="B975" s="3"/>
      <c r="C975" s="3"/>
      <c r="D975" s="3"/>
      <c r="E975" s="206"/>
      <c r="F975" s="417"/>
      <c r="G975" s="418"/>
      <c r="H975" s="200"/>
      <c r="I975" s="200"/>
      <c r="J975" s="419"/>
      <c r="K975" s="420"/>
      <c r="L975" s="421"/>
      <c r="M975" s="422"/>
      <c r="N975" s="203"/>
      <c r="O975" s="203"/>
      <c r="P975" s="201"/>
      <c r="Q975" s="416"/>
    </row>
    <row r="976" spans="1:17" ht="14.25" customHeight="1">
      <c r="A976" s="3"/>
      <c r="B976" s="3"/>
      <c r="C976" s="3"/>
      <c r="D976" s="3"/>
      <c r="E976" s="206"/>
      <c r="F976" s="417"/>
      <c r="G976" s="418"/>
      <c r="H976" s="200"/>
      <c r="I976" s="200"/>
      <c r="J976" s="419"/>
      <c r="K976" s="420"/>
      <c r="L976" s="421"/>
      <c r="M976" s="422"/>
      <c r="N976" s="203"/>
      <c r="O976" s="203"/>
      <c r="P976" s="201"/>
      <c r="Q976" s="416"/>
    </row>
    <row r="977" spans="1:17" ht="14.25" customHeight="1">
      <c r="A977" s="3"/>
      <c r="B977" s="3"/>
      <c r="C977" s="3"/>
      <c r="D977" s="3"/>
      <c r="E977" s="206"/>
      <c r="F977" s="417"/>
      <c r="G977" s="418"/>
      <c r="H977" s="200"/>
      <c r="I977" s="200"/>
      <c r="J977" s="419"/>
      <c r="K977" s="420"/>
      <c r="L977" s="421"/>
      <c r="M977" s="422"/>
      <c r="N977" s="203"/>
      <c r="O977" s="203"/>
      <c r="P977" s="201"/>
      <c r="Q977" s="416"/>
    </row>
    <row r="978" spans="1:17" ht="14.25" customHeight="1">
      <c r="A978" s="3"/>
      <c r="B978" s="3"/>
      <c r="C978" s="3"/>
      <c r="D978" s="3"/>
      <c r="E978" s="206"/>
      <c r="F978" s="417"/>
      <c r="G978" s="418"/>
      <c r="H978" s="200"/>
      <c r="I978" s="200"/>
      <c r="J978" s="419"/>
      <c r="K978" s="420"/>
      <c r="L978" s="421"/>
      <c r="M978" s="422"/>
      <c r="N978" s="203"/>
      <c r="O978" s="203"/>
      <c r="P978" s="201"/>
      <c r="Q978" s="416"/>
    </row>
    <row r="979" spans="1:17" ht="14.25" customHeight="1">
      <c r="A979" s="3"/>
      <c r="B979" s="3"/>
      <c r="C979" s="3"/>
      <c r="D979" s="3"/>
      <c r="E979" s="206"/>
      <c r="F979" s="417"/>
      <c r="G979" s="418"/>
      <c r="H979" s="200"/>
      <c r="I979" s="200"/>
      <c r="J979" s="419"/>
      <c r="K979" s="420"/>
      <c r="L979" s="421"/>
      <c r="M979" s="422"/>
      <c r="N979" s="203"/>
      <c r="O979" s="203"/>
      <c r="P979" s="201"/>
      <c r="Q979" s="416"/>
    </row>
    <row r="980" spans="1:17" ht="14.25" customHeight="1">
      <c r="A980" s="3"/>
      <c r="B980" s="3"/>
      <c r="C980" s="3"/>
      <c r="D980" s="3"/>
      <c r="E980" s="206"/>
      <c r="F980" s="417"/>
      <c r="G980" s="418"/>
      <c r="H980" s="200"/>
      <c r="I980" s="200"/>
      <c r="J980" s="419"/>
      <c r="K980" s="420"/>
      <c r="L980" s="421"/>
      <c r="M980" s="422"/>
      <c r="N980" s="203"/>
      <c r="O980" s="203"/>
      <c r="P980" s="201"/>
      <c r="Q980" s="416"/>
    </row>
    <row r="981" spans="1:17" ht="14.25" customHeight="1">
      <c r="A981" s="3"/>
      <c r="B981" s="3"/>
      <c r="C981" s="3"/>
      <c r="D981" s="3"/>
      <c r="E981" s="206"/>
      <c r="F981" s="417"/>
      <c r="G981" s="418"/>
      <c r="H981" s="200"/>
      <c r="I981" s="200"/>
      <c r="J981" s="419"/>
      <c r="K981" s="420"/>
      <c r="L981" s="421"/>
      <c r="M981" s="422"/>
      <c r="N981" s="203"/>
      <c r="O981" s="203"/>
      <c r="P981" s="201"/>
      <c r="Q981" s="416"/>
    </row>
    <row r="982" spans="1:17" ht="14.25" customHeight="1">
      <c r="A982" s="3"/>
      <c r="B982" s="3"/>
      <c r="C982" s="3"/>
      <c r="D982" s="3"/>
      <c r="E982" s="206"/>
      <c r="F982" s="417"/>
      <c r="G982" s="418"/>
      <c r="H982" s="200"/>
      <c r="I982" s="200"/>
      <c r="J982" s="419"/>
      <c r="K982" s="420"/>
      <c r="L982" s="421"/>
      <c r="M982" s="422"/>
      <c r="N982" s="203"/>
      <c r="O982" s="203"/>
      <c r="P982" s="201"/>
      <c r="Q982" s="416"/>
    </row>
    <row r="983" spans="1:17" ht="14.25" customHeight="1">
      <c r="A983" s="3"/>
      <c r="B983" s="3"/>
      <c r="C983" s="3"/>
      <c r="D983" s="3"/>
      <c r="E983" s="206"/>
      <c r="F983" s="417"/>
      <c r="G983" s="418"/>
      <c r="H983" s="200"/>
      <c r="I983" s="200"/>
      <c r="J983" s="419"/>
      <c r="K983" s="420"/>
      <c r="L983" s="421"/>
      <c r="M983" s="422"/>
      <c r="N983" s="203"/>
      <c r="O983" s="203"/>
      <c r="P983" s="201"/>
      <c r="Q983" s="416"/>
    </row>
    <row r="984" spans="1:17" ht="14.25" customHeight="1">
      <c r="A984" s="3"/>
      <c r="B984" s="3"/>
      <c r="C984" s="3"/>
      <c r="D984" s="3"/>
      <c r="E984" s="206"/>
      <c r="F984" s="417"/>
      <c r="G984" s="418"/>
      <c r="H984" s="200"/>
      <c r="I984" s="200"/>
      <c r="J984" s="419"/>
      <c r="K984" s="420"/>
      <c r="L984" s="421"/>
      <c r="M984" s="422"/>
      <c r="N984" s="203"/>
      <c r="O984" s="203"/>
      <c r="P984" s="201"/>
      <c r="Q984" s="416"/>
    </row>
    <row r="985" spans="1:17" ht="14.25" customHeight="1">
      <c r="A985" s="3"/>
      <c r="B985" s="3"/>
      <c r="C985" s="3"/>
      <c r="D985" s="3"/>
      <c r="E985" s="206"/>
      <c r="F985" s="417"/>
      <c r="G985" s="418"/>
      <c r="H985" s="200"/>
      <c r="I985" s="200"/>
      <c r="J985" s="419"/>
      <c r="K985" s="420"/>
      <c r="L985" s="421"/>
      <c r="M985" s="422"/>
      <c r="N985" s="203"/>
      <c r="O985" s="203"/>
      <c r="P985" s="201"/>
      <c r="Q985" s="416"/>
    </row>
    <row r="986" spans="1:17" ht="14.25" customHeight="1">
      <c r="A986" s="3"/>
      <c r="B986" s="3"/>
      <c r="C986" s="3"/>
      <c r="D986" s="3"/>
      <c r="E986" s="206"/>
      <c r="F986" s="417"/>
      <c r="G986" s="418"/>
      <c r="H986" s="200"/>
      <c r="I986" s="200"/>
      <c r="J986" s="419"/>
      <c r="K986" s="420"/>
      <c r="L986" s="421"/>
      <c r="M986" s="422"/>
      <c r="N986" s="203"/>
      <c r="O986" s="203"/>
      <c r="P986" s="201"/>
      <c r="Q986" s="416"/>
    </row>
    <row r="987" spans="1:17" ht="14.25" customHeight="1">
      <c r="A987" s="3"/>
      <c r="B987" s="3"/>
      <c r="C987" s="3"/>
      <c r="D987" s="3"/>
      <c r="E987" s="206"/>
      <c r="F987" s="417"/>
      <c r="G987" s="418"/>
      <c r="H987" s="200"/>
      <c r="I987" s="200"/>
      <c r="J987" s="419"/>
      <c r="K987" s="420"/>
      <c r="L987" s="421"/>
      <c r="M987" s="422"/>
      <c r="N987" s="203"/>
      <c r="O987" s="203"/>
      <c r="P987" s="201"/>
      <c r="Q987" s="416"/>
    </row>
    <row r="988" spans="1:17" ht="14.25" customHeight="1">
      <c r="A988" s="3"/>
      <c r="B988" s="3"/>
      <c r="C988" s="3"/>
      <c r="D988" s="3"/>
      <c r="E988" s="206"/>
      <c r="F988" s="417"/>
      <c r="G988" s="418"/>
      <c r="H988" s="200"/>
      <c r="I988" s="200"/>
      <c r="J988" s="419"/>
      <c r="K988" s="420"/>
      <c r="L988" s="421"/>
      <c r="M988" s="422"/>
      <c r="N988" s="203"/>
      <c r="O988" s="203"/>
      <c r="P988" s="201"/>
      <c r="Q988" s="416"/>
    </row>
    <row r="989" spans="1:17" ht="14.25" customHeight="1">
      <c r="A989" s="3"/>
      <c r="B989" s="3"/>
      <c r="C989" s="3"/>
      <c r="D989" s="3"/>
      <c r="E989" s="206"/>
      <c r="F989" s="417"/>
      <c r="G989" s="418"/>
      <c r="H989" s="200"/>
      <c r="I989" s="200"/>
      <c r="J989" s="419"/>
      <c r="K989" s="420"/>
      <c r="L989" s="421"/>
      <c r="M989" s="422"/>
      <c r="N989" s="203"/>
      <c r="O989" s="203"/>
      <c r="P989" s="201"/>
      <c r="Q989" s="416"/>
    </row>
    <row r="990" spans="1:17" ht="14.25" customHeight="1">
      <c r="A990" s="3"/>
      <c r="B990" s="3"/>
      <c r="C990" s="3"/>
      <c r="D990" s="3"/>
      <c r="E990" s="206"/>
      <c r="F990" s="417"/>
      <c r="G990" s="418"/>
      <c r="H990" s="200"/>
      <c r="I990" s="200"/>
      <c r="J990" s="419"/>
      <c r="K990" s="420"/>
      <c r="L990" s="421"/>
      <c r="M990" s="422"/>
      <c r="N990" s="203"/>
      <c r="O990" s="203"/>
      <c r="P990" s="201"/>
      <c r="Q990" s="416"/>
    </row>
    <row r="991" spans="1:17" ht="14.25" customHeight="1">
      <c r="A991" s="3"/>
      <c r="B991" s="3"/>
      <c r="C991" s="3"/>
      <c r="D991" s="3"/>
      <c r="E991" s="206"/>
      <c r="F991" s="417"/>
      <c r="G991" s="418"/>
      <c r="H991" s="200"/>
      <c r="I991" s="200"/>
      <c r="J991" s="419"/>
      <c r="K991" s="420"/>
      <c r="L991" s="421"/>
      <c r="M991" s="422"/>
      <c r="N991" s="203"/>
      <c r="O991" s="203"/>
      <c r="P991" s="201"/>
      <c r="Q991" s="416"/>
    </row>
    <row r="992" spans="1:17" ht="14.25" customHeight="1">
      <c r="A992" s="3"/>
      <c r="B992" s="3"/>
      <c r="C992" s="3"/>
      <c r="D992" s="3"/>
      <c r="E992" s="206"/>
      <c r="F992" s="417"/>
      <c r="G992" s="418"/>
      <c r="H992" s="200"/>
      <c r="I992" s="200"/>
      <c r="J992" s="419"/>
      <c r="K992" s="420"/>
      <c r="L992" s="421"/>
      <c r="M992" s="422"/>
      <c r="N992" s="203"/>
      <c r="O992" s="203"/>
      <c r="P992" s="201"/>
      <c r="Q992" s="416"/>
    </row>
    <row r="993" spans="1:17" ht="14.25" customHeight="1">
      <c r="A993" s="3"/>
      <c r="B993" s="3"/>
      <c r="C993" s="3"/>
      <c r="D993" s="3"/>
      <c r="E993" s="206"/>
      <c r="F993" s="417"/>
      <c r="G993" s="418"/>
      <c r="H993" s="200"/>
      <c r="I993" s="200"/>
      <c r="J993" s="419"/>
      <c r="K993" s="420"/>
      <c r="L993" s="421"/>
      <c r="M993" s="422"/>
      <c r="N993" s="203"/>
      <c r="O993" s="203"/>
      <c r="P993" s="201"/>
      <c r="Q993" s="416"/>
    </row>
    <row r="994" spans="1:17" ht="14.25" customHeight="1">
      <c r="A994" s="3"/>
      <c r="B994" s="3"/>
      <c r="C994" s="3"/>
      <c r="D994" s="3"/>
      <c r="E994" s="206"/>
      <c r="F994" s="417"/>
      <c r="G994" s="418"/>
      <c r="H994" s="200"/>
      <c r="I994" s="200"/>
      <c r="J994" s="419"/>
      <c r="K994" s="420"/>
      <c r="L994" s="421"/>
      <c r="M994" s="422"/>
      <c r="N994" s="203"/>
      <c r="O994" s="203"/>
      <c r="P994" s="201"/>
      <c r="Q994" s="416"/>
    </row>
    <row r="995" spans="1:17" ht="14.25" customHeight="1">
      <c r="A995" s="3"/>
      <c r="B995" s="3"/>
      <c r="C995" s="3"/>
      <c r="D995" s="3"/>
      <c r="E995" s="206"/>
      <c r="F995" s="417"/>
      <c r="G995" s="418"/>
      <c r="H995" s="200"/>
      <c r="I995" s="200"/>
      <c r="J995" s="419"/>
      <c r="K995" s="420"/>
      <c r="L995" s="421"/>
      <c r="M995" s="422"/>
      <c r="N995" s="203"/>
      <c r="O995" s="203"/>
      <c r="P995" s="201"/>
      <c r="Q995" s="416"/>
    </row>
    <row r="996" spans="1:17" ht="14.25" customHeight="1">
      <c r="A996" s="3"/>
      <c r="B996" s="3"/>
      <c r="C996" s="3"/>
      <c r="D996" s="3"/>
      <c r="E996" s="206"/>
      <c r="F996" s="417"/>
      <c r="G996" s="418"/>
      <c r="H996" s="200"/>
      <c r="I996" s="200"/>
      <c r="J996" s="419"/>
      <c r="K996" s="420"/>
      <c r="L996" s="421"/>
      <c r="M996" s="422"/>
      <c r="N996" s="203"/>
      <c r="O996" s="203"/>
      <c r="P996" s="201"/>
      <c r="Q996" s="416"/>
    </row>
    <row r="997" spans="1:17" ht="14.25" customHeight="1">
      <c r="A997" s="3"/>
      <c r="B997" s="3"/>
      <c r="C997" s="3"/>
      <c r="D997" s="3"/>
      <c r="E997" s="206"/>
      <c r="F997" s="417"/>
      <c r="G997" s="418"/>
      <c r="H997" s="200"/>
      <c r="I997" s="200"/>
      <c r="J997" s="419"/>
      <c r="K997" s="420"/>
      <c r="L997" s="421"/>
      <c r="M997" s="422"/>
      <c r="N997" s="203"/>
      <c r="O997" s="203"/>
      <c r="P997" s="201"/>
      <c r="Q997" s="416"/>
    </row>
    <row r="998" spans="1:17" ht="14.25" customHeight="1">
      <c r="A998" s="3"/>
      <c r="B998" s="3"/>
      <c r="C998" s="3"/>
      <c r="D998" s="3"/>
      <c r="E998" s="206"/>
      <c r="F998" s="417"/>
      <c r="G998" s="418"/>
      <c r="H998" s="200"/>
      <c r="I998" s="200"/>
      <c r="J998" s="419"/>
      <c r="K998" s="420"/>
      <c r="L998" s="421"/>
      <c r="M998" s="422"/>
      <c r="N998" s="203"/>
      <c r="O998" s="203"/>
      <c r="P998" s="201"/>
      <c r="Q998" s="416"/>
    </row>
    <row r="999" spans="1:17" ht="14.25" customHeight="1">
      <c r="A999" s="3"/>
      <c r="B999" s="3"/>
      <c r="C999" s="3"/>
      <c r="D999" s="3"/>
      <c r="E999" s="206"/>
      <c r="F999" s="417"/>
      <c r="G999" s="418"/>
      <c r="H999" s="200"/>
      <c r="I999" s="200"/>
      <c r="J999" s="419"/>
      <c r="K999" s="420"/>
      <c r="L999" s="421"/>
      <c r="M999" s="422"/>
      <c r="N999" s="203"/>
      <c r="O999" s="203"/>
      <c r="P999" s="201"/>
      <c r="Q999" s="416"/>
    </row>
  </sheetData>
  <autoFilter ref="B1:T28"/>
  <dataValidations count="2">
    <dataValidation type="list" allowBlank="1" showErrorMessage="1" sqref="E1:E999">
      <formula1>"Assistant Professor,Assistant Professor ,Associate Professor,Associate Professor ,Designation,Professor"</formula1>
    </dataValidation>
    <dataValidation type="list" allowBlank="1" showErrorMessage="1" sqref="F2:F24">
      <formula1>#REF!</formula1>
    </dataValidation>
  </dataValidations>
  <hyperlinks>
    <hyperlink ref="M2" r:id="rId1"/>
    <hyperlink ref="M3" r:id="rId2" location="v=onepage&amp;q&amp;f=false"/>
    <hyperlink ref="M4" r:id="rId3"/>
    <hyperlink ref="Q4" r:id="rId4"/>
    <hyperlink ref="M5" r:id="rId5"/>
    <hyperlink ref="M6" r:id="rId6"/>
    <hyperlink ref="Q6" r:id="rId7"/>
    <hyperlink ref="Q7" r:id="rId8"/>
    <hyperlink ref="M8" r:id="rId9"/>
    <hyperlink ref="Q8" r:id="rId10"/>
    <hyperlink ref="M9" r:id="rId11"/>
    <hyperlink ref="Q9" r:id="rId12"/>
    <hyperlink ref="M10" r:id="rId13"/>
    <hyperlink ref="M11" r:id="rId14"/>
    <hyperlink ref="Q11" r:id="rId15"/>
    <hyperlink ref="M12" r:id="rId16"/>
    <hyperlink ref="I13" r:id="rId17"/>
    <hyperlink ref="M13" r:id="rId18"/>
    <hyperlink ref="Q13" r:id="rId19"/>
    <hyperlink ref="M14" r:id="rId20"/>
    <hyperlink ref="Q14" r:id="rId21"/>
    <hyperlink ref="M15" r:id="rId22"/>
    <hyperlink ref="Q15" r:id="rId23"/>
    <hyperlink ref="M16" r:id="rId24"/>
    <hyperlink ref="Q16" r:id="rId25"/>
    <hyperlink ref="M17" r:id="rId26"/>
    <hyperlink ref="Q17" r:id="rId27"/>
    <hyperlink ref="M18" r:id="rId28"/>
    <hyperlink ref="Q18" r:id="rId29"/>
    <hyperlink ref="M19" r:id="rId30"/>
    <hyperlink ref="Q19" r:id="rId31"/>
    <hyperlink ref="M20" r:id="rId32"/>
    <hyperlink ref="M21" r:id="rId33"/>
    <hyperlink ref="M22" r:id="rId34"/>
    <hyperlink ref="Q22" r:id="rId35"/>
    <hyperlink ref="M23" r:id="rId36"/>
    <hyperlink ref="Q23" r:id="rId37"/>
    <hyperlink ref="M24" r:id="rId38"/>
    <hyperlink ref="Q24" r:id="rId39"/>
    <hyperlink ref="M25" r:id="rId40"/>
    <hyperlink ref="Q25" r:id="rId41"/>
    <hyperlink ref="M26" r:id="rId42"/>
    <hyperlink ref="Q26" r:id="rId43"/>
    <hyperlink ref="M27" r:id="rId44" location="v=onepage&amp;q&amp;f=true"/>
    <hyperlink ref="Q27" r:id="rId45" location="v=onepage&amp;q&amp;f=true"/>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Z1000"/>
  <sheetViews>
    <sheetView topLeftCell="P1" workbookViewId="0">
      <pane ySplit="1" topLeftCell="A2" activePane="bottomLeft" state="frozen"/>
      <selection pane="bottomLeft" activeCell="S38" sqref="S38"/>
    </sheetView>
  </sheetViews>
  <sheetFormatPr defaultColWidth="12.6328125" defaultRowHeight="15" customHeight="1"/>
  <cols>
    <col min="1" max="1" width="9.36328125" customWidth="1"/>
    <col min="2" max="2" width="18.90625" customWidth="1"/>
    <col min="3" max="3" width="20.08984375" customWidth="1"/>
    <col min="4" max="4" width="16.453125" customWidth="1"/>
    <col min="5" max="5" width="29.36328125" customWidth="1"/>
    <col min="6" max="6" width="25.90625" customWidth="1"/>
    <col min="7" max="7" width="26" customWidth="1"/>
    <col min="8" max="8" width="16.08984375" customWidth="1"/>
    <col min="10" max="10" width="17.453125" customWidth="1"/>
    <col min="12" max="12" width="15.90625" customWidth="1"/>
    <col min="14" max="14" width="15.1796875" customWidth="1"/>
    <col min="15" max="15" width="40.6328125" customWidth="1"/>
    <col min="16" max="16" width="33.36328125" customWidth="1"/>
    <col min="18" max="18" width="30.90625" customWidth="1"/>
    <col min="19" max="19" width="74.81640625" customWidth="1"/>
  </cols>
  <sheetData>
    <row r="1" spans="1:26" ht="31.5" customHeight="1">
      <c r="A1" s="49" t="s">
        <v>60</v>
      </c>
      <c r="B1" s="52" t="s">
        <v>61</v>
      </c>
      <c r="C1" s="52" t="s">
        <v>62</v>
      </c>
      <c r="D1" s="49" t="s">
        <v>63</v>
      </c>
      <c r="E1" s="49" t="s">
        <v>64</v>
      </c>
      <c r="F1" s="52" t="s">
        <v>697</v>
      </c>
      <c r="G1" s="52" t="s">
        <v>1580</v>
      </c>
      <c r="H1" s="52" t="s">
        <v>1442</v>
      </c>
      <c r="I1" s="49" t="s">
        <v>1581</v>
      </c>
      <c r="J1" s="52" t="s">
        <v>1582</v>
      </c>
      <c r="K1" s="425" t="s">
        <v>141</v>
      </c>
      <c r="L1" s="49" t="s">
        <v>142</v>
      </c>
      <c r="M1" s="49" t="s">
        <v>143</v>
      </c>
      <c r="N1" s="49" t="s">
        <v>1444</v>
      </c>
      <c r="O1" s="52" t="s">
        <v>147</v>
      </c>
      <c r="P1" s="52" t="s">
        <v>1583</v>
      </c>
      <c r="Q1" s="426" t="s">
        <v>1446</v>
      </c>
      <c r="R1" s="49" t="s">
        <v>1584</v>
      </c>
      <c r="S1" s="425" t="s">
        <v>1585</v>
      </c>
      <c r="T1" s="52"/>
      <c r="U1" s="426"/>
      <c r="V1" s="427"/>
      <c r="W1" s="427"/>
      <c r="X1" s="427"/>
      <c r="Y1" s="427"/>
      <c r="Z1" s="427"/>
    </row>
    <row r="2" spans="1:26" ht="37.5" hidden="1" customHeight="1">
      <c r="A2" s="4" t="s">
        <v>68</v>
      </c>
      <c r="B2" s="4" t="s">
        <v>125</v>
      </c>
      <c r="C2" s="4" t="s">
        <v>1586</v>
      </c>
      <c r="D2" s="4" t="s">
        <v>70</v>
      </c>
      <c r="E2" s="4" t="s">
        <v>1</v>
      </c>
      <c r="F2" s="112" t="s">
        <v>1587</v>
      </c>
      <c r="G2" s="4" t="s">
        <v>1588</v>
      </c>
      <c r="H2" s="15" t="s">
        <v>1589</v>
      </c>
      <c r="I2" s="4">
        <v>6</v>
      </c>
      <c r="J2" s="4" t="s">
        <v>1590</v>
      </c>
      <c r="K2" s="17" t="s">
        <v>1591</v>
      </c>
      <c r="L2" s="4" t="s">
        <v>934</v>
      </c>
      <c r="M2" s="4">
        <v>2025</v>
      </c>
      <c r="N2" s="4" t="s">
        <v>1592</v>
      </c>
      <c r="O2" s="12" t="s">
        <v>1593</v>
      </c>
      <c r="P2" s="428" t="s">
        <v>1594</v>
      </c>
      <c r="Q2" s="22" t="s">
        <v>169</v>
      </c>
      <c r="R2" s="4" t="s">
        <v>1595</v>
      </c>
      <c r="S2" s="428" t="s">
        <v>1596</v>
      </c>
      <c r="T2" s="17">
        <f t="shared" ref="T2:T3" si="0">5000*0.5</f>
        <v>2500</v>
      </c>
      <c r="U2" s="15" t="s">
        <v>1597</v>
      </c>
      <c r="V2" s="429"/>
      <c r="W2" s="429"/>
      <c r="X2" s="429"/>
      <c r="Y2" s="429"/>
      <c r="Z2" s="429"/>
    </row>
    <row r="3" spans="1:26" ht="37.5" hidden="1" customHeight="1">
      <c r="A3" s="9" t="s">
        <v>68</v>
      </c>
      <c r="B3" s="9" t="s">
        <v>125</v>
      </c>
      <c r="C3" s="4" t="s">
        <v>1586</v>
      </c>
      <c r="D3" s="9" t="s">
        <v>70</v>
      </c>
      <c r="E3" s="9" t="s">
        <v>1</v>
      </c>
      <c r="F3" s="112" t="s">
        <v>1587</v>
      </c>
      <c r="G3" s="4" t="s">
        <v>1598</v>
      </c>
      <c r="H3" s="15" t="s">
        <v>1589</v>
      </c>
      <c r="I3" s="9">
        <v>12</v>
      </c>
      <c r="J3" s="9" t="s">
        <v>1590</v>
      </c>
      <c r="K3" s="18" t="s">
        <v>1599</v>
      </c>
      <c r="L3" s="9" t="s">
        <v>934</v>
      </c>
      <c r="M3" s="9">
        <v>2025</v>
      </c>
      <c r="N3" s="4" t="s">
        <v>1592</v>
      </c>
      <c r="O3" s="13" t="s">
        <v>1600</v>
      </c>
      <c r="P3" s="428" t="s">
        <v>1601</v>
      </c>
      <c r="Q3" s="29" t="s">
        <v>169</v>
      </c>
      <c r="R3" s="9" t="s">
        <v>1595</v>
      </c>
      <c r="S3" s="430" t="s">
        <v>1596</v>
      </c>
      <c r="T3" s="18">
        <f t="shared" si="0"/>
        <v>2500</v>
      </c>
      <c r="U3" s="14" t="s">
        <v>1597</v>
      </c>
      <c r="V3" s="429"/>
      <c r="W3" s="429"/>
      <c r="X3" s="429"/>
      <c r="Y3" s="429"/>
      <c r="Z3" s="429"/>
    </row>
    <row r="4" spans="1:26" ht="37.5" hidden="1" customHeight="1">
      <c r="A4" s="4" t="s">
        <v>68</v>
      </c>
      <c r="B4" s="4" t="s">
        <v>54</v>
      </c>
      <c r="C4" s="4" t="s">
        <v>72</v>
      </c>
      <c r="D4" s="4" t="s">
        <v>67</v>
      </c>
      <c r="E4" s="4" t="s">
        <v>2</v>
      </c>
      <c r="F4" s="112" t="s">
        <v>1602</v>
      </c>
      <c r="G4" s="27" t="s">
        <v>1603</v>
      </c>
      <c r="H4" s="15" t="s">
        <v>1604</v>
      </c>
      <c r="I4" s="4">
        <v>21</v>
      </c>
      <c r="J4" s="4" t="s">
        <v>181</v>
      </c>
      <c r="K4" s="17" t="s">
        <v>1605</v>
      </c>
      <c r="L4" s="4" t="s">
        <v>168</v>
      </c>
      <c r="M4" s="4">
        <v>2025</v>
      </c>
      <c r="N4" s="4" t="s">
        <v>1606</v>
      </c>
      <c r="O4" s="12" t="s">
        <v>1607</v>
      </c>
      <c r="P4" s="428" t="s">
        <v>1608</v>
      </c>
      <c r="Q4" s="22" t="s">
        <v>228</v>
      </c>
      <c r="R4" s="4" t="s">
        <v>1609</v>
      </c>
      <c r="S4" s="7" t="s">
        <v>1610</v>
      </c>
      <c r="T4" s="4">
        <v>2000</v>
      </c>
      <c r="U4" s="15"/>
      <c r="V4" s="429"/>
      <c r="W4" s="429"/>
      <c r="X4" s="429"/>
      <c r="Y4" s="429"/>
      <c r="Z4" s="429"/>
    </row>
    <row r="5" spans="1:26" ht="37.5" hidden="1" customHeight="1">
      <c r="A5" s="9" t="s">
        <v>73</v>
      </c>
      <c r="B5" s="9" t="s">
        <v>8</v>
      </c>
      <c r="C5" s="4" t="s">
        <v>92</v>
      </c>
      <c r="D5" s="9" t="s">
        <v>67</v>
      </c>
      <c r="E5" s="9" t="s">
        <v>0</v>
      </c>
      <c r="F5" s="112" t="s">
        <v>1611</v>
      </c>
      <c r="G5" s="12" t="s">
        <v>1612</v>
      </c>
      <c r="H5" s="15" t="s">
        <v>1613</v>
      </c>
      <c r="I5" s="9">
        <v>9</v>
      </c>
      <c r="J5" s="9" t="s">
        <v>1614</v>
      </c>
      <c r="K5" s="18" t="s">
        <v>1615</v>
      </c>
      <c r="L5" s="9" t="s">
        <v>168</v>
      </c>
      <c r="M5" s="9">
        <v>2025</v>
      </c>
      <c r="N5" s="4" t="s">
        <v>1616</v>
      </c>
      <c r="O5" s="10" t="s">
        <v>1617</v>
      </c>
      <c r="P5" s="428" t="s">
        <v>1618</v>
      </c>
      <c r="Q5" s="29" t="s">
        <v>228</v>
      </c>
      <c r="R5" s="9" t="s">
        <v>1619</v>
      </c>
      <c r="S5" s="430" t="s">
        <v>1620</v>
      </c>
      <c r="T5" s="9">
        <v>5000</v>
      </c>
      <c r="U5" s="29"/>
      <c r="V5" s="429"/>
      <c r="W5" s="429"/>
      <c r="X5" s="429"/>
      <c r="Y5" s="429"/>
      <c r="Z5" s="429"/>
    </row>
    <row r="6" spans="1:26" ht="37.5" hidden="1" customHeight="1">
      <c r="A6" s="4" t="s">
        <v>73</v>
      </c>
      <c r="B6" s="4" t="s">
        <v>8</v>
      </c>
      <c r="C6" s="4" t="s">
        <v>92</v>
      </c>
      <c r="D6" s="4" t="s">
        <v>67</v>
      </c>
      <c r="E6" s="4" t="s">
        <v>0</v>
      </c>
      <c r="F6" s="112" t="s">
        <v>1621</v>
      </c>
      <c r="G6" s="12" t="s">
        <v>1622</v>
      </c>
      <c r="H6" s="15" t="s">
        <v>1613</v>
      </c>
      <c r="I6" s="4">
        <v>20</v>
      </c>
      <c r="J6" s="4" t="s">
        <v>1614</v>
      </c>
      <c r="K6" s="17" t="s">
        <v>1623</v>
      </c>
      <c r="L6" s="4" t="s">
        <v>168</v>
      </c>
      <c r="M6" s="4">
        <v>2025</v>
      </c>
      <c r="N6" s="4" t="s">
        <v>1616</v>
      </c>
      <c r="O6" s="7" t="s">
        <v>1624</v>
      </c>
      <c r="P6" s="428" t="s">
        <v>1625</v>
      </c>
      <c r="Q6" s="22" t="s">
        <v>228</v>
      </c>
      <c r="R6" s="4" t="s">
        <v>1609</v>
      </c>
      <c r="S6" s="428" t="s">
        <v>1626</v>
      </c>
      <c r="T6" s="4">
        <v>2000</v>
      </c>
      <c r="U6" s="22"/>
      <c r="V6" s="429"/>
      <c r="W6" s="429"/>
      <c r="X6" s="429"/>
      <c r="Y6" s="429"/>
      <c r="Z6" s="429"/>
    </row>
    <row r="7" spans="1:26" ht="37.5" customHeight="1">
      <c r="A7" s="9" t="s">
        <v>68</v>
      </c>
      <c r="B7" s="9" t="s">
        <v>36</v>
      </c>
      <c r="C7" s="4" t="s">
        <v>86</v>
      </c>
      <c r="D7" s="9" t="s">
        <v>70</v>
      </c>
      <c r="E7" s="9" t="s">
        <v>7</v>
      </c>
      <c r="F7" s="112" t="s">
        <v>1627</v>
      </c>
      <c r="G7" s="27" t="s">
        <v>1628</v>
      </c>
      <c r="H7" s="15" t="s">
        <v>1629</v>
      </c>
      <c r="I7" s="9">
        <v>2</v>
      </c>
      <c r="J7" s="9" t="s">
        <v>1102</v>
      </c>
      <c r="K7" s="18" t="s">
        <v>1630</v>
      </c>
      <c r="L7" s="9" t="s">
        <v>307</v>
      </c>
      <c r="M7" s="9">
        <v>2025</v>
      </c>
      <c r="N7" s="4">
        <v>9798898810559</v>
      </c>
      <c r="O7" s="9" t="s">
        <v>1631</v>
      </c>
      <c r="P7" s="428" t="s">
        <v>1632</v>
      </c>
      <c r="Q7" s="29" t="s">
        <v>228</v>
      </c>
      <c r="R7" s="9">
        <v>3</v>
      </c>
      <c r="S7" s="18"/>
      <c r="T7" s="9"/>
      <c r="U7" s="14"/>
      <c r="V7" s="429"/>
      <c r="W7" s="429"/>
      <c r="X7" s="429"/>
      <c r="Y7" s="429"/>
      <c r="Z7" s="429"/>
    </row>
    <row r="8" spans="1:26" ht="37.5" hidden="1" customHeight="1">
      <c r="A8" s="4" t="s">
        <v>68</v>
      </c>
      <c r="B8" s="4" t="s">
        <v>37</v>
      </c>
      <c r="C8" s="4" t="s">
        <v>87</v>
      </c>
      <c r="D8" s="4" t="s">
        <v>70</v>
      </c>
      <c r="E8" s="4" t="s">
        <v>5</v>
      </c>
      <c r="F8" s="7" t="s">
        <v>1633</v>
      </c>
      <c r="G8" s="27" t="s">
        <v>1634</v>
      </c>
      <c r="H8" s="15" t="s">
        <v>920</v>
      </c>
      <c r="I8" s="4">
        <v>7</v>
      </c>
      <c r="J8" s="4" t="s">
        <v>1547</v>
      </c>
      <c r="K8" s="17"/>
      <c r="L8" s="4" t="s">
        <v>390</v>
      </c>
      <c r="M8" s="4">
        <v>2025</v>
      </c>
      <c r="N8" s="4">
        <v>9781003593034</v>
      </c>
      <c r="O8" s="12" t="s">
        <v>1635</v>
      </c>
      <c r="P8" s="12" t="s">
        <v>1635</v>
      </c>
      <c r="Q8" s="15" t="s">
        <v>169</v>
      </c>
      <c r="R8" s="4" t="s">
        <v>1636</v>
      </c>
      <c r="S8" s="12" t="s">
        <v>1635</v>
      </c>
      <c r="T8" s="4">
        <v>1000</v>
      </c>
      <c r="U8" s="15"/>
      <c r="V8" s="429"/>
      <c r="W8" s="429"/>
      <c r="X8" s="429"/>
      <c r="Y8" s="429"/>
      <c r="Z8" s="429"/>
    </row>
    <row r="9" spans="1:26" ht="37.5" hidden="1" customHeight="1">
      <c r="A9" s="9" t="s">
        <v>1195</v>
      </c>
      <c r="B9" s="9" t="s">
        <v>1637</v>
      </c>
      <c r="C9" s="4" t="s">
        <v>90</v>
      </c>
      <c r="D9" s="9" t="s">
        <v>67</v>
      </c>
      <c r="E9" s="9" t="s">
        <v>3</v>
      </c>
      <c r="F9" s="112" t="s">
        <v>1638</v>
      </c>
      <c r="G9" s="4" t="s">
        <v>1639</v>
      </c>
      <c r="H9" s="15" t="s">
        <v>1640</v>
      </c>
      <c r="I9" s="9">
        <v>12</v>
      </c>
      <c r="J9" s="9" t="s">
        <v>1641</v>
      </c>
      <c r="K9" s="18">
        <v>247</v>
      </c>
      <c r="L9" s="9" t="s">
        <v>934</v>
      </c>
      <c r="M9" s="9">
        <v>2025</v>
      </c>
      <c r="N9" s="4">
        <v>1.3943026819781301E+22</v>
      </c>
      <c r="O9" s="13" t="s">
        <v>1642</v>
      </c>
      <c r="P9" s="7" t="s">
        <v>1643</v>
      </c>
      <c r="Q9" s="29" t="s">
        <v>1644</v>
      </c>
      <c r="R9" s="9" t="s">
        <v>1645</v>
      </c>
      <c r="S9" s="13" t="s">
        <v>1643</v>
      </c>
      <c r="T9" s="9"/>
      <c r="U9" s="29"/>
      <c r="V9" s="429"/>
      <c r="W9" s="429"/>
      <c r="X9" s="429"/>
      <c r="Y9" s="429"/>
      <c r="Z9" s="429"/>
    </row>
    <row r="10" spans="1:26" ht="37.5" hidden="1" customHeight="1">
      <c r="A10" s="197" t="s">
        <v>73</v>
      </c>
      <c r="B10" s="431" t="s">
        <v>40</v>
      </c>
      <c r="C10" s="197" t="s">
        <v>1646</v>
      </c>
      <c r="D10" s="4" t="s">
        <v>67</v>
      </c>
      <c r="E10" s="9" t="s">
        <v>5</v>
      </c>
      <c r="F10" s="9" t="s">
        <v>1647</v>
      </c>
      <c r="G10" s="247" t="s">
        <v>1648</v>
      </c>
      <c r="H10" s="9" t="s">
        <v>1649</v>
      </c>
      <c r="I10" s="197">
        <v>11</v>
      </c>
      <c r="J10" s="431" t="s">
        <v>1650</v>
      </c>
      <c r="K10" s="415"/>
      <c r="L10" s="197" t="s">
        <v>168</v>
      </c>
      <c r="M10" s="197">
        <v>2025</v>
      </c>
      <c r="N10" s="432"/>
      <c r="O10" s="433" t="s">
        <v>1651</v>
      </c>
      <c r="P10" s="434"/>
      <c r="Q10" s="435"/>
      <c r="R10" s="197"/>
      <c r="S10" s="415"/>
      <c r="T10" s="197">
        <f>(10000*60/100)</f>
        <v>6000</v>
      </c>
      <c r="U10" s="436"/>
      <c r="V10" s="429"/>
      <c r="W10" s="429"/>
      <c r="X10" s="429"/>
      <c r="Y10" s="429"/>
      <c r="Z10" s="429"/>
    </row>
    <row r="11" spans="1:26" ht="37.5" hidden="1" customHeight="1">
      <c r="A11" s="9" t="s">
        <v>68</v>
      </c>
      <c r="B11" s="9" t="s">
        <v>41</v>
      </c>
      <c r="C11" s="4" t="s">
        <v>1652</v>
      </c>
      <c r="D11" s="9" t="s">
        <v>80</v>
      </c>
      <c r="E11" s="9" t="s">
        <v>0</v>
      </c>
      <c r="F11" s="112" t="s">
        <v>1653</v>
      </c>
      <c r="G11" s="4" t="s">
        <v>1654</v>
      </c>
      <c r="H11" s="15" t="s">
        <v>1604</v>
      </c>
      <c r="I11" s="9">
        <v>3</v>
      </c>
      <c r="J11" s="9" t="s">
        <v>181</v>
      </c>
      <c r="K11" s="18" t="s">
        <v>1655</v>
      </c>
      <c r="L11" s="9" t="s">
        <v>168</v>
      </c>
      <c r="M11" s="9">
        <v>2025</v>
      </c>
      <c r="N11" s="4">
        <v>9781394272594</v>
      </c>
      <c r="O11" s="13" t="s">
        <v>1656</v>
      </c>
      <c r="P11" s="428" t="s">
        <v>1657</v>
      </c>
      <c r="Q11" s="29" t="s">
        <v>228</v>
      </c>
      <c r="R11" s="9">
        <v>3</v>
      </c>
      <c r="S11" s="430" t="s">
        <v>1658</v>
      </c>
      <c r="T11" s="18"/>
      <c r="U11" s="29"/>
      <c r="V11" s="429"/>
      <c r="W11" s="429"/>
      <c r="X11" s="429"/>
      <c r="Y11" s="429"/>
      <c r="Z11" s="429"/>
    </row>
    <row r="12" spans="1:26" ht="37.5" hidden="1" customHeight="1">
      <c r="A12" s="4" t="s">
        <v>68</v>
      </c>
      <c r="B12" s="4" t="s">
        <v>41</v>
      </c>
      <c r="C12" s="4" t="s">
        <v>1652</v>
      </c>
      <c r="D12" s="4" t="s">
        <v>80</v>
      </c>
      <c r="E12" s="4" t="s">
        <v>0</v>
      </c>
      <c r="F12" s="112" t="s">
        <v>1659</v>
      </c>
      <c r="G12" s="4" t="s">
        <v>1660</v>
      </c>
      <c r="H12" s="15" t="s">
        <v>1604</v>
      </c>
      <c r="I12" s="4">
        <v>9</v>
      </c>
      <c r="J12" s="4" t="s">
        <v>181</v>
      </c>
      <c r="K12" s="17" t="s">
        <v>1615</v>
      </c>
      <c r="L12" s="4" t="s">
        <v>168</v>
      </c>
      <c r="M12" s="4">
        <v>2025</v>
      </c>
      <c r="N12" s="4">
        <v>9781394272594</v>
      </c>
      <c r="O12" s="12" t="s">
        <v>1661</v>
      </c>
      <c r="P12" s="428" t="s">
        <v>1662</v>
      </c>
      <c r="Q12" s="22" t="s">
        <v>228</v>
      </c>
      <c r="R12" s="4">
        <v>2</v>
      </c>
      <c r="S12" s="428" t="s">
        <v>1663</v>
      </c>
      <c r="T12" s="17"/>
      <c r="U12" s="22"/>
      <c r="V12" s="429"/>
      <c r="W12" s="429"/>
      <c r="X12" s="429"/>
      <c r="Y12" s="429"/>
      <c r="Z12" s="429"/>
    </row>
    <row r="13" spans="1:26" ht="37.5" hidden="1" customHeight="1">
      <c r="A13" s="9" t="s">
        <v>68</v>
      </c>
      <c r="B13" s="9" t="s">
        <v>41</v>
      </c>
      <c r="C13" s="4" t="s">
        <v>1652</v>
      </c>
      <c r="D13" s="9" t="s">
        <v>80</v>
      </c>
      <c r="E13" s="9" t="s">
        <v>0</v>
      </c>
      <c r="F13" s="112" t="s">
        <v>1621</v>
      </c>
      <c r="G13" s="4" t="s">
        <v>1664</v>
      </c>
      <c r="H13" s="15" t="s">
        <v>1604</v>
      </c>
      <c r="I13" s="9">
        <v>20</v>
      </c>
      <c r="J13" s="9" t="s">
        <v>181</v>
      </c>
      <c r="K13" s="18" t="s">
        <v>1623</v>
      </c>
      <c r="L13" s="9" t="s">
        <v>168</v>
      </c>
      <c r="M13" s="9">
        <v>2025</v>
      </c>
      <c r="N13" s="4">
        <v>9781394272594</v>
      </c>
      <c r="O13" s="13" t="s">
        <v>1665</v>
      </c>
      <c r="P13" s="428" t="s">
        <v>1666</v>
      </c>
      <c r="Q13" s="29" t="s">
        <v>228</v>
      </c>
      <c r="R13" s="9">
        <v>2</v>
      </c>
      <c r="S13" s="430" t="s">
        <v>1667</v>
      </c>
      <c r="T13" s="18"/>
      <c r="U13" s="29"/>
      <c r="V13" s="429"/>
      <c r="W13" s="429"/>
      <c r="X13" s="429"/>
      <c r="Y13" s="429"/>
      <c r="Z13" s="429"/>
    </row>
    <row r="14" spans="1:26" ht="37.5" hidden="1" customHeight="1">
      <c r="A14" s="4" t="s">
        <v>68</v>
      </c>
      <c r="B14" s="4" t="s">
        <v>41</v>
      </c>
      <c r="C14" s="4" t="s">
        <v>1652</v>
      </c>
      <c r="D14" s="4" t="s">
        <v>80</v>
      </c>
      <c r="E14" s="4" t="s">
        <v>0</v>
      </c>
      <c r="F14" s="112" t="s">
        <v>1668</v>
      </c>
      <c r="G14" s="4" t="s">
        <v>1669</v>
      </c>
      <c r="H14" s="15" t="s">
        <v>1604</v>
      </c>
      <c r="I14" s="4">
        <v>8</v>
      </c>
      <c r="J14" s="4" t="s">
        <v>181</v>
      </c>
      <c r="K14" s="17" t="s">
        <v>1670</v>
      </c>
      <c r="L14" s="4" t="s">
        <v>168</v>
      </c>
      <c r="M14" s="4">
        <v>2025</v>
      </c>
      <c r="N14" s="4">
        <v>9781394272594</v>
      </c>
      <c r="O14" s="12" t="s">
        <v>1671</v>
      </c>
      <c r="P14" s="428" t="s">
        <v>1672</v>
      </c>
      <c r="Q14" s="22" t="s">
        <v>228</v>
      </c>
      <c r="R14" s="4">
        <v>2</v>
      </c>
      <c r="S14" s="428" t="s">
        <v>1673</v>
      </c>
      <c r="T14" s="17"/>
      <c r="U14" s="22"/>
      <c r="V14" s="429"/>
      <c r="W14" s="429"/>
      <c r="X14" s="429"/>
      <c r="Y14" s="429"/>
      <c r="Z14" s="429"/>
    </row>
    <row r="15" spans="1:26" ht="37.5" hidden="1" customHeight="1">
      <c r="A15" s="9" t="s">
        <v>68</v>
      </c>
      <c r="B15" s="9" t="s">
        <v>42</v>
      </c>
      <c r="C15" s="9" t="s">
        <v>93</v>
      </c>
      <c r="D15" s="9" t="s">
        <v>80</v>
      </c>
      <c r="E15" s="9" t="s">
        <v>5</v>
      </c>
      <c r="F15" s="9" t="s">
        <v>1674</v>
      </c>
      <c r="G15" s="9" t="s">
        <v>1675</v>
      </c>
      <c r="H15" s="9" t="s">
        <v>1676</v>
      </c>
      <c r="I15" s="9">
        <v>8</v>
      </c>
      <c r="J15" s="9" t="s">
        <v>190</v>
      </c>
      <c r="K15" s="9" t="s">
        <v>1677</v>
      </c>
      <c r="L15" s="9" t="s">
        <v>168</v>
      </c>
      <c r="M15" s="9">
        <v>2025</v>
      </c>
      <c r="N15" s="4" t="s">
        <v>1678</v>
      </c>
      <c r="O15" s="13" t="s">
        <v>1679</v>
      </c>
      <c r="P15" s="10" t="s">
        <v>1680</v>
      </c>
      <c r="Q15" s="9" t="s">
        <v>228</v>
      </c>
      <c r="R15" s="9" t="s">
        <v>1619</v>
      </c>
      <c r="S15" s="13" t="s">
        <v>94</v>
      </c>
      <c r="T15" s="9">
        <f>(15000*60/100)</f>
        <v>9000</v>
      </c>
      <c r="U15" s="9"/>
      <c r="V15" s="429"/>
      <c r="W15" s="429"/>
      <c r="X15" s="429"/>
      <c r="Y15" s="429"/>
      <c r="Z15" s="429"/>
    </row>
    <row r="16" spans="1:26" ht="37.5" hidden="1" customHeight="1">
      <c r="A16" s="4" t="s">
        <v>68</v>
      </c>
      <c r="B16" s="4" t="s">
        <v>48</v>
      </c>
      <c r="C16" s="4" t="s">
        <v>105</v>
      </c>
      <c r="D16" s="4" t="s">
        <v>67</v>
      </c>
      <c r="E16" s="4" t="s">
        <v>3</v>
      </c>
      <c r="F16" s="112" t="s">
        <v>1681</v>
      </c>
      <c r="G16" s="4" t="s">
        <v>1682</v>
      </c>
      <c r="H16" s="15" t="s">
        <v>1683</v>
      </c>
      <c r="I16" s="4">
        <v>12</v>
      </c>
      <c r="J16" s="4" t="s">
        <v>1547</v>
      </c>
      <c r="K16" s="17" t="s">
        <v>1605</v>
      </c>
      <c r="L16" s="4" t="s">
        <v>934</v>
      </c>
      <c r="M16" s="4">
        <v>2025</v>
      </c>
      <c r="N16" s="4">
        <v>9781040377888</v>
      </c>
      <c r="O16" s="12" t="s">
        <v>1684</v>
      </c>
      <c r="P16" s="428" t="s">
        <v>1685</v>
      </c>
      <c r="Q16" s="22"/>
      <c r="R16" s="4" t="s">
        <v>1636</v>
      </c>
      <c r="S16" s="428" t="s">
        <v>1686</v>
      </c>
      <c r="T16" s="4"/>
      <c r="U16" s="22"/>
      <c r="V16" s="429"/>
      <c r="W16" s="429"/>
      <c r="X16" s="429"/>
      <c r="Y16" s="429"/>
      <c r="Z16" s="429"/>
    </row>
    <row r="17" spans="1:26" ht="37.5" hidden="1" customHeight="1">
      <c r="A17" s="9" t="s">
        <v>73</v>
      </c>
      <c r="B17" s="9" t="s">
        <v>12</v>
      </c>
      <c r="C17" s="4" t="s">
        <v>106</v>
      </c>
      <c r="D17" s="9" t="s">
        <v>76</v>
      </c>
      <c r="E17" s="9" t="s">
        <v>0</v>
      </c>
      <c r="F17" s="112" t="s">
        <v>1687</v>
      </c>
      <c r="G17" s="27" t="s">
        <v>1688</v>
      </c>
      <c r="H17" s="15" t="s">
        <v>1689</v>
      </c>
      <c r="I17" s="9">
        <v>13</v>
      </c>
      <c r="J17" s="9" t="s">
        <v>1590</v>
      </c>
      <c r="K17" s="9" t="s">
        <v>1690</v>
      </c>
      <c r="L17" s="9" t="s">
        <v>613</v>
      </c>
      <c r="M17" s="9">
        <v>2025</v>
      </c>
      <c r="N17" s="4" t="s">
        <v>1691</v>
      </c>
      <c r="O17" s="7" t="s">
        <v>1692</v>
      </c>
      <c r="P17" s="13" t="s">
        <v>1693</v>
      </c>
      <c r="Q17" s="29"/>
      <c r="R17" s="9" t="s">
        <v>1619</v>
      </c>
      <c r="S17" s="18"/>
      <c r="T17" s="18"/>
      <c r="U17" s="29"/>
      <c r="V17" s="429"/>
      <c r="W17" s="429"/>
      <c r="X17" s="429"/>
      <c r="Y17" s="429"/>
      <c r="Z17" s="429"/>
    </row>
    <row r="18" spans="1:26" ht="37.5" hidden="1" customHeight="1">
      <c r="A18" s="4" t="s">
        <v>73</v>
      </c>
      <c r="B18" s="4" t="s">
        <v>12</v>
      </c>
      <c r="C18" s="4" t="s">
        <v>106</v>
      </c>
      <c r="D18" s="4" t="s">
        <v>76</v>
      </c>
      <c r="E18" s="4" t="s">
        <v>0</v>
      </c>
      <c r="F18" s="112" t="s">
        <v>1694</v>
      </c>
      <c r="G18" s="27" t="s">
        <v>1695</v>
      </c>
      <c r="H18" s="15" t="s">
        <v>1696</v>
      </c>
      <c r="I18" s="4">
        <v>7</v>
      </c>
      <c r="J18" s="4" t="s">
        <v>1697</v>
      </c>
      <c r="K18" s="17">
        <v>20</v>
      </c>
      <c r="L18" s="4" t="s">
        <v>307</v>
      </c>
      <c r="M18" s="4">
        <v>2025</v>
      </c>
      <c r="N18" s="4" t="s">
        <v>1698</v>
      </c>
      <c r="O18" s="12" t="s">
        <v>1699</v>
      </c>
      <c r="P18" s="17"/>
      <c r="Q18" s="22"/>
      <c r="R18" s="4" t="s">
        <v>1636</v>
      </c>
      <c r="S18" s="428" t="s">
        <v>1700</v>
      </c>
      <c r="T18" s="17"/>
      <c r="U18" s="22"/>
      <c r="V18" s="429"/>
      <c r="W18" s="429"/>
      <c r="X18" s="429"/>
      <c r="Y18" s="429"/>
      <c r="Z18" s="429"/>
    </row>
    <row r="19" spans="1:26" ht="37.5" hidden="1" customHeight="1">
      <c r="A19" s="9" t="s">
        <v>73</v>
      </c>
      <c r="B19" s="9" t="s">
        <v>12</v>
      </c>
      <c r="C19" s="4" t="s">
        <v>106</v>
      </c>
      <c r="D19" s="9" t="s">
        <v>76</v>
      </c>
      <c r="E19" s="9" t="s">
        <v>0</v>
      </c>
      <c r="F19" s="112" t="s">
        <v>1701</v>
      </c>
      <c r="G19" s="9" t="s">
        <v>1702</v>
      </c>
      <c r="H19" s="15" t="s">
        <v>1696</v>
      </c>
      <c r="I19" s="9">
        <v>5</v>
      </c>
      <c r="J19" s="9" t="s">
        <v>1697</v>
      </c>
      <c r="K19" s="18">
        <v>30</v>
      </c>
      <c r="L19" s="9" t="s">
        <v>307</v>
      </c>
      <c r="M19" s="9">
        <v>2025</v>
      </c>
      <c r="N19" s="4" t="s">
        <v>1698</v>
      </c>
      <c r="O19" s="13" t="s">
        <v>1699</v>
      </c>
      <c r="P19" s="17"/>
      <c r="Q19" s="29"/>
      <c r="R19" s="9" t="s">
        <v>1619</v>
      </c>
      <c r="S19" s="430" t="s">
        <v>1700</v>
      </c>
      <c r="T19" s="18"/>
      <c r="U19" s="29"/>
      <c r="V19" s="429"/>
      <c r="W19" s="429"/>
      <c r="X19" s="429"/>
      <c r="Y19" s="429"/>
      <c r="Z19" s="429"/>
    </row>
    <row r="20" spans="1:26" ht="37.5" hidden="1" customHeight="1">
      <c r="A20" s="4" t="s">
        <v>73</v>
      </c>
      <c r="B20" s="4" t="s">
        <v>12</v>
      </c>
      <c r="C20" s="4" t="s">
        <v>106</v>
      </c>
      <c r="D20" s="4" t="s">
        <v>76</v>
      </c>
      <c r="E20" s="4" t="s">
        <v>0</v>
      </c>
      <c r="F20" s="112" t="s">
        <v>1703</v>
      </c>
      <c r="G20" s="219" t="s">
        <v>1704</v>
      </c>
      <c r="H20" s="15" t="s">
        <v>1705</v>
      </c>
      <c r="I20" s="4">
        <v>10</v>
      </c>
      <c r="J20" s="4" t="s">
        <v>1697</v>
      </c>
      <c r="K20" s="17">
        <v>38</v>
      </c>
      <c r="L20" s="4" t="s">
        <v>934</v>
      </c>
      <c r="M20" s="4">
        <v>2025</v>
      </c>
      <c r="N20" s="4" t="s">
        <v>1706</v>
      </c>
      <c r="O20" s="12" t="s">
        <v>1707</v>
      </c>
      <c r="P20" s="17"/>
      <c r="Q20" s="22"/>
      <c r="R20" s="4" t="s">
        <v>1619</v>
      </c>
      <c r="S20" s="12" t="s">
        <v>1708</v>
      </c>
      <c r="T20" s="17"/>
      <c r="U20" s="22"/>
      <c r="V20" s="429"/>
      <c r="W20" s="429"/>
      <c r="X20" s="429"/>
      <c r="Y20" s="429"/>
      <c r="Z20" s="429"/>
    </row>
    <row r="21" spans="1:26" ht="37.5" hidden="1" customHeight="1">
      <c r="A21" s="9" t="s">
        <v>73</v>
      </c>
      <c r="B21" s="9" t="s">
        <v>12</v>
      </c>
      <c r="C21" s="4" t="s">
        <v>106</v>
      </c>
      <c r="D21" s="9" t="s">
        <v>76</v>
      </c>
      <c r="E21" s="9" t="s">
        <v>0</v>
      </c>
      <c r="F21" s="112" t="s">
        <v>1709</v>
      </c>
      <c r="G21" s="219" t="s">
        <v>1710</v>
      </c>
      <c r="H21" s="15" t="s">
        <v>1705</v>
      </c>
      <c r="I21" s="9">
        <v>7</v>
      </c>
      <c r="J21" s="9" t="s">
        <v>1697</v>
      </c>
      <c r="K21" s="18">
        <v>22</v>
      </c>
      <c r="L21" s="9" t="s">
        <v>934</v>
      </c>
      <c r="M21" s="9">
        <v>2025</v>
      </c>
      <c r="N21" s="4" t="s">
        <v>1706</v>
      </c>
      <c r="O21" s="13" t="s">
        <v>1711</v>
      </c>
      <c r="P21" s="17"/>
      <c r="Q21" s="29"/>
      <c r="R21" s="9" t="s">
        <v>1712</v>
      </c>
      <c r="S21" s="13" t="s">
        <v>1713</v>
      </c>
      <c r="T21" s="18"/>
      <c r="U21" s="29"/>
      <c r="V21" s="429"/>
      <c r="W21" s="429"/>
      <c r="X21" s="429"/>
      <c r="Y21" s="429"/>
      <c r="Z21" s="429"/>
    </row>
    <row r="22" spans="1:26" ht="37.5" hidden="1" customHeight="1">
      <c r="A22" s="4" t="s">
        <v>78</v>
      </c>
      <c r="B22" s="4" t="s">
        <v>57</v>
      </c>
      <c r="C22" s="4" t="s">
        <v>109</v>
      </c>
      <c r="D22" s="4" t="s">
        <v>80</v>
      </c>
      <c r="E22" s="4" t="s">
        <v>2</v>
      </c>
      <c r="F22" s="4" t="s">
        <v>1714</v>
      </c>
      <c r="G22" s="4" t="s">
        <v>1715</v>
      </c>
      <c r="H22" s="4" t="s">
        <v>1545</v>
      </c>
      <c r="I22" s="4">
        <v>5</v>
      </c>
      <c r="J22" s="4" t="s">
        <v>1547</v>
      </c>
      <c r="K22" s="4" t="s">
        <v>1716</v>
      </c>
      <c r="L22" s="4" t="s">
        <v>634</v>
      </c>
      <c r="M22" s="9">
        <v>2025</v>
      </c>
      <c r="N22" s="4">
        <v>1032936436</v>
      </c>
      <c r="O22" s="4" t="s">
        <v>1717</v>
      </c>
      <c r="P22" s="7" t="s">
        <v>1718</v>
      </c>
      <c r="Q22" s="9" t="s">
        <v>228</v>
      </c>
      <c r="R22" s="4" t="s">
        <v>1719</v>
      </c>
      <c r="S22" s="17"/>
      <c r="T22" s="4">
        <v>1333</v>
      </c>
      <c r="U22" s="22"/>
      <c r="V22" s="429"/>
      <c r="W22" s="429"/>
      <c r="X22" s="429"/>
      <c r="Y22" s="429"/>
      <c r="Z22" s="429"/>
    </row>
    <row r="23" spans="1:26" ht="37.5" hidden="1" customHeight="1">
      <c r="A23" s="9" t="s">
        <v>78</v>
      </c>
      <c r="B23" s="9" t="s">
        <v>57</v>
      </c>
      <c r="C23" s="9" t="s">
        <v>534</v>
      </c>
      <c r="D23" s="9" t="s">
        <v>80</v>
      </c>
      <c r="E23" s="9" t="s">
        <v>2</v>
      </c>
      <c r="F23" s="9" t="s">
        <v>1720</v>
      </c>
      <c r="G23" s="9" t="s">
        <v>1721</v>
      </c>
      <c r="H23" s="9" t="s">
        <v>1545</v>
      </c>
      <c r="I23" s="9">
        <v>11</v>
      </c>
      <c r="J23" s="9" t="s">
        <v>1547</v>
      </c>
      <c r="K23" s="9" t="s">
        <v>1722</v>
      </c>
      <c r="L23" s="4" t="s">
        <v>634</v>
      </c>
      <c r="M23" s="9">
        <v>2025</v>
      </c>
      <c r="N23" s="9">
        <v>1032936436</v>
      </c>
      <c r="O23" s="9" t="s">
        <v>1723</v>
      </c>
      <c r="P23" s="12" t="s">
        <v>1718</v>
      </c>
      <c r="Q23" s="9" t="s">
        <v>228</v>
      </c>
      <c r="R23" s="9" t="s">
        <v>1719</v>
      </c>
      <c r="S23" s="18"/>
      <c r="T23" s="9">
        <v>1333</v>
      </c>
      <c r="U23" s="29"/>
      <c r="V23" s="429"/>
      <c r="W23" s="429"/>
      <c r="X23" s="429"/>
      <c r="Y23" s="429"/>
      <c r="Z23" s="429"/>
    </row>
    <row r="24" spans="1:26" ht="37.5" hidden="1" customHeight="1">
      <c r="A24" s="4" t="s">
        <v>78</v>
      </c>
      <c r="B24" s="4" t="s">
        <v>57</v>
      </c>
      <c r="C24" s="4" t="s">
        <v>1419</v>
      </c>
      <c r="D24" s="4" t="s">
        <v>80</v>
      </c>
      <c r="E24" s="4" t="s">
        <v>2</v>
      </c>
      <c r="F24" s="4" t="s">
        <v>1724</v>
      </c>
      <c r="G24" s="4" t="s">
        <v>1725</v>
      </c>
      <c r="H24" s="4" t="s">
        <v>1545</v>
      </c>
      <c r="I24" s="4">
        <v>13</v>
      </c>
      <c r="J24" s="4" t="s">
        <v>1547</v>
      </c>
      <c r="K24" s="4" t="s">
        <v>1726</v>
      </c>
      <c r="L24" s="4" t="s">
        <v>634</v>
      </c>
      <c r="M24" s="9">
        <v>2025</v>
      </c>
      <c r="N24" s="4">
        <v>1032936436</v>
      </c>
      <c r="O24" s="4" t="s">
        <v>1727</v>
      </c>
      <c r="P24" s="12" t="s">
        <v>1718</v>
      </c>
      <c r="Q24" s="9" t="s">
        <v>228</v>
      </c>
      <c r="R24" s="4" t="s">
        <v>1609</v>
      </c>
      <c r="S24" s="17"/>
      <c r="T24" s="4">
        <v>2000</v>
      </c>
      <c r="U24" s="22"/>
      <c r="V24" s="429"/>
      <c r="W24" s="429"/>
      <c r="X24" s="429"/>
      <c r="Y24" s="429"/>
      <c r="Z24" s="429"/>
    </row>
    <row r="25" spans="1:26" ht="37.5" hidden="1" customHeight="1">
      <c r="A25" s="9" t="s">
        <v>78</v>
      </c>
      <c r="B25" s="9" t="s">
        <v>57</v>
      </c>
      <c r="C25" s="9" t="s">
        <v>1422</v>
      </c>
      <c r="D25" s="9" t="s">
        <v>80</v>
      </c>
      <c r="E25" s="9" t="s">
        <v>2</v>
      </c>
      <c r="F25" s="9" t="s">
        <v>1728</v>
      </c>
      <c r="G25" s="9" t="s">
        <v>1729</v>
      </c>
      <c r="H25" s="9" t="s">
        <v>1730</v>
      </c>
      <c r="I25" s="9">
        <v>10</v>
      </c>
      <c r="J25" s="9" t="s">
        <v>1731</v>
      </c>
      <c r="K25" s="9" t="s">
        <v>1732</v>
      </c>
      <c r="L25" s="4"/>
      <c r="M25" s="9">
        <v>2026</v>
      </c>
      <c r="N25" s="9" t="s">
        <v>1733</v>
      </c>
      <c r="O25" s="44" t="s">
        <v>1734</v>
      </c>
      <c r="P25" s="45" t="s">
        <v>1735</v>
      </c>
      <c r="Q25" s="9" t="s">
        <v>228</v>
      </c>
      <c r="R25" s="9">
        <v>6</v>
      </c>
      <c r="S25" s="44" t="s">
        <v>1735</v>
      </c>
      <c r="T25" s="9"/>
      <c r="U25" s="29"/>
      <c r="V25" s="429"/>
      <c r="W25" s="429"/>
      <c r="X25" s="429"/>
      <c r="Y25" s="429"/>
      <c r="Z25" s="429"/>
    </row>
    <row r="26" spans="1:26" ht="37.5" hidden="1" customHeight="1">
      <c r="A26" s="4" t="s">
        <v>65</v>
      </c>
      <c r="B26" s="4" t="s">
        <v>19</v>
      </c>
      <c r="C26" s="4" t="s">
        <v>110</v>
      </c>
      <c r="D26" s="4" t="s">
        <v>67</v>
      </c>
      <c r="E26" s="4" t="s">
        <v>6</v>
      </c>
      <c r="F26" s="112" t="s">
        <v>1602</v>
      </c>
      <c r="G26" s="4" t="s">
        <v>1603</v>
      </c>
      <c r="H26" s="15" t="s">
        <v>1604</v>
      </c>
      <c r="I26" s="4">
        <v>21</v>
      </c>
      <c r="J26" s="4" t="s">
        <v>181</v>
      </c>
      <c r="K26" s="17" t="s">
        <v>1605</v>
      </c>
      <c r="L26" s="4" t="s">
        <v>168</v>
      </c>
      <c r="M26" s="4">
        <v>2025</v>
      </c>
      <c r="N26" s="4" t="s">
        <v>1606</v>
      </c>
      <c r="O26" s="12" t="s">
        <v>1736</v>
      </c>
      <c r="P26" s="428" t="s">
        <v>1608</v>
      </c>
      <c r="Q26" s="22" t="s">
        <v>228</v>
      </c>
      <c r="R26" s="4">
        <v>1</v>
      </c>
      <c r="S26" s="428" t="s">
        <v>1610</v>
      </c>
      <c r="T26" s="437">
        <v>6000</v>
      </c>
      <c r="U26" s="22"/>
      <c r="V26" s="429"/>
      <c r="W26" s="429"/>
      <c r="X26" s="429"/>
      <c r="Y26" s="429"/>
      <c r="Z26" s="429"/>
    </row>
    <row r="27" spans="1:26" ht="37.5" hidden="1" customHeight="1">
      <c r="A27" s="9" t="s">
        <v>65</v>
      </c>
      <c r="B27" s="9" t="s">
        <v>19</v>
      </c>
      <c r="C27" s="4" t="s">
        <v>110</v>
      </c>
      <c r="D27" s="9" t="s">
        <v>67</v>
      </c>
      <c r="E27" s="9" t="s">
        <v>6</v>
      </c>
      <c r="F27" s="112" t="s">
        <v>1737</v>
      </c>
      <c r="G27" s="4" t="s">
        <v>1738</v>
      </c>
      <c r="H27" s="15" t="s">
        <v>1739</v>
      </c>
      <c r="I27" s="9">
        <v>18</v>
      </c>
      <c r="J27" s="9" t="s">
        <v>1740</v>
      </c>
      <c r="K27" s="18" t="s">
        <v>1741</v>
      </c>
      <c r="L27" s="9" t="s">
        <v>168</v>
      </c>
      <c r="M27" s="9">
        <v>2025</v>
      </c>
      <c r="N27" s="4">
        <v>9781032802374</v>
      </c>
      <c r="O27" s="438" t="s">
        <v>1742</v>
      </c>
      <c r="P27" s="428" t="s">
        <v>1743</v>
      </c>
      <c r="Q27" s="29" t="s">
        <v>228</v>
      </c>
      <c r="R27" s="9">
        <v>1</v>
      </c>
      <c r="S27" s="430" t="s">
        <v>1744</v>
      </c>
      <c r="T27" s="9">
        <v>6000</v>
      </c>
      <c r="U27" s="29"/>
      <c r="V27" s="429"/>
      <c r="W27" s="429"/>
      <c r="X27" s="429"/>
      <c r="Y27" s="429"/>
      <c r="Z27" s="429"/>
    </row>
    <row r="28" spans="1:26" ht="37.5" hidden="1" customHeight="1">
      <c r="A28" s="4" t="s">
        <v>65</v>
      </c>
      <c r="B28" s="4" t="s">
        <v>19</v>
      </c>
      <c r="C28" s="4" t="s">
        <v>110</v>
      </c>
      <c r="D28" s="4" t="s">
        <v>67</v>
      </c>
      <c r="E28" s="4" t="s">
        <v>6</v>
      </c>
      <c r="F28" s="112" t="s">
        <v>1745</v>
      </c>
      <c r="G28" s="4" t="s">
        <v>1746</v>
      </c>
      <c r="H28" s="15" t="s">
        <v>1747</v>
      </c>
      <c r="I28" s="4">
        <v>16</v>
      </c>
      <c r="J28" s="4" t="s">
        <v>1748</v>
      </c>
      <c r="K28" s="17" t="s">
        <v>1749</v>
      </c>
      <c r="L28" s="4" t="s">
        <v>553</v>
      </c>
      <c r="M28" s="4">
        <v>2025</v>
      </c>
      <c r="N28" s="4">
        <v>9798369383421</v>
      </c>
      <c r="O28" s="439" t="s">
        <v>1750</v>
      </c>
      <c r="P28" s="428" t="s">
        <v>1751</v>
      </c>
      <c r="Q28" s="22" t="s">
        <v>228</v>
      </c>
      <c r="R28" s="4">
        <v>3</v>
      </c>
      <c r="S28" s="428" t="s">
        <v>1752</v>
      </c>
      <c r="T28" s="4">
        <v>1000</v>
      </c>
      <c r="U28" s="22"/>
      <c r="V28" s="429"/>
      <c r="W28" s="429"/>
      <c r="X28" s="429"/>
      <c r="Y28" s="429"/>
      <c r="Z28" s="429"/>
    </row>
    <row r="29" spans="1:26" ht="37.5" hidden="1" customHeight="1">
      <c r="A29" s="9" t="s">
        <v>65</v>
      </c>
      <c r="B29" s="9" t="s">
        <v>19</v>
      </c>
      <c r="C29" s="4" t="s">
        <v>110</v>
      </c>
      <c r="D29" s="9" t="s">
        <v>67</v>
      </c>
      <c r="E29" s="9" t="s">
        <v>6</v>
      </c>
      <c r="F29" s="112" t="s">
        <v>1753</v>
      </c>
      <c r="G29" s="4" t="s">
        <v>1634</v>
      </c>
      <c r="H29" s="15" t="s">
        <v>920</v>
      </c>
      <c r="I29" s="9">
        <v>7</v>
      </c>
      <c r="J29" s="9" t="s">
        <v>1547</v>
      </c>
      <c r="K29" s="18"/>
      <c r="L29" s="9" t="s">
        <v>390</v>
      </c>
      <c r="M29" s="9">
        <v>2025</v>
      </c>
      <c r="N29" s="4">
        <v>9781003593034</v>
      </c>
      <c r="O29" s="13" t="s">
        <v>1635</v>
      </c>
      <c r="P29" s="403"/>
      <c r="Q29" s="14" t="s">
        <v>228</v>
      </c>
      <c r="R29" s="9">
        <v>5</v>
      </c>
      <c r="S29" s="18"/>
      <c r="T29" s="9">
        <v>1000</v>
      </c>
      <c r="U29" s="29"/>
      <c r="V29" s="429"/>
      <c r="W29" s="429"/>
      <c r="X29" s="429"/>
      <c r="Y29" s="429"/>
      <c r="Z29" s="429"/>
    </row>
    <row r="30" spans="1:26" ht="37.5" hidden="1" customHeight="1">
      <c r="A30" s="4" t="s">
        <v>95</v>
      </c>
      <c r="B30" s="4" t="s">
        <v>56</v>
      </c>
      <c r="C30" s="4" t="s">
        <v>122</v>
      </c>
      <c r="D30" s="4" t="s">
        <v>67</v>
      </c>
      <c r="E30" s="4" t="s">
        <v>3</v>
      </c>
      <c r="F30" s="7" t="s">
        <v>1754</v>
      </c>
      <c r="G30" s="4" t="s">
        <v>1755</v>
      </c>
      <c r="H30" s="15" t="s">
        <v>920</v>
      </c>
      <c r="I30" s="4">
        <v>11</v>
      </c>
      <c r="J30" s="4" t="s">
        <v>1756</v>
      </c>
      <c r="K30" s="17"/>
      <c r="L30" s="4" t="s">
        <v>390</v>
      </c>
      <c r="M30" s="4">
        <v>2025</v>
      </c>
      <c r="N30" s="4">
        <v>9781003593034</v>
      </c>
      <c r="O30" s="12" t="s">
        <v>1757</v>
      </c>
      <c r="P30" s="12" t="s">
        <v>1758</v>
      </c>
      <c r="Q30" s="22"/>
      <c r="R30" s="4" t="s">
        <v>1619</v>
      </c>
      <c r="S30" s="12" t="s">
        <v>1759</v>
      </c>
      <c r="T30" s="4"/>
      <c r="U30" s="22"/>
      <c r="V30" s="429"/>
      <c r="W30" s="429"/>
      <c r="X30" s="429"/>
      <c r="Y30" s="429"/>
      <c r="Z30" s="429"/>
    </row>
    <row r="31" spans="1:26" ht="37.5" hidden="1" customHeight="1">
      <c r="A31" s="440" t="s">
        <v>68</v>
      </c>
      <c r="B31" s="441" t="s">
        <v>30</v>
      </c>
      <c r="C31" s="219" t="s">
        <v>153</v>
      </c>
      <c r="D31" s="441" t="s">
        <v>70</v>
      </c>
      <c r="E31" s="440" t="s">
        <v>5</v>
      </c>
      <c r="F31" s="440" t="s">
        <v>1674</v>
      </c>
      <c r="G31" s="440" t="s">
        <v>1675</v>
      </c>
      <c r="H31" s="440" t="s">
        <v>1676</v>
      </c>
      <c r="I31" s="442">
        <v>8</v>
      </c>
      <c r="J31" s="440" t="s">
        <v>190</v>
      </c>
      <c r="K31" s="443" t="s">
        <v>1677</v>
      </c>
      <c r="L31" s="440" t="s">
        <v>168</v>
      </c>
      <c r="M31" s="442">
        <v>2025</v>
      </c>
      <c r="N31" s="440" t="s">
        <v>1678</v>
      </c>
      <c r="O31" s="444" t="s">
        <v>1760</v>
      </c>
      <c r="P31" s="445" t="s">
        <v>1680</v>
      </c>
      <c r="Q31" s="443" t="s">
        <v>228</v>
      </c>
      <c r="R31" s="446" t="s">
        <v>1761</v>
      </c>
      <c r="S31" s="447"/>
      <c r="T31" s="448">
        <f>(15000*40/100)</f>
        <v>6000</v>
      </c>
      <c r="U31" s="449"/>
      <c r="V31" s="450"/>
      <c r="W31" s="450"/>
      <c r="X31" s="450"/>
      <c r="Y31" s="450"/>
      <c r="Z31" s="450"/>
    </row>
    <row r="32" spans="1:26" ht="42.75" hidden="1" customHeight="1">
      <c r="A32" s="9" t="s">
        <v>73</v>
      </c>
      <c r="B32" s="451" t="s">
        <v>15</v>
      </c>
      <c r="C32" s="4" t="s">
        <v>1762</v>
      </c>
      <c r="D32" s="9" t="s">
        <v>67</v>
      </c>
      <c r="E32" s="9" t="s">
        <v>0</v>
      </c>
      <c r="F32" s="452" t="s">
        <v>1763</v>
      </c>
      <c r="G32" s="453" t="s">
        <v>1764</v>
      </c>
      <c r="H32" s="454" t="s">
        <v>1545</v>
      </c>
      <c r="I32" s="279">
        <v>11</v>
      </c>
      <c r="J32" s="9" t="s">
        <v>1547</v>
      </c>
      <c r="K32" s="9" t="s">
        <v>1722</v>
      </c>
      <c r="L32" s="453" t="s">
        <v>634</v>
      </c>
      <c r="M32" s="279">
        <v>2025</v>
      </c>
      <c r="N32" s="9">
        <v>1032936436</v>
      </c>
      <c r="O32" s="9" t="s">
        <v>1723</v>
      </c>
      <c r="P32" s="12" t="s">
        <v>1718</v>
      </c>
      <c r="Q32" s="14" t="s">
        <v>228</v>
      </c>
      <c r="R32" s="279" t="s">
        <v>1761</v>
      </c>
      <c r="S32" s="455"/>
      <c r="T32" s="279">
        <v>6000</v>
      </c>
      <c r="U32" s="456"/>
      <c r="V32" s="457"/>
      <c r="W32" s="457"/>
      <c r="X32" s="457"/>
      <c r="Y32" s="457"/>
      <c r="Z32" s="457"/>
    </row>
    <row r="33" spans="1:26" ht="50.25" hidden="1" customHeight="1">
      <c r="A33" s="30" t="s">
        <v>73</v>
      </c>
      <c r="B33" s="458" t="s">
        <v>12</v>
      </c>
      <c r="C33" s="4" t="s">
        <v>106</v>
      </c>
      <c r="D33" s="30" t="s">
        <v>67</v>
      </c>
      <c r="E33" s="30" t="s">
        <v>0</v>
      </c>
      <c r="F33" s="459" t="s">
        <v>1765</v>
      </c>
      <c r="G33" s="460" t="s">
        <v>1766</v>
      </c>
      <c r="H33" s="461" t="s">
        <v>1767</v>
      </c>
      <c r="I33" s="164">
        <v>4</v>
      </c>
      <c r="J33" s="462" t="s">
        <v>1768</v>
      </c>
      <c r="K33" s="463" t="s">
        <v>1769</v>
      </c>
      <c r="L33" s="464" t="s">
        <v>634</v>
      </c>
      <c r="M33" s="164">
        <v>2025</v>
      </c>
      <c r="N33" s="465" t="s">
        <v>1770</v>
      </c>
      <c r="O33" s="177" t="s">
        <v>1771</v>
      </c>
      <c r="P33" s="177" t="s">
        <v>1772</v>
      </c>
      <c r="Q33" s="466" t="s">
        <v>228</v>
      </c>
      <c r="R33" s="30" t="s">
        <v>1619</v>
      </c>
      <c r="S33" s="467"/>
      <c r="T33" s="468"/>
      <c r="U33" s="469"/>
      <c r="V33" s="457"/>
      <c r="W33" s="457"/>
      <c r="X33" s="457"/>
      <c r="Y33" s="457"/>
      <c r="Z33" s="457"/>
    </row>
    <row r="34" spans="1:26" ht="37.5" hidden="1" customHeight="1">
      <c r="A34" s="30" t="s">
        <v>73</v>
      </c>
      <c r="B34" s="9" t="s">
        <v>45</v>
      </c>
      <c r="C34" s="9" t="s">
        <v>97</v>
      </c>
      <c r="D34" s="9" t="s">
        <v>67</v>
      </c>
      <c r="E34" s="30" t="s">
        <v>5</v>
      </c>
      <c r="F34" s="470" t="s">
        <v>1773</v>
      </c>
      <c r="G34" s="460" t="s">
        <v>1774</v>
      </c>
      <c r="H34" s="460" t="s">
        <v>1775</v>
      </c>
      <c r="I34" s="164">
        <v>4</v>
      </c>
      <c r="J34" s="462" t="s">
        <v>181</v>
      </c>
      <c r="K34" s="463" t="s">
        <v>1776</v>
      </c>
      <c r="L34" s="464" t="s">
        <v>613</v>
      </c>
      <c r="M34" s="164">
        <v>2025</v>
      </c>
      <c r="N34" s="463">
        <v>9781394348053</v>
      </c>
      <c r="O34" s="471" t="s">
        <v>1777</v>
      </c>
      <c r="P34" s="472" t="s">
        <v>1778</v>
      </c>
      <c r="Q34" s="466" t="s">
        <v>228</v>
      </c>
      <c r="R34" s="164" t="s">
        <v>1609</v>
      </c>
      <c r="S34" s="467"/>
      <c r="T34" s="473">
        <v>2500</v>
      </c>
      <c r="U34" s="469"/>
      <c r="V34" s="457"/>
      <c r="W34" s="457"/>
      <c r="X34" s="457"/>
      <c r="Y34" s="457"/>
      <c r="Z34" s="457"/>
    </row>
    <row r="35" spans="1:26" ht="68.25" hidden="1" customHeight="1">
      <c r="A35" s="30" t="s">
        <v>73</v>
      </c>
      <c r="B35" s="474" t="s">
        <v>12</v>
      </c>
      <c r="C35" s="4" t="s">
        <v>106</v>
      </c>
      <c r="D35" s="4" t="s">
        <v>67</v>
      </c>
      <c r="E35" s="30" t="s">
        <v>0</v>
      </c>
      <c r="F35" s="475" t="s">
        <v>1779</v>
      </c>
      <c r="G35" s="476" t="s">
        <v>1780</v>
      </c>
      <c r="H35" s="30" t="s">
        <v>1570</v>
      </c>
      <c r="I35" s="164"/>
      <c r="J35" s="462" t="s">
        <v>181</v>
      </c>
      <c r="K35" s="463" t="s">
        <v>1781</v>
      </c>
      <c r="L35" s="464" t="s">
        <v>634</v>
      </c>
      <c r="M35" s="164">
        <v>2025</v>
      </c>
      <c r="N35" s="477" t="s">
        <v>1782</v>
      </c>
      <c r="O35" s="185" t="s">
        <v>1783</v>
      </c>
      <c r="P35" s="177" t="s">
        <v>1784</v>
      </c>
      <c r="Q35" s="466" t="s">
        <v>228</v>
      </c>
      <c r="R35" s="30" t="s">
        <v>1619</v>
      </c>
      <c r="S35" s="467"/>
      <c r="T35" s="468"/>
      <c r="U35" s="469"/>
      <c r="V35" s="457"/>
      <c r="W35" s="457"/>
      <c r="X35" s="457"/>
      <c r="Y35" s="457"/>
      <c r="Z35" s="457"/>
    </row>
    <row r="36" spans="1:26" ht="18" hidden="1" customHeight="1">
      <c r="A36" s="30" t="s">
        <v>95</v>
      </c>
      <c r="B36" s="478" t="s">
        <v>131</v>
      </c>
      <c r="C36" s="279"/>
      <c r="D36" s="279" t="s">
        <v>132</v>
      </c>
      <c r="E36" s="464" t="s">
        <v>1390</v>
      </c>
      <c r="F36" s="479" t="s">
        <v>1785</v>
      </c>
      <c r="G36" s="480" t="s">
        <v>1786</v>
      </c>
      <c r="H36" s="480" t="s">
        <v>1786</v>
      </c>
      <c r="I36" s="164">
        <v>3</v>
      </c>
      <c r="J36" s="462" t="s">
        <v>181</v>
      </c>
      <c r="K36" s="481"/>
      <c r="L36" s="464"/>
      <c r="M36" s="164">
        <v>2026</v>
      </c>
      <c r="N36" s="465"/>
      <c r="O36" s="185" t="s">
        <v>1787</v>
      </c>
      <c r="P36" s="472" t="s">
        <v>1788</v>
      </c>
      <c r="Q36" s="482" t="s">
        <v>228</v>
      </c>
      <c r="R36" s="164" t="s">
        <v>1636</v>
      </c>
      <c r="S36" s="482" t="s">
        <v>1788</v>
      </c>
      <c r="T36" s="468"/>
      <c r="U36" s="469"/>
      <c r="V36" s="457"/>
      <c r="W36" s="457"/>
      <c r="X36" s="457"/>
      <c r="Y36" s="457"/>
      <c r="Z36" s="457"/>
    </row>
    <row r="37" spans="1:26" ht="18" hidden="1" customHeight="1">
      <c r="A37" s="30" t="s">
        <v>73</v>
      </c>
      <c r="B37" s="458"/>
      <c r="C37" s="483"/>
      <c r="D37" s="464"/>
      <c r="E37" s="464"/>
      <c r="F37" s="484"/>
      <c r="G37" s="460"/>
      <c r="H37" s="485"/>
      <c r="I37" s="164"/>
      <c r="J37" s="462"/>
      <c r="K37" s="481"/>
      <c r="L37" s="464"/>
      <c r="M37" s="164"/>
      <c r="N37" s="465"/>
      <c r="O37" s="462"/>
      <c r="P37" s="486"/>
      <c r="Q37" s="487"/>
      <c r="R37" s="164"/>
      <c r="S37" s="467"/>
      <c r="T37" s="468"/>
      <c r="U37" s="469"/>
      <c r="V37" s="457"/>
      <c r="W37" s="457"/>
      <c r="X37" s="457"/>
      <c r="Y37" s="457"/>
      <c r="Z37" s="457"/>
    </row>
    <row r="38" spans="1:26" ht="18" customHeight="1">
      <c r="A38" s="464"/>
      <c r="B38" s="458"/>
      <c r="C38" s="483"/>
      <c r="D38" s="464"/>
      <c r="E38" s="464"/>
      <c r="F38" s="484"/>
      <c r="G38" s="460"/>
      <c r="H38" s="485"/>
      <c r="I38" s="164"/>
      <c r="J38" s="462"/>
      <c r="K38" s="481"/>
      <c r="L38" s="464"/>
      <c r="M38" s="164"/>
      <c r="N38" s="465"/>
      <c r="O38" s="462"/>
      <c r="P38" s="486"/>
      <c r="Q38" s="487"/>
      <c r="R38" s="164"/>
      <c r="S38" s="467"/>
      <c r="T38" s="468"/>
      <c r="U38" s="469"/>
      <c r="V38" s="457"/>
      <c r="W38" s="457"/>
      <c r="X38" s="457"/>
      <c r="Y38" s="457"/>
      <c r="Z38" s="457"/>
    </row>
    <row r="39" spans="1:26" ht="18" customHeight="1">
      <c r="A39" s="464"/>
      <c r="B39" s="458"/>
      <c r="C39" s="483"/>
      <c r="D39" s="464"/>
      <c r="E39" s="464"/>
      <c r="F39" s="484"/>
      <c r="G39" s="460"/>
      <c r="H39" s="485"/>
      <c r="I39" s="164"/>
      <c r="J39" s="462"/>
      <c r="K39" s="481"/>
      <c r="L39" s="464"/>
      <c r="M39" s="164"/>
      <c r="N39" s="465"/>
      <c r="O39" s="462"/>
      <c r="P39" s="486"/>
      <c r="Q39" s="487"/>
      <c r="R39" s="164"/>
      <c r="S39" s="467"/>
      <c r="T39" s="468"/>
      <c r="U39" s="469"/>
      <c r="V39" s="457"/>
      <c r="W39" s="457"/>
      <c r="X39" s="457"/>
      <c r="Y39" s="457"/>
      <c r="Z39" s="457"/>
    </row>
    <row r="40" spans="1:26" ht="18" customHeight="1">
      <c r="A40" s="464"/>
      <c r="B40" s="458"/>
      <c r="C40" s="483"/>
      <c r="D40" s="464"/>
      <c r="E40" s="464"/>
      <c r="F40" s="484"/>
      <c r="G40" s="460"/>
      <c r="H40" s="485"/>
      <c r="I40" s="164"/>
      <c r="J40" s="462"/>
      <c r="K40" s="481"/>
      <c r="L40" s="464"/>
      <c r="M40" s="164"/>
      <c r="N40" s="465"/>
      <c r="O40" s="462"/>
      <c r="P40" s="486"/>
      <c r="Q40" s="487"/>
      <c r="R40" s="164"/>
      <c r="S40" s="467"/>
      <c r="T40" s="468"/>
      <c r="U40" s="469"/>
      <c r="V40" s="457"/>
      <c r="W40" s="457"/>
      <c r="X40" s="457"/>
      <c r="Y40" s="457"/>
      <c r="Z40" s="457"/>
    </row>
    <row r="41" spans="1:26" ht="18" customHeight="1">
      <c r="A41" s="464"/>
      <c r="B41" s="458"/>
      <c r="C41" s="483"/>
      <c r="D41" s="464"/>
      <c r="E41" s="464"/>
      <c r="F41" s="484"/>
      <c r="G41" s="460"/>
      <c r="H41" s="485"/>
      <c r="I41" s="164"/>
      <c r="J41" s="462"/>
      <c r="K41" s="481"/>
      <c r="L41" s="464"/>
      <c r="M41" s="164"/>
      <c r="N41" s="465"/>
      <c r="O41" s="462"/>
      <c r="P41" s="486"/>
      <c r="Q41" s="487"/>
      <c r="R41" s="164"/>
      <c r="S41" s="467"/>
      <c r="T41" s="468"/>
      <c r="U41" s="469"/>
      <c r="V41" s="457"/>
      <c r="W41" s="457"/>
      <c r="X41" s="457"/>
      <c r="Y41" s="457"/>
      <c r="Z41" s="457"/>
    </row>
    <row r="42" spans="1:26" ht="18" customHeight="1">
      <c r="A42" s="464"/>
      <c r="B42" s="458"/>
      <c r="C42" s="483"/>
      <c r="D42" s="464"/>
      <c r="E42" s="464"/>
      <c r="F42" s="484"/>
      <c r="G42" s="460"/>
      <c r="H42" s="485"/>
      <c r="I42" s="164"/>
      <c r="J42" s="462"/>
      <c r="K42" s="481"/>
      <c r="L42" s="464"/>
      <c r="M42" s="164"/>
      <c r="N42" s="465"/>
      <c r="O42" s="462"/>
      <c r="P42" s="486"/>
      <c r="Q42" s="487"/>
      <c r="R42" s="164"/>
      <c r="S42" s="467"/>
      <c r="T42" s="468"/>
      <c r="U42" s="469"/>
      <c r="V42" s="457"/>
      <c r="W42" s="457"/>
      <c r="X42" s="457"/>
      <c r="Y42" s="457"/>
      <c r="Z42" s="457"/>
    </row>
    <row r="43" spans="1:26" ht="18" customHeight="1">
      <c r="A43" s="464"/>
      <c r="B43" s="458"/>
      <c r="C43" s="483"/>
      <c r="D43" s="464"/>
      <c r="E43" s="464"/>
      <c r="F43" s="484"/>
      <c r="G43" s="460"/>
      <c r="H43" s="485"/>
      <c r="I43" s="164"/>
      <c r="J43" s="462"/>
      <c r="K43" s="481"/>
      <c r="L43" s="464"/>
      <c r="M43" s="164"/>
      <c r="N43" s="465"/>
      <c r="O43" s="462"/>
      <c r="P43" s="486"/>
      <c r="Q43" s="487"/>
      <c r="R43" s="164"/>
      <c r="S43" s="467"/>
      <c r="T43" s="468"/>
      <c r="U43" s="469"/>
      <c r="V43" s="457"/>
      <c r="W43" s="457"/>
      <c r="X43" s="457"/>
      <c r="Y43" s="457"/>
      <c r="Z43" s="457"/>
    </row>
    <row r="44" spans="1:26" ht="18" customHeight="1">
      <c r="A44" s="464"/>
      <c r="B44" s="458"/>
      <c r="C44" s="483"/>
      <c r="D44" s="464"/>
      <c r="E44" s="464"/>
      <c r="F44" s="484"/>
      <c r="G44" s="460"/>
      <c r="H44" s="485"/>
      <c r="I44" s="164"/>
      <c r="J44" s="462"/>
      <c r="K44" s="481"/>
      <c r="L44" s="464"/>
      <c r="M44" s="164"/>
      <c r="N44" s="465"/>
      <c r="O44" s="462"/>
      <c r="P44" s="486"/>
      <c r="Q44" s="487"/>
      <c r="R44" s="164"/>
      <c r="S44" s="467"/>
      <c r="T44" s="468"/>
      <c r="U44" s="469"/>
      <c r="V44" s="457"/>
      <c r="W44" s="457"/>
      <c r="X44" s="457"/>
      <c r="Y44" s="457"/>
      <c r="Z44" s="457"/>
    </row>
    <row r="45" spans="1:26" ht="18" customHeight="1">
      <c r="A45" s="464"/>
      <c r="B45" s="458"/>
      <c r="C45" s="483"/>
      <c r="D45" s="464"/>
      <c r="E45" s="464"/>
      <c r="F45" s="484"/>
      <c r="G45" s="460"/>
      <c r="H45" s="485"/>
      <c r="I45" s="164"/>
      <c r="J45" s="462"/>
      <c r="K45" s="481"/>
      <c r="L45" s="464"/>
      <c r="M45" s="164"/>
      <c r="N45" s="465"/>
      <c r="O45" s="462"/>
      <c r="P45" s="486"/>
      <c r="Q45" s="487"/>
      <c r="R45" s="164"/>
      <c r="S45" s="467"/>
      <c r="T45" s="468"/>
      <c r="U45" s="469"/>
      <c r="V45" s="457"/>
      <c r="W45" s="457"/>
      <c r="X45" s="457"/>
      <c r="Y45" s="457"/>
      <c r="Z45" s="457"/>
    </row>
    <row r="46" spans="1:26" ht="18" customHeight="1">
      <c r="A46" s="464"/>
      <c r="B46" s="458"/>
      <c r="C46" s="483"/>
      <c r="D46" s="464"/>
      <c r="E46" s="464"/>
      <c r="F46" s="484"/>
      <c r="G46" s="460"/>
      <c r="H46" s="485"/>
      <c r="I46" s="164"/>
      <c r="J46" s="462"/>
      <c r="K46" s="481"/>
      <c r="L46" s="464"/>
      <c r="M46" s="164"/>
      <c r="N46" s="465"/>
      <c r="O46" s="462"/>
      <c r="P46" s="486"/>
      <c r="Q46" s="487"/>
      <c r="R46" s="164"/>
      <c r="S46" s="467"/>
      <c r="T46" s="468"/>
      <c r="U46" s="469"/>
      <c r="V46" s="457"/>
      <c r="W46" s="457"/>
      <c r="X46" s="457"/>
      <c r="Y46" s="457"/>
      <c r="Z46" s="457"/>
    </row>
    <row r="47" spans="1:26" ht="18" customHeight="1">
      <c r="A47" s="464"/>
      <c r="B47" s="458"/>
      <c r="C47" s="483"/>
      <c r="D47" s="464"/>
      <c r="E47" s="464"/>
      <c r="F47" s="484"/>
      <c r="G47" s="460"/>
      <c r="H47" s="485"/>
      <c r="I47" s="164"/>
      <c r="J47" s="462"/>
      <c r="K47" s="481"/>
      <c r="L47" s="464"/>
      <c r="M47" s="164"/>
      <c r="N47" s="465"/>
      <c r="O47" s="462"/>
      <c r="P47" s="486"/>
      <c r="Q47" s="487"/>
      <c r="R47" s="164"/>
      <c r="S47" s="467"/>
      <c r="T47" s="468"/>
      <c r="U47" s="469"/>
      <c r="V47" s="457"/>
      <c r="W47" s="457"/>
      <c r="X47" s="457"/>
      <c r="Y47" s="457"/>
      <c r="Z47" s="457"/>
    </row>
    <row r="48" spans="1:26" ht="18" customHeight="1">
      <c r="A48" s="464"/>
      <c r="B48" s="458"/>
      <c r="C48" s="483"/>
      <c r="D48" s="464"/>
      <c r="E48" s="464"/>
      <c r="F48" s="484"/>
      <c r="G48" s="460"/>
      <c r="H48" s="485"/>
      <c r="I48" s="164"/>
      <c r="J48" s="462"/>
      <c r="K48" s="481"/>
      <c r="L48" s="464"/>
      <c r="M48" s="164"/>
      <c r="N48" s="465"/>
      <c r="O48" s="462"/>
      <c r="P48" s="486"/>
      <c r="Q48" s="487"/>
      <c r="R48" s="164"/>
      <c r="S48" s="467"/>
      <c r="T48" s="468"/>
      <c r="U48" s="469"/>
      <c r="V48" s="457"/>
      <c r="W48" s="457"/>
      <c r="X48" s="457"/>
      <c r="Y48" s="457"/>
      <c r="Z48" s="457"/>
    </row>
    <row r="49" spans="1:26" ht="18" customHeight="1">
      <c r="A49" s="464"/>
      <c r="B49" s="458"/>
      <c r="C49" s="483"/>
      <c r="D49" s="464"/>
      <c r="E49" s="464"/>
      <c r="F49" s="484"/>
      <c r="G49" s="460"/>
      <c r="H49" s="485"/>
      <c r="I49" s="164"/>
      <c r="J49" s="462"/>
      <c r="K49" s="481"/>
      <c r="L49" s="464"/>
      <c r="M49" s="164"/>
      <c r="N49" s="465"/>
      <c r="O49" s="462"/>
      <c r="P49" s="486"/>
      <c r="Q49" s="487"/>
      <c r="R49" s="164"/>
      <c r="S49" s="467"/>
      <c r="T49" s="468"/>
      <c r="U49" s="469"/>
      <c r="V49" s="457"/>
      <c r="W49" s="457"/>
      <c r="X49" s="457"/>
      <c r="Y49" s="457"/>
      <c r="Z49" s="457"/>
    </row>
    <row r="50" spans="1:26" ht="18" customHeight="1">
      <c r="A50" s="464"/>
      <c r="B50" s="458"/>
      <c r="C50" s="483"/>
      <c r="D50" s="464"/>
      <c r="E50" s="464"/>
      <c r="F50" s="484"/>
      <c r="G50" s="460"/>
      <c r="H50" s="485"/>
      <c r="I50" s="164"/>
      <c r="J50" s="462"/>
      <c r="K50" s="481"/>
      <c r="L50" s="464"/>
      <c r="M50" s="164"/>
      <c r="N50" s="465"/>
      <c r="O50" s="462"/>
      <c r="P50" s="486"/>
      <c r="Q50" s="487"/>
      <c r="R50" s="164"/>
      <c r="S50" s="467"/>
      <c r="T50" s="468"/>
      <c r="U50" s="469"/>
      <c r="V50" s="457"/>
      <c r="W50" s="457"/>
      <c r="X50" s="457"/>
      <c r="Y50" s="457"/>
      <c r="Z50" s="457"/>
    </row>
    <row r="51" spans="1:26" ht="18" customHeight="1">
      <c r="A51" s="464"/>
      <c r="B51" s="458"/>
      <c r="C51" s="483"/>
      <c r="D51" s="464"/>
      <c r="E51" s="464"/>
      <c r="F51" s="484"/>
      <c r="G51" s="460"/>
      <c r="H51" s="485"/>
      <c r="I51" s="164"/>
      <c r="J51" s="462"/>
      <c r="K51" s="481"/>
      <c r="L51" s="464"/>
      <c r="M51" s="164"/>
      <c r="N51" s="465"/>
      <c r="O51" s="462"/>
      <c r="P51" s="486"/>
      <c r="Q51" s="487"/>
      <c r="R51" s="164"/>
      <c r="S51" s="467"/>
      <c r="T51" s="468"/>
      <c r="U51" s="469"/>
      <c r="V51" s="457"/>
      <c r="W51" s="457"/>
      <c r="X51" s="457"/>
      <c r="Y51" s="457"/>
      <c r="Z51" s="457"/>
    </row>
    <row r="52" spans="1:26" ht="18" customHeight="1">
      <c r="A52" s="464"/>
      <c r="B52" s="458"/>
      <c r="C52" s="483"/>
      <c r="D52" s="464"/>
      <c r="E52" s="464"/>
      <c r="F52" s="484"/>
      <c r="G52" s="460"/>
      <c r="H52" s="485"/>
      <c r="I52" s="164"/>
      <c r="J52" s="462"/>
      <c r="K52" s="481"/>
      <c r="L52" s="464"/>
      <c r="M52" s="164"/>
      <c r="N52" s="465"/>
      <c r="O52" s="462"/>
      <c r="P52" s="486"/>
      <c r="Q52" s="487"/>
      <c r="R52" s="164"/>
      <c r="S52" s="467"/>
      <c r="T52" s="468"/>
      <c r="U52" s="469"/>
      <c r="V52" s="457"/>
      <c r="W52" s="457"/>
      <c r="X52" s="457"/>
      <c r="Y52" s="457"/>
      <c r="Z52" s="457"/>
    </row>
    <row r="53" spans="1:26" ht="18" customHeight="1">
      <c r="A53" s="464"/>
      <c r="B53" s="458"/>
      <c r="C53" s="483"/>
      <c r="D53" s="464"/>
      <c r="E53" s="464"/>
      <c r="F53" s="484"/>
      <c r="G53" s="460"/>
      <c r="H53" s="485"/>
      <c r="I53" s="164"/>
      <c r="J53" s="462"/>
      <c r="K53" s="481"/>
      <c r="L53" s="464"/>
      <c r="M53" s="164"/>
      <c r="N53" s="465"/>
      <c r="O53" s="462"/>
      <c r="P53" s="486"/>
      <c r="Q53" s="487"/>
      <c r="R53" s="164"/>
      <c r="S53" s="467"/>
      <c r="T53" s="468"/>
      <c r="U53" s="469"/>
      <c r="V53" s="457"/>
      <c r="W53" s="457"/>
      <c r="X53" s="457"/>
      <c r="Y53" s="457"/>
      <c r="Z53" s="457"/>
    </row>
    <row r="54" spans="1:26" ht="18" customHeight="1">
      <c r="A54" s="464"/>
      <c r="B54" s="458"/>
      <c r="C54" s="483"/>
      <c r="D54" s="464"/>
      <c r="E54" s="464"/>
      <c r="F54" s="484"/>
      <c r="G54" s="460"/>
      <c r="H54" s="485"/>
      <c r="I54" s="164"/>
      <c r="J54" s="462"/>
      <c r="K54" s="481"/>
      <c r="L54" s="464"/>
      <c r="M54" s="164"/>
      <c r="N54" s="465"/>
      <c r="O54" s="462"/>
      <c r="P54" s="486"/>
      <c r="Q54" s="487"/>
      <c r="R54" s="164"/>
      <c r="S54" s="467"/>
      <c r="T54" s="468"/>
      <c r="U54" s="469"/>
      <c r="V54" s="457"/>
      <c r="W54" s="457"/>
      <c r="X54" s="457"/>
      <c r="Y54" s="457"/>
      <c r="Z54" s="457"/>
    </row>
    <row r="55" spans="1:26" ht="18" customHeight="1">
      <c r="A55" s="464"/>
      <c r="B55" s="458"/>
      <c r="C55" s="483"/>
      <c r="D55" s="464"/>
      <c r="E55" s="464"/>
      <c r="F55" s="484"/>
      <c r="G55" s="460"/>
      <c r="H55" s="485"/>
      <c r="I55" s="164"/>
      <c r="J55" s="462"/>
      <c r="K55" s="481"/>
      <c r="L55" s="464"/>
      <c r="M55" s="164"/>
      <c r="N55" s="465"/>
      <c r="O55" s="462"/>
      <c r="P55" s="486"/>
      <c r="Q55" s="487"/>
      <c r="R55" s="164"/>
      <c r="S55" s="467"/>
      <c r="T55" s="468"/>
      <c r="U55" s="469"/>
      <c r="V55" s="457"/>
      <c r="W55" s="457"/>
      <c r="X55" s="457"/>
      <c r="Y55" s="457"/>
      <c r="Z55" s="457"/>
    </row>
    <row r="56" spans="1:26" ht="18" customHeight="1">
      <c r="A56" s="464"/>
      <c r="B56" s="458"/>
      <c r="C56" s="483"/>
      <c r="D56" s="464"/>
      <c r="E56" s="464"/>
      <c r="F56" s="484"/>
      <c r="G56" s="460"/>
      <c r="H56" s="485"/>
      <c r="I56" s="164"/>
      <c r="J56" s="462"/>
      <c r="K56" s="481"/>
      <c r="L56" s="464"/>
      <c r="M56" s="164"/>
      <c r="N56" s="465"/>
      <c r="O56" s="462"/>
      <c r="P56" s="486"/>
      <c r="Q56" s="487"/>
      <c r="R56" s="164"/>
      <c r="S56" s="467"/>
      <c r="T56" s="468"/>
      <c r="U56" s="469"/>
      <c r="V56" s="457"/>
      <c r="W56" s="457"/>
      <c r="X56" s="457"/>
      <c r="Y56" s="457"/>
      <c r="Z56" s="457"/>
    </row>
    <row r="57" spans="1:26" ht="18" customHeight="1">
      <c r="A57" s="464"/>
      <c r="B57" s="458"/>
      <c r="C57" s="483"/>
      <c r="D57" s="464"/>
      <c r="E57" s="464"/>
      <c r="F57" s="484"/>
      <c r="G57" s="460"/>
      <c r="H57" s="485"/>
      <c r="I57" s="164"/>
      <c r="J57" s="462"/>
      <c r="K57" s="481"/>
      <c r="L57" s="464"/>
      <c r="M57" s="164"/>
      <c r="N57" s="465"/>
      <c r="O57" s="462"/>
      <c r="P57" s="486"/>
      <c r="Q57" s="487"/>
      <c r="R57" s="164"/>
      <c r="S57" s="467"/>
      <c r="T57" s="468"/>
      <c r="U57" s="469"/>
      <c r="V57" s="457"/>
      <c r="W57" s="457"/>
      <c r="X57" s="457"/>
      <c r="Y57" s="457"/>
      <c r="Z57" s="457"/>
    </row>
    <row r="58" spans="1:26" ht="18" customHeight="1">
      <c r="A58" s="464"/>
      <c r="B58" s="458"/>
      <c r="C58" s="483"/>
      <c r="D58" s="464"/>
      <c r="E58" s="464"/>
      <c r="F58" s="484"/>
      <c r="G58" s="460"/>
      <c r="H58" s="485"/>
      <c r="I58" s="164"/>
      <c r="J58" s="462"/>
      <c r="K58" s="481"/>
      <c r="L58" s="464"/>
      <c r="M58" s="164"/>
      <c r="N58" s="465"/>
      <c r="O58" s="462"/>
      <c r="P58" s="486"/>
      <c r="Q58" s="487"/>
      <c r="R58" s="164"/>
      <c r="S58" s="467"/>
      <c r="T58" s="468"/>
      <c r="U58" s="469"/>
      <c r="V58" s="457"/>
      <c r="W58" s="457"/>
      <c r="X58" s="457"/>
      <c r="Y58" s="457"/>
      <c r="Z58" s="457"/>
    </row>
    <row r="59" spans="1:26" ht="18" customHeight="1">
      <c r="A59" s="464"/>
      <c r="B59" s="458"/>
      <c r="C59" s="483"/>
      <c r="D59" s="464"/>
      <c r="E59" s="464"/>
      <c r="F59" s="484"/>
      <c r="G59" s="460"/>
      <c r="H59" s="485"/>
      <c r="I59" s="164"/>
      <c r="J59" s="462"/>
      <c r="K59" s="481"/>
      <c r="L59" s="464"/>
      <c r="M59" s="164"/>
      <c r="N59" s="465"/>
      <c r="O59" s="462"/>
      <c r="P59" s="486"/>
      <c r="Q59" s="487"/>
      <c r="R59" s="164"/>
      <c r="S59" s="467"/>
      <c r="T59" s="468"/>
      <c r="U59" s="469"/>
      <c r="V59" s="457"/>
      <c r="W59" s="457"/>
      <c r="X59" s="457"/>
      <c r="Y59" s="457"/>
      <c r="Z59" s="457"/>
    </row>
    <row r="60" spans="1:26" ht="18" customHeight="1">
      <c r="A60" s="464"/>
      <c r="B60" s="458"/>
      <c r="C60" s="483"/>
      <c r="D60" s="464"/>
      <c r="E60" s="464"/>
      <c r="F60" s="484"/>
      <c r="G60" s="460"/>
      <c r="H60" s="485"/>
      <c r="I60" s="164"/>
      <c r="J60" s="462"/>
      <c r="K60" s="481"/>
      <c r="L60" s="464"/>
      <c r="M60" s="164"/>
      <c r="N60" s="465"/>
      <c r="O60" s="462"/>
      <c r="P60" s="486"/>
      <c r="Q60" s="487"/>
      <c r="R60" s="164"/>
      <c r="S60" s="467"/>
      <c r="T60" s="468"/>
      <c r="U60" s="469"/>
      <c r="V60" s="457"/>
      <c r="W60" s="457"/>
      <c r="X60" s="457"/>
      <c r="Y60" s="457"/>
      <c r="Z60" s="457"/>
    </row>
    <row r="61" spans="1:26" ht="18" customHeight="1">
      <c r="A61" s="464"/>
      <c r="B61" s="458"/>
      <c r="C61" s="483"/>
      <c r="D61" s="464"/>
      <c r="E61" s="464"/>
      <c r="F61" s="484"/>
      <c r="G61" s="460"/>
      <c r="H61" s="485"/>
      <c r="I61" s="164"/>
      <c r="J61" s="462"/>
      <c r="K61" s="481"/>
      <c r="L61" s="464"/>
      <c r="M61" s="164"/>
      <c r="N61" s="465"/>
      <c r="O61" s="462"/>
      <c r="P61" s="486"/>
      <c r="Q61" s="487"/>
      <c r="R61" s="164"/>
      <c r="S61" s="467"/>
      <c r="T61" s="468"/>
      <c r="U61" s="469"/>
      <c r="V61" s="457"/>
      <c r="W61" s="457"/>
      <c r="X61" s="457"/>
      <c r="Y61" s="457"/>
      <c r="Z61" s="457"/>
    </row>
    <row r="62" spans="1:26" ht="18" customHeight="1">
      <c r="A62" s="464"/>
      <c r="B62" s="458"/>
      <c r="C62" s="483"/>
      <c r="D62" s="464"/>
      <c r="E62" s="464"/>
      <c r="F62" s="484"/>
      <c r="G62" s="460"/>
      <c r="H62" s="485"/>
      <c r="I62" s="164"/>
      <c r="J62" s="462"/>
      <c r="K62" s="481"/>
      <c r="L62" s="464"/>
      <c r="M62" s="164"/>
      <c r="N62" s="465"/>
      <c r="O62" s="462"/>
      <c r="P62" s="486"/>
      <c r="Q62" s="487"/>
      <c r="R62" s="164"/>
      <c r="S62" s="467"/>
      <c r="T62" s="468"/>
      <c r="U62" s="469"/>
      <c r="V62" s="457"/>
      <c r="W62" s="457"/>
      <c r="X62" s="457"/>
      <c r="Y62" s="457"/>
      <c r="Z62" s="457"/>
    </row>
    <row r="63" spans="1:26" ht="18" customHeight="1">
      <c r="A63" s="464"/>
      <c r="B63" s="458"/>
      <c r="C63" s="483"/>
      <c r="D63" s="464"/>
      <c r="E63" s="464"/>
      <c r="F63" s="484"/>
      <c r="G63" s="460"/>
      <c r="H63" s="485"/>
      <c r="I63" s="164"/>
      <c r="J63" s="462"/>
      <c r="K63" s="481"/>
      <c r="L63" s="464"/>
      <c r="M63" s="164"/>
      <c r="N63" s="465"/>
      <c r="O63" s="462"/>
      <c r="P63" s="486"/>
      <c r="Q63" s="487"/>
      <c r="R63" s="164"/>
      <c r="S63" s="467"/>
      <c r="T63" s="468"/>
      <c r="U63" s="469"/>
      <c r="V63" s="457"/>
      <c r="W63" s="457"/>
      <c r="X63" s="457"/>
      <c r="Y63" s="457"/>
      <c r="Z63" s="457"/>
    </row>
    <row r="64" spans="1:26" ht="18" customHeight="1">
      <c r="A64" s="464"/>
      <c r="B64" s="458"/>
      <c r="C64" s="483"/>
      <c r="D64" s="464"/>
      <c r="E64" s="464"/>
      <c r="F64" s="484"/>
      <c r="G64" s="460"/>
      <c r="H64" s="485"/>
      <c r="I64" s="164"/>
      <c r="J64" s="462"/>
      <c r="K64" s="481"/>
      <c r="L64" s="464"/>
      <c r="M64" s="164"/>
      <c r="N64" s="465"/>
      <c r="O64" s="462"/>
      <c r="P64" s="486"/>
      <c r="Q64" s="487"/>
      <c r="R64" s="164"/>
      <c r="S64" s="467"/>
      <c r="T64" s="468"/>
      <c r="U64" s="469"/>
      <c r="V64" s="457"/>
      <c r="W64" s="457"/>
      <c r="X64" s="457"/>
      <c r="Y64" s="457"/>
      <c r="Z64" s="457"/>
    </row>
    <row r="65" spans="1:26" ht="18" customHeight="1">
      <c r="A65" s="464"/>
      <c r="B65" s="458"/>
      <c r="C65" s="483"/>
      <c r="D65" s="464"/>
      <c r="E65" s="464"/>
      <c r="F65" s="484"/>
      <c r="G65" s="460"/>
      <c r="H65" s="485"/>
      <c r="I65" s="164"/>
      <c r="J65" s="462"/>
      <c r="K65" s="481"/>
      <c r="L65" s="464"/>
      <c r="M65" s="164"/>
      <c r="N65" s="465"/>
      <c r="O65" s="462"/>
      <c r="P65" s="486"/>
      <c r="Q65" s="487"/>
      <c r="R65" s="164"/>
      <c r="S65" s="467"/>
      <c r="T65" s="468"/>
      <c r="U65" s="469"/>
      <c r="V65" s="457"/>
      <c r="W65" s="457"/>
      <c r="X65" s="457"/>
      <c r="Y65" s="457"/>
      <c r="Z65" s="457"/>
    </row>
    <row r="66" spans="1:26" ht="18" customHeight="1">
      <c r="A66" s="464"/>
      <c r="B66" s="458"/>
      <c r="C66" s="483"/>
      <c r="D66" s="464"/>
      <c r="E66" s="464"/>
      <c r="F66" s="484"/>
      <c r="G66" s="460"/>
      <c r="H66" s="485"/>
      <c r="I66" s="164"/>
      <c r="J66" s="462"/>
      <c r="K66" s="481"/>
      <c r="L66" s="464"/>
      <c r="M66" s="164"/>
      <c r="N66" s="465"/>
      <c r="O66" s="462"/>
      <c r="P66" s="486"/>
      <c r="Q66" s="487"/>
      <c r="R66" s="164"/>
      <c r="S66" s="467"/>
      <c r="T66" s="468"/>
      <c r="U66" s="469"/>
      <c r="V66" s="457"/>
      <c r="W66" s="457"/>
      <c r="X66" s="457"/>
      <c r="Y66" s="457"/>
      <c r="Z66" s="457"/>
    </row>
    <row r="67" spans="1:26" ht="18" customHeight="1">
      <c r="A67" s="464"/>
      <c r="B67" s="458"/>
      <c r="C67" s="483"/>
      <c r="D67" s="464"/>
      <c r="E67" s="464"/>
      <c r="F67" s="484"/>
      <c r="G67" s="460"/>
      <c r="H67" s="485"/>
      <c r="I67" s="164"/>
      <c r="J67" s="462"/>
      <c r="K67" s="481"/>
      <c r="L67" s="464"/>
      <c r="M67" s="164"/>
      <c r="N67" s="465"/>
      <c r="O67" s="462"/>
      <c r="P67" s="486"/>
      <c r="Q67" s="487"/>
      <c r="R67" s="164"/>
      <c r="S67" s="467"/>
      <c r="T67" s="468"/>
      <c r="U67" s="469"/>
      <c r="V67" s="457"/>
      <c r="W67" s="457"/>
      <c r="X67" s="457"/>
      <c r="Y67" s="457"/>
      <c r="Z67" s="457"/>
    </row>
    <row r="68" spans="1:26" ht="18" customHeight="1">
      <c r="A68" s="464"/>
      <c r="B68" s="458"/>
      <c r="C68" s="483"/>
      <c r="D68" s="464"/>
      <c r="E68" s="464"/>
      <c r="F68" s="484"/>
      <c r="G68" s="460"/>
      <c r="H68" s="485"/>
      <c r="I68" s="164"/>
      <c r="J68" s="462"/>
      <c r="K68" s="481"/>
      <c r="L68" s="464"/>
      <c r="M68" s="164"/>
      <c r="N68" s="465"/>
      <c r="O68" s="462"/>
      <c r="P68" s="486"/>
      <c r="Q68" s="487"/>
      <c r="R68" s="164"/>
      <c r="S68" s="467"/>
      <c r="T68" s="468"/>
      <c r="U68" s="469"/>
      <c r="V68" s="457"/>
      <c r="W68" s="457"/>
      <c r="X68" s="457"/>
      <c r="Y68" s="457"/>
      <c r="Z68" s="457"/>
    </row>
    <row r="69" spans="1:26" ht="18" customHeight="1">
      <c r="A69" s="464"/>
      <c r="B69" s="458"/>
      <c r="C69" s="483"/>
      <c r="D69" s="464"/>
      <c r="E69" s="464"/>
      <c r="F69" s="484"/>
      <c r="G69" s="460"/>
      <c r="H69" s="485"/>
      <c r="I69" s="164"/>
      <c r="J69" s="462"/>
      <c r="K69" s="481"/>
      <c r="L69" s="464"/>
      <c r="M69" s="164"/>
      <c r="N69" s="465"/>
      <c r="O69" s="462"/>
      <c r="P69" s="486"/>
      <c r="Q69" s="487"/>
      <c r="R69" s="164"/>
      <c r="S69" s="467"/>
      <c r="T69" s="468"/>
      <c r="U69" s="469"/>
      <c r="V69" s="457"/>
      <c r="W69" s="457"/>
      <c r="X69" s="457"/>
      <c r="Y69" s="457"/>
      <c r="Z69" s="457"/>
    </row>
    <row r="70" spans="1:26" ht="18" customHeight="1">
      <c r="A70" s="464"/>
      <c r="B70" s="458"/>
      <c r="C70" s="483"/>
      <c r="D70" s="464"/>
      <c r="E70" s="464"/>
      <c r="F70" s="484"/>
      <c r="G70" s="460"/>
      <c r="H70" s="485"/>
      <c r="I70" s="164"/>
      <c r="J70" s="462"/>
      <c r="K70" s="481"/>
      <c r="L70" s="464"/>
      <c r="M70" s="164"/>
      <c r="N70" s="465"/>
      <c r="O70" s="462"/>
      <c r="P70" s="486"/>
      <c r="Q70" s="487"/>
      <c r="R70" s="164"/>
      <c r="S70" s="467"/>
      <c r="T70" s="468"/>
      <c r="U70" s="469"/>
      <c r="V70" s="457"/>
      <c r="W70" s="457"/>
      <c r="X70" s="457"/>
      <c r="Y70" s="457"/>
      <c r="Z70" s="457"/>
    </row>
    <row r="71" spans="1:26" ht="18" customHeight="1">
      <c r="A71" s="464"/>
      <c r="B71" s="458"/>
      <c r="C71" s="483"/>
      <c r="D71" s="464"/>
      <c r="E71" s="464"/>
      <c r="F71" s="484"/>
      <c r="G71" s="460"/>
      <c r="H71" s="485"/>
      <c r="I71" s="164"/>
      <c r="J71" s="462"/>
      <c r="K71" s="481"/>
      <c r="L71" s="464"/>
      <c r="M71" s="164"/>
      <c r="N71" s="465"/>
      <c r="O71" s="462"/>
      <c r="P71" s="486"/>
      <c r="Q71" s="487"/>
      <c r="R71" s="164"/>
      <c r="S71" s="467"/>
      <c r="T71" s="468"/>
      <c r="U71" s="469"/>
      <c r="V71" s="457"/>
      <c r="W71" s="457"/>
      <c r="X71" s="457"/>
      <c r="Y71" s="457"/>
      <c r="Z71" s="457"/>
    </row>
    <row r="72" spans="1:26" ht="18" customHeight="1">
      <c r="A72" s="464"/>
      <c r="B72" s="458"/>
      <c r="C72" s="483"/>
      <c r="D72" s="464"/>
      <c r="E72" s="464"/>
      <c r="F72" s="484"/>
      <c r="G72" s="460"/>
      <c r="H72" s="485"/>
      <c r="I72" s="164"/>
      <c r="J72" s="462"/>
      <c r="K72" s="481"/>
      <c r="L72" s="464"/>
      <c r="M72" s="164"/>
      <c r="N72" s="465"/>
      <c r="O72" s="462"/>
      <c r="P72" s="486"/>
      <c r="Q72" s="487"/>
      <c r="R72" s="164"/>
      <c r="S72" s="467"/>
      <c r="T72" s="468"/>
      <c r="U72" s="469"/>
      <c r="V72" s="457"/>
      <c r="W72" s="457"/>
      <c r="X72" s="457"/>
      <c r="Y72" s="457"/>
      <c r="Z72" s="457"/>
    </row>
    <row r="73" spans="1:26" ht="18" customHeight="1">
      <c r="A73" s="464"/>
      <c r="B73" s="458"/>
      <c r="C73" s="483"/>
      <c r="D73" s="464"/>
      <c r="E73" s="464"/>
      <c r="F73" s="484"/>
      <c r="G73" s="460"/>
      <c r="H73" s="485"/>
      <c r="I73" s="164"/>
      <c r="J73" s="462"/>
      <c r="K73" s="481"/>
      <c r="L73" s="464"/>
      <c r="M73" s="164"/>
      <c r="N73" s="465"/>
      <c r="O73" s="462"/>
      <c r="P73" s="486"/>
      <c r="Q73" s="487"/>
      <c r="R73" s="164"/>
      <c r="S73" s="467"/>
      <c r="T73" s="468"/>
      <c r="U73" s="469"/>
      <c r="V73" s="457"/>
      <c r="W73" s="457"/>
      <c r="X73" s="457"/>
      <c r="Y73" s="457"/>
      <c r="Z73" s="457"/>
    </row>
    <row r="74" spans="1:26" ht="18" customHeight="1">
      <c r="A74" s="464"/>
      <c r="B74" s="458"/>
      <c r="C74" s="483"/>
      <c r="D74" s="464"/>
      <c r="E74" s="464"/>
      <c r="F74" s="484"/>
      <c r="G74" s="460"/>
      <c r="H74" s="485"/>
      <c r="I74" s="164"/>
      <c r="J74" s="462"/>
      <c r="K74" s="481"/>
      <c r="L74" s="464"/>
      <c r="M74" s="164"/>
      <c r="N74" s="465"/>
      <c r="O74" s="462"/>
      <c r="P74" s="486"/>
      <c r="Q74" s="487"/>
      <c r="R74" s="164"/>
      <c r="S74" s="467"/>
      <c r="T74" s="468"/>
      <c r="U74" s="469"/>
      <c r="V74" s="457"/>
      <c r="W74" s="457"/>
      <c r="X74" s="457"/>
      <c r="Y74" s="457"/>
      <c r="Z74" s="457"/>
    </row>
    <row r="75" spans="1:26" ht="18" customHeight="1">
      <c r="A75" s="464"/>
      <c r="B75" s="458"/>
      <c r="C75" s="483"/>
      <c r="D75" s="464"/>
      <c r="E75" s="464"/>
      <c r="F75" s="484"/>
      <c r="G75" s="460"/>
      <c r="H75" s="485"/>
      <c r="I75" s="164"/>
      <c r="J75" s="462"/>
      <c r="K75" s="481"/>
      <c r="L75" s="464"/>
      <c r="M75" s="164"/>
      <c r="N75" s="465"/>
      <c r="O75" s="462"/>
      <c r="P75" s="486"/>
      <c r="Q75" s="487"/>
      <c r="R75" s="164"/>
      <c r="S75" s="467"/>
      <c r="T75" s="468"/>
      <c r="U75" s="469"/>
      <c r="V75" s="457"/>
      <c r="W75" s="457"/>
      <c r="X75" s="457"/>
      <c r="Y75" s="457"/>
      <c r="Z75" s="457"/>
    </row>
    <row r="76" spans="1:26" ht="18" customHeight="1">
      <c r="A76" s="464"/>
      <c r="B76" s="458"/>
      <c r="C76" s="483"/>
      <c r="D76" s="464"/>
      <c r="E76" s="464"/>
      <c r="F76" s="484"/>
      <c r="G76" s="460"/>
      <c r="H76" s="485"/>
      <c r="I76" s="164"/>
      <c r="J76" s="462"/>
      <c r="K76" s="481"/>
      <c r="L76" s="464"/>
      <c r="M76" s="164"/>
      <c r="N76" s="465"/>
      <c r="O76" s="462"/>
      <c r="P76" s="486"/>
      <c r="Q76" s="487"/>
      <c r="R76" s="164"/>
      <c r="S76" s="467"/>
      <c r="T76" s="468"/>
      <c r="U76" s="469"/>
      <c r="V76" s="457"/>
      <c r="W76" s="457"/>
      <c r="X76" s="457"/>
      <c r="Y76" s="457"/>
      <c r="Z76" s="457"/>
    </row>
    <row r="77" spans="1:26" ht="18" customHeight="1">
      <c r="A77" s="464"/>
      <c r="B77" s="458"/>
      <c r="C77" s="483"/>
      <c r="D77" s="464"/>
      <c r="E77" s="464"/>
      <c r="F77" s="484"/>
      <c r="G77" s="460"/>
      <c r="H77" s="485"/>
      <c r="I77" s="164"/>
      <c r="J77" s="462"/>
      <c r="K77" s="481"/>
      <c r="L77" s="464"/>
      <c r="M77" s="164"/>
      <c r="N77" s="465"/>
      <c r="O77" s="462"/>
      <c r="P77" s="486"/>
      <c r="Q77" s="487"/>
      <c r="R77" s="164"/>
      <c r="S77" s="467"/>
      <c r="T77" s="468"/>
      <c r="U77" s="469"/>
      <c r="V77" s="457"/>
      <c r="W77" s="457"/>
      <c r="X77" s="457"/>
      <c r="Y77" s="457"/>
      <c r="Z77" s="457"/>
    </row>
    <row r="78" spans="1:26" ht="18" customHeight="1">
      <c r="A78" s="464"/>
      <c r="B78" s="458"/>
      <c r="C78" s="483"/>
      <c r="D78" s="464"/>
      <c r="E78" s="464"/>
      <c r="F78" s="484"/>
      <c r="G78" s="460"/>
      <c r="H78" s="485"/>
      <c r="I78" s="164"/>
      <c r="J78" s="462"/>
      <c r="K78" s="481"/>
      <c r="L78" s="464"/>
      <c r="M78" s="164"/>
      <c r="N78" s="465"/>
      <c r="O78" s="462"/>
      <c r="P78" s="486"/>
      <c r="Q78" s="487"/>
      <c r="R78" s="164"/>
      <c r="S78" s="467"/>
      <c r="T78" s="468"/>
      <c r="U78" s="469"/>
      <c r="V78" s="457"/>
      <c r="W78" s="457"/>
      <c r="X78" s="457"/>
      <c r="Y78" s="457"/>
      <c r="Z78" s="457"/>
    </row>
    <row r="79" spans="1:26" ht="18" customHeight="1">
      <c r="A79" s="464"/>
      <c r="B79" s="458"/>
      <c r="C79" s="483"/>
      <c r="D79" s="464"/>
      <c r="E79" s="464"/>
      <c r="F79" s="484"/>
      <c r="G79" s="460"/>
      <c r="H79" s="485"/>
      <c r="I79" s="164"/>
      <c r="J79" s="462"/>
      <c r="K79" s="481"/>
      <c r="L79" s="464"/>
      <c r="M79" s="164"/>
      <c r="N79" s="465"/>
      <c r="O79" s="462"/>
      <c r="P79" s="486"/>
      <c r="Q79" s="487"/>
      <c r="R79" s="164"/>
      <c r="S79" s="467"/>
      <c r="T79" s="468"/>
      <c r="U79" s="469"/>
      <c r="V79" s="457"/>
      <c r="W79" s="457"/>
      <c r="X79" s="457"/>
      <c r="Y79" s="457"/>
      <c r="Z79" s="457"/>
    </row>
    <row r="80" spans="1:26" ht="18" customHeight="1">
      <c r="A80" s="464"/>
      <c r="B80" s="458"/>
      <c r="C80" s="483"/>
      <c r="D80" s="464"/>
      <c r="E80" s="464"/>
      <c r="F80" s="484"/>
      <c r="G80" s="460"/>
      <c r="H80" s="485"/>
      <c r="I80" s="164"/>
      <c r="J80" s="462"/>
      <c r="K80" s="481"/>
      <c r="L80" s="464"/>
      <c r="M80" s="164"/>
      <c r="N80" s="465"/>
      <c r="O80" s="462"/>
      <c r="P80" s="486"/>
      <c r="Q80" s="487"/>
      <c r="R80" s="164"/>
      <c r="S80" s="467"/>
      <c r="T80" s="468"/>
      <c r="U80" s="469"/>
      <c r="V80" s="457"/>
      <c r="W80" s="457"/>
      <c r="X80" s="457"/>
      <c r="Y80" s="457"/>
      <c r="Z80" s="457"/>
    </row>
    <row r="81" spans="1:26" ht="18" customHeight="1">
      <c r="A81" s="464"/>
      <c r="B81" s="458"/>
      <c r="C81" s="483"/>
      <c r="D81" s="464"/>
      <c r="E81" s="464"/>
      <c r="F81" s="484"/>
      <c r="G81" s="460"/>
      <c r="H81" s="485"/>
      <c r="I81" s="164"/>
      <c r="J81" s="462"/>
      <c r="K81" s="481"/>
      <c r="L81" s="464"/>
      <c r="M81" s="164"/>
      <c r="N81" s="465"/>
      <c r="O81" s="462"/>
      <c r="P81" s="486"/>
      <c r="Q81" s="487"/>
      <c r="R81" s="164"/>
      <c r="S81" s="467"/>
      <c r="T81" s="468"/>
      <c r="U81" s="469"/>
      <c r="V81" s="457"/>
      <c r="W81" s="457"/>
      <c r="X81" s="457"/>
      <c r="Y81" s="457"/>
      <c r="Z81" s="457"/>
    </row>
    <row r="82" spans="1:26" ht="18" customHeight="1">
      <c r="A82" s="464"/>
      <c r="B82" s="458"/>
      <c r="C82" s="483"/>
      <c r="D82" s="464"/>
      <c r="E82" s="464"/>
      <c r="F82" s="484"/>
      <c r="G82" s="460"/>
      <c r="H82" s="485"/>
      <c r="I82" s="164"/>
      <c r="J82" s="462"/>
      <c r="K82" s="481"/>
      <c r="L82" s="464"/>
      <c r="M82" s="164"/>
      <c r="N82" s="465"/>
      <c r="O82" s="462"/>
      <c r="P82" s="486"/>
      <c r="Q82" s="487"/>
      <c r="R82" s="164"/>
      <c r="S82" s="467"/>
      <c r="T82" s="468"/>
      <c r="U82" s="469"/>
      <c r="V82" s="457"/>
      <c r="W82" s="457"/>
      <c r="X82" s="457"/>
      <c r="Y82" s="457"/>
      <c r="Z82" s="457"/>
    </row>
    <row r="83" spans="1:26" ht="18" customHeight="1">
      <c r="A83" s="464"/>
      <c r="B83" s="458"/>
      <c r="C83" s="483"/>
      <c r="D83" s="464"/>
      <c r="E83" s="464"/>
      <c r="F83" s="484"/>
      <c r="G83" s="460"/>
      <c r="H83" s="485"/>
      <c r="I83" s="164"/>
      <c r="J83" s="462"/>
      <c r="K83" s="481"/>
      <c r="L83" s="464"/>
      <c r="M83" s="164"/>
      <c r="N83" s="465"/>
      <c r="O83" s="462"/>
      <c r="P83" s="486"/>
      <c r="Q83" s="487"/>
      <c r="R83" s="164"/>
      <c r="S83" s="467"/>
      <c r="T83" s="468"/>
      <c r="U83" s="469"/>
      <c r="V83" s="457"/>
      <c r="W83" s="457"/>
      <c r="X83" s="457"/>
      <c r="Y83" s="457"/>
      <c r="Z83" s="457"/>
    </row>
    <row r="84" spans="1:26" ht="18" customHeight="1">
      <c r="A84" s="464"/>
      <c r="B84" s="458"/>
      <c r="C84" s="483"/>
      <c r="D84" s="464"/>
      <c r="E84" s="464"/>
      <c r="F84" s="484"/>
      <c r="G84" s="460"/>
      <c r="H84" s="485"/>
      <c r="I84" s="164"/>
      <c r="J84" s="462"/>
      <c r="K84" s="481"/>
      <c r="L84" s="464"/>
      <c r="M84" s="164"/>
      <c r="N84" s="465"/>
      <c r="O84" s="462"/>
      <c r="P84" s="486"/>
      <c r="Q84" s="487"/>
      <c r="R84" s="164"/>
      <c r="S84" s="467"/>
      <c r="T84" s="468"/>
      <c r="U84" s="469"/>
      <c r="V84" s="457"/>
      <c r="W84" s="457"/>
      <c r="X84" s="457"/>
      <c r="Y84" s="457"/>
      <c r="Z84" s="457"/>
    </row>
    <row r="85" spans="1:26" ht="18" customHeight="1">
      <c r="A85" s="464"/>
      <c r="B85" s="458"/>
      <c r="C85" s="483"/>
      <c r="D85" s="464"/>
      <c r="E85" s="464"/>
      <c r="F85" s="484"/>
      <c r="G85" s="460"/>
      <c r="H85" s="485"/>
      <c r="I85" s="164"/>
      <c r="J85" s="462"/>
      <c r="K85" s="481"/>
      <c r="L85" s="464"/>
      <c r="M85" s="164"/>
      <c r="N85" s="465"/>
      <c r="O85" s="462"/>
      <c r="P85" s="486"/>
      <c r="Q85" s="487"/>
      <c r="R85" s="164"/>
      <c r="S85" s="467"/>
      <c r="T85" s="468"/>
      <c r="U85" s="469"/>
      <c r="V85" s="457"/>
      <c r="W85" s="457"/>
      <c r="X85" s="457"/>
      <c r="Y85" s="457"/>
      <c r="Z85" s="457"/>
    </row>
    <row r="86" spans="1:26" ht="18" customHeight="1">
      <c r="A86" s="464"/>
      <c r="B86" s="458"/>
      <c r="C86" s="483"/>
      <c r="D86" s="464"/>
      <c r="E86" s="464"/>
      <c r="F86" s="484"/>
      <c r="G86" s="460"/>
      <c r="H86" s="485"/>
      <c r="I86" s="164"/>
      <c r="J86" s="462"/>
      <c r="K86" s="481"/>
      <c r="L86" s="464"/>
      <c r="M86" s="164"/>
      <c r="N86" s="465"/>
      <c r="O86" s="462"/>
      <c r="P86" s="486"/>
      <c r="Q86" s="487"/>
      <c r="R86" s="164"/>
      <c r="S86" s="467"/>
      <c r="T86" s="468"/>
      <c r="U86" s="469"/>
      <c r="V86" s="457"/>
      <c r="W86" s="457"/>
      <c r="X86" s="457"/>
      <c r="Y86" s="457"/>
      <c r="Z86" s="457"/>
    </row>
    <row r="87" spans="1:26" ht="18" customHeight="1">
      <c r="A87" s="464"/>
      <c r="B87" s="458"/>
      <c r="C87" s="483"/>
      <c r="D87" s="464"/>
      <c r="E87" s="464"/>
      <c r="F87" s="484"/>
      <c r="G87" s="460"/>
      <c r="H87" s="485"/>
      <c r="I87" s="164"/>
      <c r="J87" s="462"/>
      <c r="K87" s="481"/>
      <c r="L87" s="464"/>
      <c r="M87" s="164"/>
      <c r="N87" s="465"/>
      <c r="O87" s="462"/>
      <c r="P87" s="486"/>
      <c r="Q87" s="487"/>
      <c r="R87" s="164"/>
      <c r="S87" s="467"/>
      <c r="T87" s="468"/>
      <c r="U87" s="469"/>
      <c r="V87" s="457"/>
      <c r="W87" s="457"/>
      <c r="X87" s="457"/>
      <c r="Y87" s="457"/>
      <c r="Z87" s="457"/>
    </row>
    <row r="88" spans="1:26" ht="18" customHeight="1">
      <c r="A88" s="464"/>
      <c r="B88" s="458"/>
      <c r="C88" s="483"/>
      <c r="D88" s="464"/>
      <c r="E88" s="464"/>
      <c r="F88" s="484"/>
      <c r="G88" s="460"/>
      <c r="H88" s="485"/>
      <c r="I88" s="164"/>
      <c r="J88" s="462"/>
      <c r="K88" s="481"/>
      <c r="L88" s="464"/>
      <c r="M88" s="164"/>
      <c r="N88" s="465"/>
      <c r="O88" s="462"/>
      <c r="P88" s="486"/>
      <c r="Q88" s="487"/>
      <c r="R88" s="164"/>
      <c r="S88" s="467"/>
      <c r="T88" s="468"/>
      <c r="U88" s="469"/>
      <c r="V88" s="457"/>
      <c r="W88" s="457"/>
      <c r="X88" s="457"/>
      <c r="Y88" s="457"/>
      <c r="Z88" s="457"/>
    </row>
    <row r="89" spans="1:26" ht="18" customHeight="1">
      <c r="A89" s="464"/>
      <c r="B89" s="458"/>
      <c r="C89" s="483"/>
      <c r="D89" s="464"/>
      <c r="E89" s="464"/>
      <c r="F89" s="484"/>
      <c r="G89" s="460"/>
      <c r="H89" s="485"/>
      <c r="I89" s="164"/>
      <c r="J89" s="462"/>
      <c r="K89" s="481"/>
      <c r="L89" s="464"/>
      <c r="M89" s="164"/>
      <c r="N89" s="465"/>
      <c r="O89" s="462"/>
      <c r="P89" s="486"/>
      <c r="Q89" s="487"/>
      <c r="R89" s="164"/>
      <c r="S89" s="467"/>
      <c r="T89" s="468"/>
      <c r="U89" s="469"/>
      <c r="V89" s="457"/>
      <c r="W89" s="457"/>
      <c r="X89" s="457"/>
      <c r="Y89" s="457"/>
      <c r="Z89" s="457"/>
    </row>
    <row r="90" spans="1:26" ht="18" customHeight="1">
      <c r="A90" s="464"/>
      <c r="B90" s="458"/>
      <c r="C90" s="483"/>
      <c r="D90" s="464"/>
      <c r="E90" s="464"/>
      <c r="F90" s="484"/>
      <c r="G90" s="460"/>
      <c r="H90" s="485"/>
      <c r="I90" s="164"/>
      <c r="J90" s="462"/>
      <c r="K90" s="481"/>
      <c r="L90" s="464"/>
      <c r="M90" s="164"/>
      <c r="N90" s="465"/>
      <c r="O90" s="462"/>
      <c r="P90" s="486"/>
      <c r="Q90" s="487"/>
      <c r="R90" s="164"/>
      <c r="S90" s="467"/>
      <c r="T90" s="468"/>
      <c r="U90" s="469"/>
      <c r="V90" s="457"/>
      <c r="W90" s="457"/>
      <c r="X90" s="457"/>
      <c r="Y90" s="457"/>
      <c r="Z90" s="457"/>
    </row>
    <row r="91" spans="1:26" ht="18" customHeight="1">
      <c r="A91" s="464"/>
      <c r="B91" s="458"/>
      <c r="C91" s="483"/>
      <c r="D91" s="464"/>
      <c r="E91" s="464"/>
      <c r="F91" s="484"/>
      <c r="G91" s="460"/>
      <c r="H91" s="485"/>
      <c r="I91" s="164"/>
      <c r="J91" s="462"/>
      <c r="K91" s="481"/>
      <c r="L91" s="464"/>
      <c r="M91" s="164"/>
      <c r="N91" s="465"/>
      <c r="O91" s="462"/>
      <c r="P91" s="486"/>
      <c r="Q91" s="487"/>
      <c r="R91" s="164"/>
      <c r="S91" s="467"/>
      <c r="T91" s="468"/>
      <c r="U91" s="469"/>
      <c r="V91" s="457"/>
      <c r="W91" s="457"/>
      <c r="X91" s="457"/>
      <c r="Y91" s="457"/>
      <c r="Z91" s="457"/>
    </row>
    <row r="92" spans="1:26" ht="18" customHeight="1">
      <c r="A92" s="464"/>
      <c r="B92" s="458"/>
      <c r="C92" s="483"/>
      <c r="D92" s="464"/>
      <c r="E92" s="464"/>
      <c r="F92" s="484"/>
      <c r="G92" s="460"/>
      <c r="H92" s="485"/>
      <c r="I92" s="164"/>
      <c r="J92" s="462"/>
      <c r="K92" s="481"/>
      <c r="L92" s="464"/>
      <c r="M92" s="164"/>
      <c r="N92" s="465"/>
      <c r="O92" s="462"/>
      <c r="P92" s="486"/>
      <c r="Q92" s="487"/>
      <c r="R92" s="164"/>
      <c r="S92" s="467"/>
      <c r="T92" s="468"/>
      <c r="U92" s="469"/>
      <c r="V92" s="457"/>
      <c r="W92" s="457"/>
      <c r="X92" s="457"/>
      <c r="Y92" s="457"/>
      <c r="Z92" s="457"/>
    </row>
    <row r="93" spans="1:26" ht="18" customHeight="1">
      <c r="A93" s="464"/>
      <c r="B93" s="458"/>
      <c r="C93" s="483"/>
      <c r="D93" s="464"/>
      <c r="E93" s="464"/>
      <c r="F93" s="484"/>
      <c r="G93" s="460"/>
      <c r="H93" s="485"/>
      <c r="I93" s="164"/>
      <c r="J93" s="462"/>
      <c r="K93" s="481"/>
      <c r="L93" s="464"/>
      <c r="M93" s="164"/>
      <c r="N93" s="465"/>
      <c r="O93" s="462"/>
      <c r="P93" s="486"/>
      <c r="Q93" s="487"/>
      <c r="R93" s="164"/>
      <c r="S93" s="467"/>
      <c r="T93" s="468"/>
      <c r="U93" s="469"/>
      <c r="V93" s="457"/>
      <c r="W93" s="457"/>
      <c r="X93" s="457"/>
      <c r="Y93" s="457"/>
      <c r="Z93" s="457"/>
    </row>
    <row r="94" spans="1:26" ht="18" customHeight="1">
      <c r="A94" s="464"/>
      <c r="B94" s="458"/>
      <c r="C94" s="483"/>
      <c r="D94" s="464"/>
      <c r="E94" s="464"/>
      <c r="F94" s="484"/>
      <c r="G94" s="460"/>
      <c r="H94" s="485"/>
      <c r="I94" s="164"/>
      <c r="J94" s="462"/>
      <c r="K94" s="481"/>
      <c r="L94" s="464"/>
      <c r="M94" s="164"/>
      <c r="N94" s="465"/>
      <c r="O94" s="462"/>
      <c r="P94" s="486"/>
      <c r="Q94" s="487"/>
      <c r="R94" s="164"/>
      <c r="S94" s="467"/>
      <c r="T94" s="468"/>
      <c r="U94" s="469"/>
      <c r="V94" s="457"/>
      <c r="W94" s="457"/>
      <c r="X94" s="457"/>
      <c r="Y94" s="457"/>
      <c r="Z94" s="457"/>
    </row>
    <row r="95" spans="1:26" ht="18" customHeight="1">
      <c r="A95" s="464"/>
      <c r="B95" s="458"/>
      <c r="C95" s="483"/>
      <c r="D95" s="464"/>
      <c r="E95" s="464"/>
      <c r="F95" s="484"/>
      <c r="G95" s="460"/>
      <c r="H95" s="485"/>
      <c r="I95" s="164"/>
      <c r="J95" s="462"/>
      <c r="K95" s="481"/>
      <c r="L95" s="464"/>
      <c r="M95" s="164"/>
      <c r="N95" s="465"/>
      <c r="O95" s="462"/>
      <c r="P95" s="486"/>
      <c r="Q95" s="487"/>
      <c r="R95" s="164"/>
      <c r="S95" s="467"/>
      <c r="T95" s="468"/>
      <c r="U95" s="469"/>
      <c r="V95" s="457"/>
      <c r="W95" s="457"/>
      <c r="X95" s="457"/>
      <c r="Y95" s="457"/>
      <c r="Z95" s="457"/>
    </row>
    <row r="96" spans="1:26" ht="18" customHeight="1">
      <c r="A96" s="464"/>
      <c r="B96" s="458"/>
      <c r="C96" s="483"/>
      <c r="D96" s="464"/>
      <c r="E96" s="464"/>
      <c r="F96" s="484"/>
      <c r="G96" s="460"/>
      <c r="H96" s="485"/>
      <c r="I96" s="164"/>
      <c r="J96" s="462"/>
      <c r="K96" s="481"/>
      <c r="L96" s="464"/>
      <c r="M96" s="164"/>
      <c r="N96" s="465"/>
      <c r="O96" s="462"/>
      <c r="P96" s="486"/>
      <c r="Q96" s="487"/>
      <c r="R96" s="164"/>
      <c r="S96" s="467"/>
      <c r="T96" s="468"/>
      <c r="U96" s="469"/>
      <c r="V96" s="457"/>
      <c r="W96" s="457"/>
      <c r="X96" s="457"/>
      <c r="Y96" s="457"/>
      <c r="Z96" s="457"/>
    </row>
    <row r="97" spans="1:26" ht="18" customHeight="1">
      <c r="A97" s="464"/>
      <c r="B97" s="458"/>
      <c r="C97" s="483"/>
      <c r="D97" s="464"/>
      <c r="E97" s="464"/>
      <c r="F97" s="484"/>
      <c r="G97" s="460"/>
      <c r="H97" s="485"/>
      <c r="I97" s="164"/>
      <c r="J97" s="462"/>
      <c r="K97" s="481"/>
      <c r="L97" s="464"/>
      <c r="M97" s="164"/>
      <c r="N97" s="465"/>
      <c r="O97" s="462"/>
      <c r="P97" s="486"/>
      <c r="Q97" s="487"/>
      <c r="R97" s="164"/>
      <c r="S97" s="467"/>
      <c r="T97" s="468"/>
      <c r="U97" s="469"/>
      <c r="V97" s="457"/>
      <c r="W97" s="457"/>
      <c r="X97" s="457"/>
      <c r="Y97" s="457"/>
      <c r="Z97" s="457"/>
    </row>
    <row r="98" spans="1:26" ht="18" customHeight="1">
      <c r="A98" s="464"/>
      <c r="B98" s="458"/>
      <c r="C98" s="483"/>
      <c r="D98" s="464"/>
      <c r="E98" s="464"/>
      <c r="F98" s="484"/>
      <c r="G98" s="460"/>
      <c r="H98" s="485"/>
      <c r="I98" s="164"/>
      <c r="J98" s="462"/>
      <c r="K98" s="481"/>
      <c r="L98" s="464"/>
      <c r="M98" s="164"/>
      <c r="N98" s="465"/>
      <c r="O98" s="462"/>
      <c r="P98" s="486"/>
      <c r="Q98" s="487"/>
      <c r="R98" s="164"/>
      <c r="S98" s="467"/>
      <c r="T98" s="468"/>
      <c r="U98" s="469"/>
      <c r="V98" s="457"/>
      <c r="W98" s="457"/>
      <c r="X98" s="457"/>
      <c r="Y98" s="457"/>
      <c r="Z98" s="457"/>
    </row>
    <row r="99" spans="1:26" ht="18" customHeight="1">
      <c r="A99" s="464"/>
      <c r="B99" s="458"/>
      <c r="C99" s="483"/>
      <c r="D99" s="464"/>
      <c r="E99" s="464"/>
      <c r="F99" s="484"/>
      <c r="G99" s="460"/>
      <c r="H99" s="485"/>
      <c r="I99" s="164"/>
      <c r="J99" s="462"/>
      <c r="K99" s="481"/>
      <c r="L99" s="464"/>
      <c r="M99" s="164"/>
      <c r="N99" s="465"/>
      <c r="O99" s="462"/>
      <c r="P99" s="486"/>
      <c r="Q99" s="487"/>
      <c r="R99" s="164"/>
      <c r="S99" s="467"/>
      <c r="T99" s="468"/>
      <c r="U99" s="469"/>
      <c r="V99" s="457"/>
      <c r="W99" s="457"/>
      <c r="X99" s="457"/>
      <c r="Y99" s="457"/>
      <c r="Z99" s="457"/>
    </row>
    <row r="100" spans="1:26" ht="18" customHeight="1">
      <c r="A100" s="464"/>
      <c r="B100" s="458"/>
      <c r="C100" s="483"/>
      <c r="D100" s="464"/>
      <c r="E100" s="464"/>
      <c r="F100" s="484"/>
      <c r="G100" s="460"/>
      <c r="H100" s="485"/>
      <c r="I100" s="164"/>
      <c r="J100" s="462"/>
      <c r="K100" s="481"/>
      <c r="L100" s="464"/>
      <c r="M100" s="164"/>
      <c r="N100" s="465"/>
      <c r="O100" s="462"/>
      <c r="P100" s="486"/>
      <c r="Q100" s="487"/>
      <c r="R100" s="164"/>
      <c r="S100" s="467"/>
      <c r="T100" s="468"/>
      <c r="U100" s="469"/>
      <c r="V100" s="457"/>
      <c r="W100" s="457"/>
      <c r="X100" s="457"/>
      <c r="Y100" s="457"/>
      <c r="Z100" s="457"/>
    </row>
    <row r="101" spans="1:26" ht="18" customHeight="1">
      <c r="A101" s="464"/>
      <c r="B101" s="458"/>
      <c r="C101" s="483"/>
      <c r="D101" s="464"/>
      <c r="E101" s="464"/>
      <c r="F101" s="484"/>
      <c r="G101" s="460"/>
      <c r="H101" s="485"/>
      <c r="I101" s="164"/>
      <c r="J101" s="462"/>
      <c r="K101" s="481"/>
      <c r="L101" s="464"/>
      <c r="M101" s="164"/>
      <c r="N101" s="465"/>
      <c r="O101" s="462"/>
      <c r="P101" s="486"/>
      <c r="Q101" s="487"/>
      <c r="R101" s="164"/>
      <c r="S101" s="467"/>
      <c r="T101" s="468"/>
      <c r="U101" s="469"/>
      <c r="V101" s="457"/>
      <c r="W101" s="457"/>
      <c r="X101" s="457"/>
      <c r="Y101" s="457"/>
      <c r="Z101" s="457"/>
    </row>
    <row r="102" spans="1:26" ht="18" customHeight="1">
      <c r="A102" s="464"/>
      <c r="B102" s="458"/>
      <c r="C102" s="483"/>
      <c r="D102" s="464"/>
      <c r="E102" s="464"/>
      <c r="F102" s="484"/>
      <c r="G102" s="460"/>
      <c r="H102" s="485"/>
      <c r="I102" s="164"/>
      <c r="J102" s="462"/>
      <c r="K102" s="481"/>
      <c r="L102" s="464"/>
      <c r="M102" s="164"/>
      <c r="N102" s="465"/>
      <c r="O102" s="462"/>
      <c r="P102" s="486"/>
      <c r="Q102" s="487"/>
      <c r="R102" s="164"/>
      <c r="S102" s="467"/>
      <c r="T102" s="468"/>
      <c r="U102" s="469"/>
      <c r="V102" s="457"/>
      <c r="W102" s="457"/>
      <c r="X102" s="457"/>
      <c r="Y102" s="457"/>
      <c r="Z102" s="457"/>
    </row>
    <row r="103" spans="1:26" ht="18" customHeight="1">
      <c r="A103" s="464"/>
      <c r="B103" s="458"/>
      <c r="C103" s="483"/>
      <c r="D103" s="464"/>
      <c r="E103" s="464"/>
      <c r="F103" s="484"/>
      <c r="G103" s="460"/>
      <c r="H103" s="485"/>
      <c r="I103" s="164"/>
      <c r="J103" s="462"/>
      <c r="K103" s="481"/>
      <c r="L103" s="464"/>
      <c r="M103" s="164"/>
      <c r="N103" s="465"/>
      <c r="O103" s="462"/>
      <c r="P103" s="486"/>
      <c r="Q103" s="487"/>
      <c r="R103" s="164"/>
      <c r="S103" s="467"/>
      <c r="T103" s="468"/>
      <c r="U103" s="469"/>
      <c r="V103" s="457"/>
      <c r="W103" s="457"/>
      <c r="X103" s="457"/>
      <c r="Y103" s="457"/>
      <c r="Z103" s="457"/>
    </row>
    <row r="104" spans="1:26" ht="18" customHeight="1">
      <c r="A104" s="464"/>
      <c r="B104" s="458"/>
      <c r="C104" s="483"/>
      <c r="D104" s="464"/>
      <c r="E104" s="464"/>
      <c r="F104" s="484"/>
      <c r="G104" s="460"/>
      <c r="H104" s="485"/>
      <c r="I104" s="164"/>
      <c r="J104" s="462"/>
      <c r="K104" s="481"/>
      <c r="L104" s="464"/>
      <c r="M104" s="164"/>
      <c r="N104" s="465"/>
      <c r="O104" s="462"/>
      <c r="P104" s="486"/>
      <c r="Q104" s="487"/>
      <c r="R104" s="164"/>
      <c r="S104" s="467"/>
      <c r="T104" s="468"/>
      <c r="U104" s="469"/>
      <c r="V104" s="457"/>
      <c r="W104" s="457"/>
      <c r="X104" s="457"/>
      <c r="Y104" s="457"/>
      <c r="Z104" s="457"/>
    </row>
    <row r="105" spans="1:26" ht="18" customHeight="1">
      <c r="A105" s="464"/>
      <c r="B105" s="458"/>
      <c r="C105" s="483"/>
      <c r="D105" s="464"/>
      <c r="E105" s="464"/>
      <c r="F105" s="484"/>
      <c r="G105" s="460"/>
      <c r="H105" s="485"/>
      <c r="I105" s="164"/>
      <c r="J105" s="462"/>
      <c r="K105" s="481"/>
      <c r="L105" s="464"/>
      <c r="M105" s="164"/>
      <c r="N105" s="465"/>
      <c r="O105" s="462"/>
      <c r="P105" s="486"/>
      <c r="Q105" s="487"/>
      <c r="R105" s="164"/>
      <c r="S105" s="467"/>
      <c r="T105" s="468"/>
      <c r="U105" s="469"/>
      <c r="V105" s="457"/>
      <c r="W105" s="457"/>
      <c r="X105" s="457"/>
      <c r="Y105" s="457"/>
      <c r="Z105" s="457"/>
    </row>
    <row r="106" spans="1:26" ht="18" customHeight="1">
      <c r="A106" s="464"/>
      <c r="B106" s="458"/>
      <c r="C106" s="483"/>
      <c r="D106" s="464"/>
      <c r="E106" s="464"/>
      <c r="F106" s="484"/>
      <c r="G106" s="460"/>
      <c r="H106" s="485"/>
      <c r="I106" s="164"/>
      <c r="J106" s="462"/>
      <c r="K106" s="481"/>
      <c r="L106" s="464"/>
      <c r="M106" s="164"/>
      <c r="N106" s="465"/>
      <c r="O106" s="462"/>
      <c r="P106" s="486"/>
      <c r="Q106" s="487"/>
      <c r="R106" s="164"/>
      <c r="S106" s="467"/>
      <c r="T106" s="468"/>
      <c r="U106" s="469"/>
      <c r="V106" s="457"/>
      <c r="W106" s="457"/>
      <c r="X106" s="457"/>
      <c r="Y106" s="457"/>
      <c r="Z106" s="457"/>
    </row>
    <row r="107" spans="1:26" ht="18" customHeight="1">
      <c r="A107" s="464"/>
      <c r="B107" s="458"/>
      <c r="C107" s="483"/>
      <c r="D107" s="464"/>
      <c r="E107" s="464"/>
      <c r="F107" s="484"/>
      <c r="G107" s="460"/>
      <c r="H107" s="485"/>
      <c r="I107" s="164"/>
      <c r="J107" s="462"/>
      <c r="K107" s="481"/>
      <c r="L107" s="464"/>
      <c r="M107" s="164"/>
      <c r="N107" s="465"/>
      <c r="O107" s="462"/>
      <c r="P107" s="486"/>
      <c r="Q107" s="487"/>
      <c r="R107" s="164"/>
      <c r="S107" s="467"/>
      <c r="T107" s="468"/>
      <c r="U107" s="469"/>
      <c r="V107" s="457"/>
      <c r="W107" s="457"/>
      <c r="X107" s="457"/>
      <c r="Y107" s="457"/>
      <c r="Z107" s="457"/>
    </row>
    <row r="108" spans="1:26" ht="18" customHeight="1">
      <c r="A108" s="464"/>
      <c r="B108" s="458"/>
      <c r="C108" s="483"/>
      <c r="D108" s="464"/>
      <c r="E108" s="464"/>
      <c r="F108" s="484"/>
      <c r="G108" s="460"/>
      <c r="H108" s="485"/>
      <c r="I108" s="164"/>
      <c r="J108" s="462"/>
      <c r="K108" s="481"/>
      <c r="L108" s="464"/>
      <c r="M108" s="164"/>
      <c r="N108" s="465"/>
      <c r="O108" s="462"/>
      <c r="P108" s="486"/>
      <c r="Q108" s="487"/>
      <c r="R108" s="164"/>
      <c r="S108" s="467"/>
      <c r="T108" s="468"/>
      <c r="U108" s="469"/>
      <c r="V108" s="457"/>
      <c r="W108" s="457"/>
      <c r="X108" s="457"/>
      <c r="Y108" s="457"/>
      <c r="Z108" s="457"/>
    </row>
    <row r="109" spans="1:26" ht="18" customHeight="1">
      <c r="A109" s="464"/>
      <c r="B109" s="458"/>
      <c r="C109" s="483"/>
      <c r="D109" s="464"/>
      <c r="E109" s="464"/>
      <c r="F109" s="484"/>
      <c r="G109" s="460"/>
      <c r="H109" s="485"/>
      <c r="I109" s="164"/>
      <c r="J109" s="462"/>
      <c r="K109" s="481"/>
      <c r="L109" s="464"/>
      <c r="M109" s="164"/>
      <c r="N109" s="465"/>
      <c r="O109" s="462"/>
      <c r="P109" s="486"/>
      <c r="Q109" s="487"/>
      <c r="R109" s="164"/>
      <c r="S109" s="467"/>
      <c r="T109" s="468"/>
      <c r="U109" s="469"/>
      <c r="V109" s="457"/>
      <c r="W109" s="457"/>
      <c r="X109" s="457"/>
      <c r="Y109" s="457"/>
      <c r="Z109" s="457"/>
    </row>
    <row r="110" spans="1:26" ht="18" customHeight="1">
      <c r="A110" s="464"/>
      <c r="B110" s="458"/>
      <c r="C110" s="483"/>
      <c r="D110" s="464"/>
      <c r="E110" s="464"/>
      <c r="F110" s="484"/>
      <c r="G110" s="460"/>
      <c r="H110" s="485"/>
      <c r="I110" s="164"/>
      <c r="J110" s="462"/>
      <c r="K110" s="481"/>
      <c r="L110" s="464"/>
      <c r="M110" s="164"/>
      <c r="N110" s="465"/>
      <c r="O110" s="462"/>
      <c r="P110" s="486"/>
      <c r="Q110" s="487"/>
      <c r="R110" s="164"/>
      <c r="S110" s="467"/>
      <c r="T110" s="468"/>
      <c r="U110" s="469"/>
      <c r="V110" s="457"/>
      <c r="W110" s="457"/>
      <c r="X110" s="457"/>
      <c r="Y110" s="457"/>
      <c r="Z110" s="457"/>
    </row>
    <row r="111" spans="1:26" ht="18" customHeight="1">
      <c r="A111" s="464"/>
      <c r="B111" s="458"/>
      <c r="C111" s="483"/>
      <c r="D111" s="464"/>
      <c r="E111" s="464"/>
      <c r="F111" s="484"/>
      <c r="G111" s="460"/>
      <c r="H111" s="485"/>
      <c r="I111" s="164"/>
      <c r="J111" s="462"/>
      <c r="K111" s="481"/>
      <c r="L111" s="464"/>
      <c r="M111" s="164"/>
      <c r="N111" s="465"/>
      <c r="O111" s="462"/>
      <c r="P111" s="486"/>
      <c r="Q111" s="487"/>
      <c r="R111" s="164"/>
      <c r="S111" s="467"/>
      <c r="T111" s="468"/>
      <c r="U111" s="469"/>
      <c r="V111" s="457"/>
      <c r="W111" s="457"/>
      <c r="X111" s="457"/>
      <c r="Y111" s="457"/>
      <c r="Z111" s="457"/>
    </row>
    <row r="112" spans="1:26" ht="18" customHeight="1">
      <c r="A112" s="464"/>
      <c r="B112" s="458"/>
      <c r="C112" s="483"/>
      <c r="D112" s="464"/>
      <c r="E112" s="464"/>
      <c r="F112" s="484"/>
      <c r="G112" s="460"/>
      <c r="H112" s="485"/>
      <c r="I112" s="164"/>
      <c r="J112" s="462"/>
      <c r="K112" s="481"/>
      <c r="L112" s="464"/>
      <c r="M112" s="164"/>
      <c r="N112" s="465"/>
      <c r="O112" s="462"/>
      <c r="P112" s="486"/>
      <c r="Q112" s="487"/>
      <c r="R112" s="164"/>
      <c r="S112" s="467"/>
      <c r="T112" s="468"/>
      <c r="U112" s="469"/>
      <c r="V112" s="457"/>
      <c r="W112" s="457"/>
      <c r="X112" s="457"/>
      <c r="Y112" s="457"/>
      <c r="Z112" s="457"/>
    </row>
    <row r="113" spans="1:26" ht="18" customHeight="1">
      <c r="A113" s="464"/>
      <c r="B113" s="458"/>
      <c r="C113" s="483"/>
      <c r="D113" s="464"/>
      <c r="E113" s="464"/>
      <c r="F113" s="484"/>
      <c r="G113" s="460"/>
      <c r="H113" s="485"/>
      <c r="I113" s="164"/>
      <c r="J113" s="462"/>
      <c r="K113" s="481"/>
      <c r="L113" s="464"/>
      <c r="M113" s="164"/>
      <c r="N113" s="465"/>
      <c r="O113" s="462"/>
      <c r="P113" s="486"/>
      <c r="Q113" s="487"/>
      <c r="R113" s="164"/>
      <c r="S113" s="467"/>
      <c r="T113" s="468"/>
      <c r="U113" s="469"/>
      <c r="V113" s="457"/>
      <c r="W113" s="457"/>
      <c r="X113" s="457"/>
      <c r="Y113" s="457"/>
      <c r="Z113" s="457"/>
    </row>
    <row r="114" spans="1:26" ht="18" customHeight="1">
      <c r="A114" s="464"/>
      <c r="B114" s="458"/>
      <c r="C114" s="483"/>
      <c r="D114" s="464"/>
      <c r="E114" s="464"/>
      <c r="F114" s="484"/>
      <c r="G114" s="460"/>
      <c r="H114" s="485"/>
      <c r="I114" s="164"/>
      <c r="J114" s="462"/>
      <c r="K114" s="481"/>
      <c r="L114" s="464"/>
      <c r="M114" s="164"/>
      <c r="N114" s="465"/>
      <c r="O114" s="462"/>
      <c r="P114" s="486"/>
      <c r="Q114" s="487"/>
      <c r="R114" s="164"/>
      <c r="S114" s="467"/>
      <c r="T114" s="468"/>
      <c r="U114" s="469"/>
      <c r="V114" s="457"/>
      <c r="W114" s="457"/>
      <c r="X114" s="457"/>
      <c r="Y114" s="457"/>
      <c r="Z114" s="457"/>
    </row>
    <row r="115" spans="1:26" ht="18" customHeight="1">
      <c r="A115" s="464"/>
      <c r="B115" s="458"/>
      <c r="C115" s="483"/>
      <c r="D115" s="464"/>
      <c r="E115" s="464"/>
      <c r="F115" s="484"/>
      <c r="G115" s="460"/>
      <c r="H115" s="485"/>
      <c r="I115" s="164"/>
      <c r="J115" s="462"/>
      <c r="K115" s="481"/>
      <c r="L115" s="464"/>
      <c r="M115" s="164"/>
      <c r="N115" s="465"/>
      <c r="O115" s="462"/>
      <c r="P115" s="486"/>
      <c r="Q115" s="487"/>
      <c r="R115" s="164"/>
      <c r="S115" s="467"/>
      <c r="T115" s="468"/>
      <c r="U115" s="469"/>
      <c r="V115" s="457"/>
      <c r="W115" s="457"/>
      <c r="X115" s="457"/>
      <c r="Y115" s="457"/>
      <c r="Z115" s="457"/>
    </row>
    <row r="116" spans="1:26" ht="18" customHeight="1">
      <c r="A116" s="464"/>
      <c r="B116" s="458"/>
      <c r="C116" s="483"/>
      <c r="D116" s="464"/>
      <c r="E116" s="464"/>
      <c r="F116" s="484"/>
      <c r="G116" s="460"/>
      <c r="H116" s="485"/>
      <c r="I116" s="164"/>
      <c r="J116" s="462"/>
      <c r="K116" s="481"/>
      <c r="L116" s="464"/>
      <c r="M116" s="164"/>
      <c r="N116" s="465"/>
      <c r="O116" s="462"/>
      <c r="P116" s="486"/>
      <c r="Q116" s="487"/>
      <c r="R116" s="164"/>
      <c r="S116" s="467"/>
      <c r="T116" s="468"/>
      <c r="U116" s="469"/>
      <c r="V116" s="457"/>
      <c r="W116" s="457"/>
      <c r="X116" s="457"/>
      <c r="Y116" s="457"/>
      <c r="Z116" s="457"/>
    </row>
    <row r="117" spans="1:26" ht="18" customHeight="1">
      <c r="A117" s="464"/>
      <c r="B117" s="458"/>
      <c r="C117" s="483"/>
      <c r="D117" s="464"/>
      <c r="E117" s="464"/>
      <c r="F117" s="484"/>
      <c r="G117" s="460"/>
      <c r="H117" s="485"/>
      <c r="I117" s="164"/>
      <c r="J117" s="462"/>
      <c r="K117" s="481"/>
      <c r="L117" s="464"/>
      <c r="M117" s="164"/>
      <c r="N117" s="465"/>
      <c r="O117" s="462"/>
      <c r="P117" s="486"/>
      <c r="Q117" s="487"/>
      <c r="R117" s="164"/>
      <c r="S117" s="467"/>
      <c r="T117" s="468"/>
      <c r="U117" s="469"/>
      <c r="V117" s="457"/>
      <c r="W117" s="457"/>
      <c r="X117" s="457"/>
      <c r="Y117" s="457"/>
      <c r="Z117" s="457"/>
    </row>
    <row r="118" spans="1:26" ht="18" customHeight="1">
      <c r="A118" s="464"/>
      <c r="B118" s="458"/>
      <c r="C118" s="483"/>
      <c r="D118" s="464"/>
      <c r="E118" s="464"/>
      <c r="F118" s="484"/>
      <c r="G118" s="460"/>
      <c r="H118" s="485"/>
      <c r="I118" s="164"/>
      <c r="J118" s="462"/>
      <c r="K118" s="481"/>
      <c r="L118" s="464"/>
      <c r="M118" s="164"/>
      <c r="N118" s="465"/>
      <c r="O118" s="462"/>
      <c r="P118" s="486"/>
      <c r="Q118" s="487"/>
      <c r="R118" s="164"/>
      <c r="S118" s="467"/>
      <c r="T118" s="468"/>
      <c r="U118" s="469"/>
      <c r="V118" s="457"/>
      <c r="W118" s="457"/>
      <c r="X118" s="457"/>
      <c r="Y118" s="457"/>
      <c r="Z118" s="457"/>
    </row>
    <row r="119" spans="1:26" ht="18" customHeight="1">
      <c r="A119" s="464"/>
      <c r="B119" s="458"/>
      <c r="C119" s="483"/>
      <c r="D119" s="464"/>
      <c r="E119" s="464"/>
      <c r="F119" s="484"/>
      <c r="G119" s="460"/>
      <c r="H119" s="485"/>
      <c r="I119" s="164"/>
      <c r="J119" s="462"/>
      <c r="K119" s="481"/>
      <c r="L119" s="464"/>
      <c r="M119" s="164"/>
      <c r="N119" s="465"/>
      <c r="O119" s="462"/>
      <c r="P119" s="486"/>
      <c r="Q119" s="487"/>
      <c r="R119" s="164"/>
      <c r="S119" s="467"/>
      <c r="T119" s="468"/>
      <c r="U119" s="469"/>
      <c r="V119" s="457"/>
      <c r="W119" s="457"/>
      <c r="X119" s="457"/>
      <c r="Y119" s="457"/>
      <c r="Z119" s="457"/>
    </row>
    <row r="120" spans="1:26" ht="18" customHeight="1">
      <c r="A120" s="464"/>
      <c r="B120" s="458"/>
      <c r="C120" s="483"/>
      <c r="D120" s="464"/>
      <c r="E120" s="464"/>
      <c r="F120" s="484"/>
      <c r="G120" s="460"/>
      <c r="H120" s="485"/>
      <c r="I120" s="164"/>
      <c r="J120" s="462"/>
      <c r="K120" s="481"/>
      <c r="L120" s="464"/>
      <c r="M120" s="164"/>
      <c r="N120" s="465"/>
      <c r="O120" s="462"/>
      <c r="P120" s="486"/>
      <c r="Q120" s="487"/>
      <c r="R120" s="164"/>
      <c r="S120" s="467"/>
      <c r="T120" s="468"/>
      <c r="U120" s="469"/>
      <c r="V120" s="457"/>
      <c r="W120" s="457"/>
      <c r="X120" s="457"/>
      <c r="Y120" s="457"/>
      <c r="Z120" s="457"/>
    </row>
    <row r="121" spans="1:26" ht="18" customHeight="1">
      <c r="A121" s="464"/>
      <c r="B121" s="458"/>
      <c r="C121" s="483"/>
      <c r="D121" s="464"/>
      <c r="E121" s="464"/>
      <c r="F121" s="484"/>
      <c r="G121" s="460"/>
      <c r="H121" s="485"/>
      <c r="I121" s="164"/>
      <c r="J121" s="462"/>
      <c r="K121" s="481"/>
      <c r="L121" s="464"/>
      <c r="M121" s="164"/>
      <c r="N121" s="465"/>
      <c r="O121" s="462"/>
      <c r="P121" s="486"/>
      <c r="Q121" s="487"/>
      <c r="R121" s="164"/>
      <c r="S121" s="467"/>
      <c r="T121" s="468"/>
      <c r="U121" s="469"/>
      <c r="V121" s="457"/>
      <c r="W121" s="457"/>
      <c r="X121" s="457"/>
      <c r="Y121" s="457"/>
      <c r="Z121" s="457"/>
    </row>
    <row r="122" spans="1:26" ht="18" customHeight="1">
      <c r="A122" s="464"/>
      <c r="B122" s="458"/>
      <c r="C122" s="483"/>
      <c r="D122" s="464"/>
      <c r="E122" s="464"/>
      <c r="F122" s="484"/>
      <c r="G122" s="460"/>
      <c r="H122" s="485"/>
      <c r="I122" s="164"/>
      <c r="J122" s="462"/>
      <c r="K122" s="481"/>
      <c r="L122" s="464"/>
      <c r="M122" s="164"/>
      <c r="N122" s="465"/>
      <c r="O122" s="462"/>
      <c r="P122" s="486"/>
      <c r="Q122" s="487"/>
      <c r="R122" s="164"/>
      <c r="S122" s="467"/>
      <c r="T122" s="468"/>
      <c r="U122" s="469"/>
      <c r="V122" s="457"/>
      <c r="W122" s="457"/>
      <c r="X122" s="457"/>
      <c r="Y122" s="457"/>
      <c r="Z122" s="457"/>
    </row>
    <row r="123" spans="1:26" ht="18" customHeight="1">
      <c r="A123" s="464"/>
      <c r="B123" s="458"/>
      <c r="C123" s="483"/>
      <c r="D123" s="464"/>
      <c r="E123" s="464"/>
      <c r="F123" s="484"/>
      <c r="G123" s="460"/>
      <c r="H123" s="485"/>
      <c r="I123" s="164"/>
      <c r="J123" s="462"/>
      <c r="K123" s="481"/>
      <c r="L123" s="464"/>
      <c r="M123" s="164"/>
      <c r="N123" s="465"/>
      <c r="O123" s="462"/>
      <c r="P123" s="486"/>
      <c r="Q123" s="487"/>
      <c r="R123" s="164"/>
      <c r="S123" s="467"/>
      <c r="T123" s="468"/>
      <c r="U123" s="469"/>
      <c r="V123" s="457"/>
      <c r="W123" s="457"/>
      <c r="X123" s="457"/>
      <c r="Y123" s="457"/>
      <c r="Z123" s="457"/>
    </row>
    <row r="124" spans="1:26" ht="18" customHeight="1">
      <c r="A124" s="464"/>
      <c r="B124" s="458"/>
      <c r="C124" s="483"/>
      <c r="D124" s="464"/>
      <c r="E124" s="464"/>
      <c r="F124" s="484"/>
      <c r="G124" s="460"/>
      <c r="H124" s="485"/>
      <c r="I124" s="164"/>
      <c r="J124" s="462"/>
      <c r="K124" s="481"/>
      <c r="L124" s="464"/>
      <c r="M124" s="164"/>
      <c r="N124" s="465"/>
      <c r="O124" s="462"/>
      <c r="P124" s="486"/>
      <c r="Q124" s="487"/>
      <c r="R124" s="164"/>
      <c r="S124" s="467"/>
      <c r="T124" s="468"/>
      <c r="U124" s="469"/>
      <c r="V124" s="457"/>
      <c r="W124" s="457"/>
      <c r="X124" s="457"/>
      <c r="Y124" s="457"/>
      <c r="Z124" s="457"/>
    </row>
    <row r="125" spans="1:26" ht="18" customHeight="1">
      <c r="A125" s="464"/>
      <c r="B125" s="458"/>
      <c r="C125" s="483"/>
      <c r="D125" s="464"/>
      <c r="E125" s="464"/>
      <c r="F125" s="484"/>
      <c r="G125" s="460"/>
      <c r="H125" s="485"/>
      <c r="I125" s="164"/>
      <c r="J125" s="462"/>
      <c r="K125" s="481"/>
      <c r="L125" s="464"/>
      <c r="M125" s="164"/>
      <c r="N125" s="465"/>
      <c r="O125" s="462"/>
      <c r="P125" s="486"/>
      <c r="Q125" s="487"/>
      <c r="R125" s="164"/>
      <c r="S125" s="467"/>
      <c r="T125" s="468"/>
      <c r="U125" s="469"/>
      <c r="V125" s="457"/>
      <c r="W125" s="457"/>
      <c r="X125" s="457"/>
      <c r="Y125" s="457"/>
      <c r="Z125" s="457"/>
    </row>
    <row r="126" spans="1:26" ht="18" customHeight="1">
      <c r="A126" s="464"/>
      <c r="B126" s="458"/>
      <c r="C126" s="483"/>
      <c r="D126" s="464"/>
      <c r="E126" s="464"/>
      <c r="F126" s="484"/>
      <c r="G126" s="460"/>
      <c r="H126" s="485"/>
      <c r="I126" s="164"/>
      <c r="J126" s="462"/>
      <c r="K126" s="481"/>
      <c r="L126" s="464"/>
      <c r="M126" s="164"/>
      <c r="N126" s="465"/>
      <c r="O126" s="462"/>
      <c r="P126" s="486"/>
      <c r="Q126" s="487"/>
      <c r="R126" s="164"/>
      <c r="S126" s="467"/>
      <c r="T126" s="468"/>
      <c r="U126" s="469"/>
      <c r="V126" s="457"/>
      <c r="W126" s="457"/>
      <c r="X126" s="457"/>
      <c r="Y126" s="457"/>
      <c r="Z126" s="457"/>
    </row>
    <row r="127" spans="1:26" ht="18" customHeight="1">
      <c r="A127" s="464"/>
      <c r="B127" s="458"/>
      <c r="C127" s="483"/>
      <c r="D127" s="464"/>
      <c r="E127" s="464"/>
      <c r="F127" s="484"/>
      <c r="G127" s="460"/>
      <c r="H127" s="485"/>
      <c r="I127" s="164"/>
      <c r="J127" s="462"/>
      <c r="K127" s="481"/>
      <c r="L127" s="464"/>
      <c r="M127" s="164"/>
      <c r="N127" s="465"/>
      <c r="O127" s="462"/>
      <c r="P127" s="486"/>
      <c r="Q127" s="487"/>
      <c r="R127" s="164"/>
      <c r="S127" s="467"/>
      <c r="T127" s="468"/>
      <c r="U127" s="469"/>
      <c r="V127" s="457"/>
      <c r="W127" s="457"/>
      <c r="X127" s="457"/>
      <c r="Y127" s="457"/>
      <c r="Z127" s="457"/>
    </row>
    <row r="128" spans="1:26" ht="18" customHeight="1">
      <c r="A128" s="464"/>
      <c r="B128" s="458"/>
      <c r="C128" s="483"/>
      <c r="D128" s="464"/>
      <c r="E128" s="464"/>
      <c r="F128" s="484"/>
      <c r="G128" s="460"/>
      <c r="H128" s="485"/>
      <c r="I128" s="164"/>
      <c r="J128" s="462"/>
      <c r="K128" s="481"/>
      <c r="L128" s="464"/>
      <c r="M128" s="164"/>
      <c r="N128" s="465"/>
      <c r="O128" s="462"/>
      <c r="P128" s="486"/>
      <c r="Q128" s="487"/>
      <c r="R128" s="164"/>
      <c r="S128" s="467"/>
      <c r="T128" s="468"/>
      <c r="U128" s="469"/>
      <c r="V128" s="457"/>
      <c r="W128" s="457"/>
      <c r="X128" s="457"/>
      <c r="Y128" s="457"/>
      <c r="Z128" s="457"/>
    </row>
    <row r="129" spans="1:26" ht="18" customHeight="1">
      <c r="A129" s="464"/>
      <c r="B129" s="458"/>
      <c r="C129" s="483"/>
      <c r="D129" s="464"/>
      <c r="E129" s="464"/>
      <c r="F129" s="484"/>
      <c r="G129" s="460"/>
      <c r="H129" s="485"/>
      <c r="I129" s="164"/>
      <c r="J129" s="462"/>
      <c r="K129" s="481"/>
      <c r="L129" s="464"/>
      <c r="M129" s="164"/>
      <c r="N129" s="465"/>
      <c r="O129" s="462"/>
      <c r="P129" s="486"/>
      <c r="Q129" s="487"/>
      <c r="R129" s="164"/>
      <c r="S129" s="467"/>
      <c r="T129" s="468"/>
      <c r="U129" s="469"/>
      <c r="V129" s="457"/>
      <c r="W129" s="457"/>
      <c r="X129" s="457"/>
      <c r="Y129" s="457"/>
      <c r="Z129" s="457"/>
    </row>
    <row r="130" spans="1:26" ht="18" customHeight="1">
      <c r="A130" s="464"/>
      <c r="B130" s="458"/>
      <c r="C130" s="483"/>
      <c r="D130" s="464"/>
      <c r="E130" s="464"/>
      <c r="F130" s="484"/>
      <c r="G130" s="460"/>
      <c r="H130" s="485"/>
      <c r="I130" s="164"/>
      <c r="J130" s="462"/>
      <c r="K130" s="481"/>
      <c r="L130" s="464"/>
      <c r="M130" s="164"/>
      <c r="N130" s="465"/>
      <c r="O130" s="462"/>
      <c r="P130" s="486"/>
      <c r="Q130" s="487"/>
      <c r="R130" s="164"/>
      <c r="S130" s="467"/>
      <c r="T130" s="468"/>
      <c r="U130" s="469"/>
      <c r="V130" s="457"/>
      <c r="W130" s="457"/>
      <c r="X130" s="457"/>
      <c r="Y130" s="457"/>
      <c r="Z130" s="457"/>
    </row>
    <row r="131" spans="1:26" ht="18" customHeight="1">
      <c r="A131" s="464"/>
      <c r="B131" s="458"/>
      <c r="C131" s="483"/>
      <c r="D131" s="464"/>
      <c r="E131" s="464"/>
      <c r="F131" s="484"/>
      <c r="G131" s="460"/>
      <c r="H131" s="485"/>
      <c r="I131" s="164"/>
      <c r="J131" s="462"/>
      <c r="K131" s="481"/>
      <c r="L131" s="464"/>
      <c r="M131" s="164"/>
      <c r="N131" s="465"/>
      <c r="O131" s="462"/>
      <c r="P131" s="486"/>
      <c r="Q131" s="487"/>
      <c r="R131" s="164"/>
      <c r="S131" s="467"/>
      <c r="T131" s="468"/>
      <c r="U131" s="469"/>
      <c r="V131" s="457"/>
      <c r="W131" s="457"/>
      <c r="X131" s="457"/>
      <c r="Y131" s="457"/>
      <c r="Z131" s="457"/>
    </row>
    <row r="132" spans="1:26" ht="18" customHeight="1">
      <c r="A132" s="464"/>
      <c r="B132" s="458"/>
      <c r="C132" s="483"/>
      <c r="D132" s="464"/>
      <c r="E132" s="464"/>
      <c r="F132" s="484"/>
      <c r="G132" s="460"/>
      <c r="H132" s="485"/>
      <c r="I132" s="164"/>
      <c r="J132" s="462"/>
      <c r="K132" s="481"/>
      <c r="L132" s="464"/>
      <c r="M132" s="164"/>
      <c r="N132" s="465"/>
      <c r="O132" s="462"/>
      <c r="P132" s="486"/>
      <c r="Q132" s="487"/>
      <c r="R132" s="164"/>
      <c r="S132" s="467"/>
      <c r="T132" s="468"/>
      <c r="U132" s="469"/>
      <c r="V132" s="457"/>
      <c r="W132" s="457"/>
      <c r="X132" s="457"/>
      <c r="Y132" s="457"/>
      <c r="Z132" s="457"/>
    </row>
    <row r="133" spans="1:26" ht="18" customHeight="1">
      <c r="A133" s="464"/>
      <c r="B133" s="458"/>
      <c r="C133" s="483"/>
      <c r="D133" s="464"/>
      <c r="E133" s="464"/>
      <c r="F133" s="484"/>
      <c r="G133" s="460"/>
      <c r="H133" s="485"/>
      <c r="I133" s="164"/>
      <c r="J133" s="462"/>
      <c r="K133" s="481"/>
      <c r="L133" s="464"/>
      <c r="M133" s="164"/>
      <c r="N133" s="465"/>
      <c r="O133" s="462"/>
      <c r="P133" s="486"/>
      <c r="Q133" s="487"/>
      <c r="R133" s="164"/>
      <c r="S133" s="467"/>
      <c r="T133" s="468"/>
      <c r="U133" s="469"/>
      <c r="V133" s="457"/>
      <c r="W133" s="457"/>
      <c r="X133" s="457"/>
      <c r="Y133" s="457"/>
      <c r="Z133" s="457"/>
    </row>
    <row r="134" spans="1:26" ht="18" customHeight="1">
      <c r="A134" s="464"/>
      <c r="B134" s="458"/>
      <c r="C134" s="483"/>
      <c r="D134" s="464"/>
      <c r="E134" s="464"/>
      <c r="F134" s="484"/>
      <c r="G134" s="460"/>
      <c r="H134" s="485"/>
      <c r="I134" s="164"/>
      <c r="J134" s="462"/>
      <c r="K134" s="481"/>
      <c r="L134" s="464"/>
      <c r="M134" s="164"/>
      <c r="N134" s="465"/>
      <c r="O134" s="462"/>
      <c r="P134" s="486"/>
      <c r="Q134" s="487"/>
      <c r="R134" s="164"/>
      <c r="S134" s="467"/>
      <c r="T134" s="468"/>
      <c r="U134" s="469"/>
      <c r="V134" s="457"/>
      <c r="W134" s="457"/>
      <c r="X134" s="457"/>
      <c r="Y134" s="457"/>
      <c r="Z134" s="457"/>
    </row>
    <row r="135" spans="1:26" ht="18" customHeight="1">
      <c r="A135" s="464"/>
      <c r="B135" s="458"/>
      <c r="C135" s="483"/>
      <c r="D135" s="464"/>
      <c r="E135" s="464"/>
      <c r="F135" s="484"/>
      <c r="G135" s="460"/>
      <c r="H135" s="485"/>
      <c r="I135" s="164"/>
      <c r="J135" s="462"/>
      <c r="K135" s="481"/>
      <c r="L135" s="464"/>
      <c r="M135" s="164"/>
      <c r="N135" s="465"/>
      <c r="O135" s="462"/>
      <c r="P135" s="486"/>
      <c r="Q135" s="487"/>
      <c r="R135" s="164"/>
      <c r="S135" s="467"/>
      <c r="T135" s="468"/>
      <c r="U135" s="469"/>
      <c r="V135" s="457"/>
      <c r="W135" s="457"/>
      <c r="X135" s="457"/>
      <c r="Y135" s="457"/>
      <c r="Z135" s="457"/>
    </row>
    <row r="136" spans="1:26" ht="18" customHeight="1">
      <c r="A136" s="464"/>
      <c r="B136" s="458"/>
      <c r="C136" s="483"/>
      <c r="D136" s="464"/>
      <c r="E136" s="464"/>
      <c r="F136" s="484"/>
      <c r="G136" s="460"/>
      <c r="H136" s="485"/>
      <c r="I136" s="164"/>
      <c r="J136" s="462"/>
      <c r="K136" s="481"/>
      <c r="L136" s="464"/>
      <c r="M136" s="164"/>
      <c r="N136" s="465"/>
      <c r="O136" s="462"/>
      <c r="P136" s="486"/>
      <c r="Q136" s="487"/>
      <c r="R136" s="164"/>
      <c r="S136" s="467"/>
      <c r="T136" s="468"/>
      <c r="U136" s="469"/>
      <c r="V136" s="457"/>
      <c r="W136" s="457"/>
      <c r="X136" s="457"/>
      <c r="Y136" s="457"/>
      <c r="Z136" s="457"/>
    </row>
    <row r="137" spans="1:26" ht="18" customHeight="1">
      <c r="A137" s="464"/>
      <c r="B137" s="458"/>
      <c r="C137" s="483"/>
      <c r="D137" s="464"/>
      <c r="E137" s="464"/>
      <c r="F137" s="484"/>
      <c r="G137" s="460"/>
      <c r="H137" s="485"/>
      <c r="I137" s="164"/>
      <c r="J137" s="462"/>
      <c r="K137" s="481"/>
      <c r="L137" s="464"/>
      <c r="M137" s="164"/>
      <c r="N137" s="465"/>
      <c r="O137" s="462"/>
      <c r="P137" s="486"/>
      <c r="Q137" s="487"/>
      <c r="R137" s="164"/>
      <c r="S137" s="467"/>
      <c r="T137" s="468"/>
      <c r="U137" s="469"/>
      <c r="V137" s="457"/>
      <c r="W137" s="457"/>
      <c r="X137" s="457"/>
      <c r="Y137" s="457"/>
      <c r="Z137" s="457"/>
    </row>
    <row r="138" spans="1:26" ht="18" customHeight="1">
      <c r="A138" s="464"/>
      <c r="B138" s="458"/>
      <c r="C138" s="483"/>
      <c r="D138" s="464"/>
      <c r="E138" s="464"/>
      <c r="F138" s="484"/>
      <c r="G138" s="460"/>
      <c r="H138" s="485"/>
      <c r="I138" s="164"/>
      <c r="J138" s="462"/>
      <c r="K138" s="481"/>
      <c r="L138" s="464"/>
      <c r="M138" s="164"/>
      <c r="N138" s="465"/>
      <c r="O138" s="462"/>
      <c r="P138" s="486"/>
      <c r="Q138" s="487"/>
      <c r="R138" s="164"/>
      <c r="S138" s="467"/>
      <c r="T138" s="468"/>
      <c r="U138" s="469"/>
      <c r="V138" s="457"/>
      <c r="W138" s="457"/>
      <c r="X138" s="457"/>
      <c r="Y138" s="457"/>
      <c r="Z138" s="457"/>
    </row>
    <row r="139" spans="1:26" ht="18" customHeight="1">
      <c r="A139" s="464"/>
      <c r="B139" s="458"/>
      <c r="C139" s="483"/>
      <c r="D139" s="464"/>
      <c r="E139" s="464"/>
      <c r="F139" s="484"/>
      <c r="G139" s="460"/>
      <c r="H139" s="485"/>
      <c r="I139" s="164"/>
      <c r="J139" s="462"/>
      <c r="K139" s="481"/>
      <c r="L139" s="464"/>
      <c r="M139" s="164"/>
      <c r="N139" s="465"/>
      <c r="O139" s="462"/>
      <c r="P139" s="486"/>
      <c r="Q139" s="487"/>
      <c r="R139" s="164"/>
      <c r="S139" s="467"/>
      <c r="T139" s="468"/>
      <c r="U139" s="469"/>
      <c r="V139" s="457"/>
      <c r="W139" s="457"/>
      <c r="X139" s="457"/>
      <c r="Y139" s="457"/>
      <c r="Z139" s="457"/>
    </row>
    <row r="140" spans="1:26" ht="18" customHeight="1">
      <c r="A140" s="464"/>
      <c r="B140" s="458"/>
      <c r="C140" s="483"/>
      <c r="D140" s="464"/>
      <c r="E140" s="464"/>
      <c r="F140" s="484"/>
      <c r="G140" s="460"/>
      <c r="H140" s="485"/>
      <c r="I140" s="164"/>
      <c r="J140" s="462"/>
      <c r="K140" s="481"/>
      <c r="L140" s="464"/>
      <c r="M140" s="164"/>
      <c r="N140" s="465"/>
      <c r="O140" s="462"/>
      <c r="P140" s="486"/>
      <c r="Q140" s="487"/>
      <c r="R140" s="164"/>
      <c r="S140" s="467"/>
      <c r="T140" s="468"/>
      <c r="U140" s="469"/>
      <c r="V140" s="457"/>
      <c r="W140" s="457"/>
      <c r="X140" s="457"/>
      <c r="Y140" s="457"/>
      <c r="Z140" s="457"/>
    </row>
    <row r="141" spans="1:26" ht="18" customHeight="1">
      <c r="A141" s="464"/>
      <c r="B141" s="458"/>
      <c r="C141" s="483"/>
      <c r="D141" s="464"/>
      <c r="E141" s="464"/>
      <c r="F141" s="484"/>
      <c r="G141" s="460"/>
      <c r="H141" s="485"/>
      <c r="I141" s="164"/>
      <c r="J141" s="462"/>
      <c r="K141" s="481"/>
      <c r="L141" s="464"/>
      <c r="M141" s="164"/>
      <c r="N141" s="465"/>
      <c r="O141" s="462"/>
      <c r="P141" s="486"/>
      <c r="Q141" s="487"/>
      <c r="R141" s="164"/>
      <c r="S141" s="467"/>
      <c r="T141" s="468"/>
      <c r="U141" s="469"/>
      <c r="V141" s="457"/>
      <c r="W141" s="457"/>
      <c r="X141" s="457"/>
      <c r="Y141" s="457"/>
      <c r="Z141" s="457"/>
    </row>
    <row r="142" spans="1:26" ht="18" customHeight="1">
      <c r="A142" s="464"/>
      <c r="B142" s="458"/>
      <c r="C142" s="483"/>
      <c r="D142" s="464"/>
      <c r="E142" s="464"/>
      <c r="F142" s="484"/>
      <c r="G142" s="460"/>
      <c r="H142" s="485"/>
      <c r="I142" s="164"/>
      <c r="J142" s="462"/>
      <c r="K142" s="481"/>
      <c r="L142" s="464"/>
      <c r="M142" s="164"/>
      <c r="N142" s="465"/>
      <c r="O142" s="462"/>
      <c r="P142" s="486"/>
      <c r="Q142" s="487"/>
      <c r="R142" s="164"/>
      <c r="S142" s="467"/>
      <c r="T142" s="468"/>
      <c r="U142" s="469"/>
      <c r="V142" s="457"/>
      <c r="W142" s="457"/>
      <c r="X142" s="457"/>
      <c r="Y142" s="457"/>
      <c r="Z142" s="457"/>
    </row>
    <row r="143" spans="1:26" ht="18" customHeight="1">
      <c r="A143" s="464"/>
      <c r="B143" s="458"/>
      <c r="C143" s="483"/>
      <c r="D143" s="464"/>
      <c r="E143" s="464"/>
      <c r="F143" s="484"/>
      <c r="G143" s="460"/>
      <c r="H143" s="485"/>
      <c r="I143" s="164"/>
      <c r="J143" s="462"/>
      <c r="K143" s="481"/>
      <c r="L143" s="464"/>
      <c r="M143" s="164"/>
      <c r="N143" s="465"/>
      <c r="O143" s="462"/>
      <c r="P143" s="486"/>
      <c r="Q143" s="487"/>
      <c r="R143" s="164"/>
      <c r="S143" s="467"/>
      <c r="T143" s="468"/>
      <c r="U143" s="469"/>
      <c r="V143" s="457"/>
      <c r="W143" s="457"/>
      <c r="X143" s="457"/>
      <c r="Y143" s="457"/>
      <c r="Z143" s="457"/>
    </row>
    <row r="144" spans="1:26" ht="18" customHeight="1">
      <c r="A144" s="464"/>
      <c r="B144" s="458"/>
      <c r="C144" s="483"/>
      <c r="D144" s="464"/>
      <c r="E144" s="464"/>
      <c r="F144" s="484"/>
      <c r="G144" s="460"/>
      <c r="H144" s="485"/>
      <c r="I144" s="164"/>
      <c r="J144" s="462"/>
      <c r="K144" s="481"/>
      <c r="L144" s="464"/>
      <c r="M144" s="164"/>
      <c r="N144" s="465"/>
      <c r="O144" s="462"/>
      <c r="P144" s="486"/>
      <c r="Q144" s="487"/>
      <c r="R144" s="164"/>
      <c r="S144" s="467"/>
      <c r="T144" s="468"/>
      <c r="U144" s="469"/>
      <c r="V144" s="457"/>
      <c r="W144" s="457"/>
      <c r="X144" s="457"/>
      <c r="Y144" s="457"/>
      <c r="Z144" s="457"/>
    </row>
    <row r="145" spans="1:26" ht="18" customHeight="1">
      <c r="A145" s="464"/>
      <c r="B145" s="458"/>
      <c r="C145" s="483"/>
      <c r="D145" s="464"/>
      <c r="E145" s="464"/>
      <c r="F145" s="484"/>
      <c r="G145" s="460"/>
      <c r="H145" s="485"/>
      <c r="I145" s="164"/>
      <c r="J145" s="462"/>
      <c r="K145" s="481"/>
      <c r="L145" s="464"/>
      <c r="M145" s="164"/>
      <c r="N145" s="465"/>
      <c r="O145" s="462"/>
      <c r="P145" s="486"/>
      <c r="Q145" s="487"/>
      <c r="R145" s="164"/>
      <c r="S145" s="467"/>
      <c r="T145" s="468"/>
      <c r="U145" s="469"/>
      <c r="V145" s="457"/>
      <c r="W145" s="457"/>
      <c r="X145" s="457"/>
      <c r="Y145" s="457"/>
      <c r="Z145" s="457"/>
    </row>
    <row r="146" spans="1:26" ht="18" customHeight="1">
      <c r="A146" s="464"/>
      <c r="B146" s="458"/>
      <c r="C146" s="483"/>
      <c r="D146" s="464"/>
      <c r="E146" s="464"/>
      <c r="F146" s="484"/>
      <c r="G146" s="460"/>
      <c r="H146" s="485"/>
      <c r="I146" s="164"/>
      <c r="J146" s="462"/>
      <c r="K146" s="481"/>
      <c r="L146" s="464"/>
      <c r="M146" s="164"/>
      <c r="N146" s="465"/>
      <c r="O146" s="462"/>
      <c r="P146" s="486"/>
      <c r="Q146" s="487"/>
      <c r="R146" s="164"/>
      <c r="S146" s="467"/>
      <c r="T146" s="468"/>
      <c r="U146" s="469"/>
      <c r="V146" s="457"/>
      <c r="W146" s="457"/>
      <c r="X146" s="457"/>
      <c r="Y146" s="457"/>
      <c r="Z146" s="457"/>
    </row>
    <row r="147" spans="1:26" ht="18" customHeight="1">
      <c r="A147" s="464"/>
      <c r="B147" s="458"/>
      <c r="C147" s="483"/>
      <c r="D147" s="464"/>
      <c r="E147" s="464"/>
      <c r="F147" s="484"/>
      <c r="G147" s="460"/>
      <c r="H147" s="485"/>
      <c r="I147" s="164"/>
      <c r="J147" s="462"/>
      <c r="K147" s="481"/>
      <c r="L147" s="464"/>
      <c r="M147" s="164"/>
      <c r="N147" s="465"/>
      <c r="O147" s="462"/>
      <c r="P147" s="486"/>
      <c r="Q147" s="487"/>
      <c r="R147" s="164"/>
      <c r="S147" s="467"/>
      <c r="T147" s="468"/>
      <c r="U147" s="469"/>
      <c r="V147" s="457"/>
      <c r="W147" s="457"/>
      <c r="X147" s="457"/>
      <c r="Y147" s="457"/>
      <c r="Z147" s="457"/>
    </row>
    <row r="148" spans="1:26" ht="18" customHeight="1">
      <c r="A148" s="464"/>
      <c r="B148" s="458"/>
      <c r="C148" s="483"/>
      <c r="D148" s="464"/>
      <c r="E148" s="464"/>
      <c r="F148" s="484"/>
      <c r="G148" s="460"/>
      <c r="H148" s="485"/>
      <c r="I148" s="164"/>
      <c r="J148" s="462"/>
      <c r="K148" s="481"/>
      <c r="L148" s="464"/>
      <c r="M148" s="164"/>
      <c r="N148" s="465"/>
      <c r="O148" s="462"/>
      <c r="P148" s="486"/>
      <c r="Q148" s="487"/>
      <c r="R148" s="164"/>
      <c r="S148" s="467"/>
      <c r="T148" s="468"/>
      <c r="U148" s="469"/>
      <c r="V148" s="457"/>
      <c r="W148" s="457"/>
      <c r="X148" s="457"/>
      <c r="Y148" s="457"/>
      <c r="Z148" s="457"/>
    </row>
    <row r="149" spans="1:26" ht="18" customHeight="1">
      <c r="A149" s="464"/>
      <c r="B149" s="458"/>
      <c r="C149" s="483"/>
      <c r="D149" s="464"/>
      <c r="E149" s="464"/>
      <c r="F149" s="484"/>
      <c r="G149" s="460"/>
      <c r="H149" s="485"/>
      <c r="I149" s="164"/>
      <c r="J149" s="462"/>
      <c r="K149" s="481"/>
      <c r="L149" s="464"/>
      <c r="M149" s="164"/>
      <c r="N149" s="465"/>
      <c r="O149" s="462"/>
      <c r="P149" s="486"/>
      <c r="Q149" s="487"/>
      <c r="R149" s="164"/>
      <c r="S149" s="467"/>
      <c r="T149" s="468"/>
      <c r="U149" s="469"/>
      <c r="V149" s="457"/>
      <c r="W149" s="457"/>
      <c r="X149" s="457"/>
      <c r="Y149" s="457"/>
      <c r="Z149" s="457"/>
    </row>
    <row r="150" spans="1:26" ht="18" customHeight="1">
      <c r="A150" s="464"/>
      <c r="B150" s="458"/>
      <c r="C150" s="483"/>
      <c r="D150" s="464"/>
      <c r="E150" s="464"/>
      <c r="F150" s="484"/>
      <c r="G150" s="460"/>
      <c r="H150" s="485"/>
      <c r="I150" s="164"/>
      <c r="J150" s="462"/>
      <c r="K150" s="481"/>
      <c r="L150" s="464"/>
      <c r="M150" s="164"/>
      <c r="N150" s="465"/>
      <c r="O150" s="462"/>
      <c r="P150" s="486"/>
      <c r="Q150" s="487"/>
      <c r="R150" s="164"/>
      <c r="S150" s="467"/>
      <c r="T150" s="468"/>
      <c r="U150" s="469"/>
      <c r="V150" s="457"/>
      <c r="W150" s="457"/>
      <c r="X150" s="457"/>
      <c r="Y150" s="457"/>
      <c r="Z150" s="457"/>
    </row>
    <row r="151" spans="1:26" ht="18" customHeight="1">
      <c r="A151" s="464"/>
      <c r="B151" s="458"/>
      <c r="C151" s="483"/>
      <c r="D151" s="464"/>
      <c r="E151" s="464"/>
      <c r="F151" s="484"/>
      <c r="G151" s="460"/>
      <c r="H151" s="485"/>
      <c r="I151" s="164"/>
      <c r="J151" s="462"/>
      <c r="K151" s="481"/>
      <c r="L151" s="464"/>
      <c r="M151" s="164"/>
      <c r="N151" s="465"/>
      <c r="O151" s="462"/>
      <c r="P151" s="486"/>
      <c r="Q151" s="487"/>
      <c r="R151" s="164"/>
      <c r="S151" s="467"/>
      <c r="T151" s="468"/>
      <c r="U151" s="469"/>
      <c r="V151" s="457"/>
      <c r="W151" s="457"/>
      <c r="X151" s="457"/>
      <c r="Y151" s="457"/>
      <c r="Z151" s="457"/>
    </row>
    <row r="152" spans="1:26" ht="18" customHeight="1">
      <c r="A152" s="464"/>
      <c r="B152" s="458"/>
      <c r="C152" s="483"/>
      <c r="D152" s="464"/>
      <c r="E152" s="464"/>
      <c r="F152" s="484"/>
      <c r="G152" s="460"/>
      <c r="H152" s="485"/>
      <c r="I152" s="164"/>
      <c r="J152" s="462"/>
      <c r="K152" s="481"/>
      <c r="L152" s="464"/>
      <c r="M152" s="164"/>
      <c r="N152" s="465"/>
      <c r="O152" s="462"/>
      <c r="P152" s="486"/>
      <c r="Q152" s="487"/>
      <c r="R152" s="164"/>
      <c r="S152" s="467"/>
      <c r="T152" s="468"/>
      <c r="U152" s="469"/>
      <c r="V152" s="457"/>
      <c r="W152" s="457"/>
      <c r="X152" s="457"/>
      <c r="Y152" s="457"/>
      <c r="Z152" s="457"/>
    </row>
    <row r="153" spans="1:26" ht="18" customHeight="1">
      <c r="A153" s="464"/>
      <c r="B153" s="458"/>
      <c r="C153" s="483"/>
      <c r="D153" s="464"/>
      <c r="E153" s="464"/>
      <c r="F153" s="484"/>
      <c r="G153" s="460"/>
      <c r="H153" s="485"/>
      <c r="I153" s="164"/>
      <c r="J153" s="462"/>
      <c r="K153" s="481"/>
      <c r="L153" s="464"/>
      <c r="M153" s="164"/>
      <c r="N153" s="465"/>
      <c r="O153" s="462"/>
      <c r="P153" s="486"/>
      <c r="Q153" s="487"/>
      <c r="R153" s="164"/>
      <c r="S153" s="467"/>
      <c r="T153" s="468"/>
      <c r="U153" s="469"/>
      <c r="V153" s="457"/>
      <c r="W153" s="457"/>
      <c r="X153" s="457"/>
      <c r="Y153" s="457"/>
      <c r="Z153" s="457"/>
    </row>
    <row r="154" spans="1:26" ht="18" customHeight="1">
      <c r="A154" s="464"/>
      <c r="B154" s="458"/>
      <c r="C154" s="483"/>
      <c r="D154" s="464"/>
      <c r="E154" s="464"/>
      <c r="F154" s="484"/>
      <c r="G154" s="460"/>
      <c r="H154" s="485"/>
      <c r="I154" s="164"/>
      <c r="J154" s="462"/>
      <c r="K154" s="481"/>
      <c r="L154" s="464"/>
      <c r="M154" s="164"/>
      <c r="N154" s="465"/>
      <c r="O154" s="462"/>
      <c r="P154" s="486"/>
      <c r="Q154" s="487"/>
      <c r="R154" s="164"/>
      <c r="S154" s="467"/>
      <c r="T154" s="468"/>
      <c r="U154" s="469"/>
      <c r="V154" s="457"/>
      <c r="W154" s="457"/>
      <c r="X154" s="457"/>
      <c r="Y154" s="457"/>
      <c r="Z154" s="457"/>
    </row>
    <row r="155" spans="1:26" ht="18" customHeight="1">
      <c r="A155" s="464"/>
      <c r="B155" s="458"/>
      <c r="C155" s="483"/>
      <c r="D155" s="464"/>
      <c r="E155" s="464"/>
      <c r="F155" s="484"/>
      <c r="G155" s="460"/>
      <c r="H155" s="485"/>
      <c r="I155" s="164"/>
      <c r="J155" s="462"/>
      <c r="K155" s="481"/>
      <c r="L155" s="464"/>
      <c r="M155" s="164"/>
      <c r="N155" s="465"/>
      <c r="O155" s="462"/>
      <c r="P155" s="486"/>
      <c r="Q155" s="487"/>
      <c r="R155" s="164"/>
      <c r="S155" s="467"/>
      <c r="T155" s="468"/>
      <c r="U155" s="469"/>
      <c r="V155" s="457"/>
      <c r="W155" s="457"/>
      <c r="X155" s="457"/>
      <c r="Y155" s="457"/>
      <c r="Z155" s="457"/>
    </row>
    <row r="156" spans="1:26" ht="18" customHeight="1">
      <c r="A156" s="464"/>
      <c r="B156" s="458"/>
      <c r="C156" s="483"/>
      <c r="D156" s="464"/>
      <c r="E156" s="464"/>
      <c r="F156" s="484"/>
      <c r="G156" s="460"/>
      <c r="H156" s="485"/>
      <c r="I156" s="164"/>
      <c r="J156" s="462"/>
      <c r="K156" s="481"/>
      <c r="L156" s="464"/>
      <c r="M156" s="164"/>
      <c r="N156" s="465"/>
      <c r="O156" s="462"/>
      <c r="P156" s="486"/>
      <c r="Q156" s="487"/>
      <c r="R156" s="164"/>
      <c r="S156" s="467"/>
      <c r="T156" s="468"/>
      <c r="U156" s="469"/>
      <c r="V156" s="457"/>
      <c r="W156" s="457"/>
      <c r="X156" s="457"/>
      <c r="Y156" s="457"/>
      <c r="Z156" s="457"/>
    </row>
    <row r="157" spans="1:26" ht="18" customHeight="1">
      <c r="A157" s="464"/>
      <c r="B157" s="458"/>
      <c r="C157" s="483"/>
      <c r="D157" s="464"/>
      <c r="E157" s="464"/>
      <c r="F157" s="484"/>
      <c r="G157" s="460"/>
      <c r="H157" s="485"/>
      <c r="I157" s="164"/>
      <c r="J157" s="462"/>
      <c r="K157" s="481"/>
      <c r="L157" s="464"/>
      <c r="M157" s="164"/>
      <c r="N157" s="465"/>
      <c r="O157" s="462"/>
      <c r="P157" s="486"/>
      <c r="Q157" s="487"/>
      <c r="R157" s="164"/>
      <c r="S157" s="467"/>
      <c r="T157" s="468"/>
      <c r="U157" s="469"/>
      <c r="V157" s="457"/>
      <c r="W157" s="457"/>
      <c r="X157" s="457"/>
      <c r="Y157" s="457"/>
      <c r="Z157" s="457"/>
    </row>
    <row r="158" spans="1:26" ht="18" customHeight="1">
      <c r="A158" s="464"/>
      <c r="B158" s="458"/>
      <c r="C158" s="483"/>
      <c r="D158" s="464"/>
      <c r="E158" s="464"/>
      <c r="F158" s="484"/>
      <c r="G158" s="460"/>
      <c r="H158" s="485"/>
      <c r="I158" s="164"/>
      <c r="J158" s="462"/>
      <c r="K158" s="481"/>
      <c r="L158" s="464"/>
      <c r="M158" s="164"/>
      <c r="N158" s="465"/>
      <c r="O158" s="462"/>
      <c r="P158" s="486"/>
      <c r="Q158" s="487"/>
      <c r="R158" s="164"/>
      <c r="S158" s="467"/>
      <c r="T158" s="468"/>
      <c r="U158" s="469"/>
      <c r="V158" s="457"/>
      <c r="W158" s="457"/>
      <c r="X158" s="457"/>
      <c r="Y158" s="457"/>
      <c r="Z158" s="457"/>
    </row>
    <row r="159" spans="1:26" ht="18" customHeight="1">
      <c r="A159" s="464"/>
      <c r="B159" s="458"/>
      <c r="C159" s="483"/>
      <c r="D159" s="464"/>
      <c r="E159" s="464"/>
      <c r="F159" s="484"/>
      <c r="G159" s="460"/>
      <c r="H159" s="485"/>
      <c r="I159" s="164"/>
      <c r="J159" s="462"/>
      <c r="K159" s="481"/>
      <c r="L159" s="464"/>
      <c r="M159" s="164"/>
      <c r="N159" s="465"/>
      <c r="O159" s="462"/>
      <c r="P159" s="486"/>
      <c r="Q159" s="487"/>
      <c r="R159" s="164"/>
      <c r="S159" s="467"/>
      <c r="T159" s="468"/>
      <c r="U159" s="469"/>
      <c r="V159" s="457"/>
      <c r="W159" s="457"/>
      <c r="X159" s="457"/>
      <c r="Y159" s="457"/>
      <c r="Z159" s="457"/>
    </row>
    <row r="160" spans="1:26" ht="18" customHeight="1">
      <c r="A160" s="464"/>
      <c r="B160" s="458"/>
      <c r="C160" s="483"/>
      <c r="D160" s="464"/>
      <c r="E160" s="464"/>
      <c r="F160" s="484"/>
      <c r="G160" s="460"/>
      <c r="H160" s="485"/>
      <c r="I160" s="164"/>
      <c r="J160" s="462"/>
      <c r="K160" s="481"/>
      <c r="L160" s="464"/>
      <c r="M160" s="164"/>
      <c r="N160" s="465"/>
      <c r="O160" s="462"/>
      <c r="P160" s="486"/>
      <c r="Q160" s="487"/>
      <c r="R160" s="164"/>
      <c r="S160" s="467"/>
      <c r="T160" s="468"/>
      <c r="U160" s="469"/>
      <c r="V160" s="457"/>
      <c r="W160" s="457"/>
      <c r="X160" s="457"/>
      <c r="Y160" s="457"/>
      <c r="Z160" s="457"/>
    </row>
    <row r="161" spans="1:26" ht="18" customHeight="1">
      <c r="A161" s="464"/>
      <c r="B161" s="458"/>
      <c r="C161" s="483"/>
      <c r="D161" s="464"/>
      <c r="E161" s="464"/>
      <c r="F161" s="484"/>
      <c r="G161" s="460"/>
      <c r="H161" s="485"/>
      <c r="I161" s="164"/>
      <c r="J161" s="462"/>
      <c r="K161" s="481"/>
      <c r="L161" s="464"/>
      <c r="M161" s="164"/>
      <c r="N161" s="465"/>
      <c r="O161" s="462"/>
      <c r="P161" s="486"/>
      <c r="Q161" s="487"/>
      <c r="R161" s="164"/>
      <c r="S161" s="467"/>
      <c r="T161" s="468"/>
      <c r="U161" s="469"/>
      <c r="V161" s="457"/>
      <c r="W161" s="457"/>
      <c r="X161" s="457"/>
      <c r="Y161" s="457"/>
      <c r="Z161" s="457"/>
    </row>
    <row r="162" spans="1:26" ht="18" customHeight="1">
      <c r="A162" s="464"/>
      <c r="B162" s="458"/>
      <c r="C162" s="483"/>
      <c r="D162" s="464"/>
      <c r="E162" s="464"/>
      <c r="F162" s="484"/>
      <c r="G162" s="460"/>
      <c r="H162" s="485"/>
      <c r="I162" s="164"/>
      <c r="J162" s="462"/>
      <c r="K162" s="481"/>
      <c r="L162" s="464"/>
      <c r="M162" s="164"/>
      <c r="N162" s="465"/>
      <c r="O162" s="462"/>
      <c r="P162" s="486"/>
      <c r="Q162" s="487"/>
      <c r="R162" s="164"/>
      <c r="S162" s="467"/>
      <c r="T162" s="468"/>
      <c r="U162" s="469"/>
      <c r="V162" s="457"/>
      <c r="W162" s="457"/>
      <c r="X162" s="457"/>
      <c r="Y162" s="457"/>
      <c r="Z162" s="457"/>
    </row>
    <row r="163" spans="1:26" ht="18" customHeight="1">
      <c r="A163" s="464"/>
      <c r="B163" s="458"/>
      <c r="C163" s="483"/>
      <c r="D163" s="464"/>
      <c r="E163" s="464"/>
      <c r="F163" s="484"/>
      <c r="G163" s="460"/>
      <c r="H163" s="485"/>
      <c r="I163" s="164"/>
      <c r="J163" s="462"/>
      <c r="K163" s="481"/>
      <c r="L163" s="464"/>
      <c r="M163" s="164"/>
      <c r="N163" s="465"/>
      <c r="O163" s="462"/>
      <c r="P163" s="486"/>
      <c r="Q163" s="487"/>
      <c r="R163" s="164"/>
      <c r="S163" s="467"/>
      <c r="T163" s="468"/>
      <c r="U163" s="469"/>
      <c r="V163" s="457"/>
      <c r="W163" s="457"/>
      <c r="X163" s="457"/>
      <c r="Y163" s="457"/>
      <c r="Z163" s="457"/>
    </row>
    <row r="164" spans="1:26" ht="18" customHeight="1">
      <c r="A164" s="464"/>
      <c r="B164" s="458"/>
      <c r="C164" s="483"/>
      <c r="D164" s="464"/>
      <c r="E164" s="464"/>
      <c r="F164" s="484"/>
      <c r="G164" s="460"/>
      <c r="H164" s="485"/>
      <c r="I164" s="164"/>
      <c r="J164" s="462"/>
      <c r="K164" s="481"/>
      <c r="L164" s="464"/>
      <c r="M164" s="164"/>
      <c r="N164" s="465"/>
      <c r="O164" s="462"/>
      <c r="P164" s="486"/>
      <c r="Q164" s="487"/>
      <c r="R164" s="164"/>
      <c r="S164" s="467"/>
      <c r="T164" s="468"/>
      <c r="U164" s="469"/>
      <c r="V164" s="457"/>
      <c r="W164" s="457"/>
      <c r="X164" s="457"/>
      <c r="Y164" s="457"/>
      <c r="Z164" s="457"/>
    </row>
    <row r="165" spans="1:26" ht="18" customHeight="1">
      <c r="A165" s="464"/>
      <c r="B165" s="458"/>
      <c r="C165" s="483"/>
      <c r="D165" s="464"/>
      <c r="E165" s="464"/>
      <c r="F165" s="484"/>
      <c r="G165" s="460"/>
      <c r="H165" s="485"/>
      <c r="I165" s="164"/>
      <c r="J165" s="462"/>
      <c r="K165" s="481"/>
      <c r="L165" s="464"/>
      <c r="M165" s="164"/>
      <c r="N165" s="465"/>
      <c r="O165" s="462"/>
      <c r="P165" s="486"/>
      <c r="Q165" s="487"/>
      <c r="R165" s="164"/>
      <c r="S165" s="467"/>
      <c r="T165" s="468"/>
      <c r="U165" s="469"/>
      <c r="V165" s="457"/>
      <c r="W165" s="457"/>
      <c r="X165" s="457"/>
      <c r="Y165" s="457"/>
      <c r="Z165" s="457"/>
    </row>
    <row r="166" spans="1:26" ht="18" customHeight="1">
      <c r="A166" s="464"/>
      <c r="B166" s="458"/>
      <c r="C166" s="483"/>
      <c r="D166" s="464"/>
      <c r="E166" s="464"/>
      <c r="F166" s="484"/>
      <c r="G166" s="460"/>
      <c r="H166" s="485"/>
      <c r="I166" s="164"/>
      <c r="J166" s="462"/>
      <c r="K166" s="481"/>
      <c r="L166" s="464"/>
      <c r="M166" s="164"/>
      <c r="N166" s="465"/>
      <c r="O166" s="462"/>
      <c r="P166" s="486"/>
      <c r="Q166" s="487"/>
      <c r="R166" s="164"/>
      <c r="S166" s="467"/>
      <c r="T166" s="468"/>
      <c r="U166" s="469"/>
      <c r="V166" s="457"/>
      <c r="W166" s="457"/>
      <c r="X166" s="457"/>
      <c r="Y166" s="457"/>
      <c r="Z166" s="457"/>
    </row>
    <row r="167" spans="1:26" ht="18" customHeight="1">
      <c r="A167" s="464"/>
      <c r="B167" s="458"/>
      <c r="C167" s="483"/>
      <c r="D167" s="464"/>
      <c r="E167" s="464"/>
      <c r="F167" s="484"/>
      <c r="G167" s="460"/>
      <c r="H167" s="485"/>
      <c r="I167" s="164"/>
      <c r="J167" s="462"/>
      <c r="K167" s="481"/>
      <c r="L167" s="464"/>
      <c r="M167" s="164"/>
      <c r="N167" s="465"/>
      <c r="O167" s="462"/>
      <c r="P167" s="486"/>
      <c r="Q167" s="487"/>
      <c r="R167" s="164"/>
      <c r="S167" s="467"/>
      <c r="T167" s="468"/>
      <c r="U167" s="469"/>
      <c r="V167" s="457"/>
      <c r="W167" s="457"/>
      <c r="X167" s="457"/>
      <c r="Y167" s="457"/>
      <c r="Z167" s="457"/>
    </row>
    <row r="168" spans="1:26" ht="18" customHeight="1">
      <c r="A168" s="464"/>
      <c r="B168" s="458"/>
      <c r="C168" s="483"/>
      <c r="D168" s="464"/>
      <c r="E168" s="464"/>
      <c r="F168" s="484"/>
      <c r="G168" s="460"/>
      <c r="H168" s="485"/>
      <c r="I168" s="164"/>
      <c r="J168" s="462"/>
      <c r="K168" s="481"/>
      <c r="L168" s="464"/>
      <c r="M168" s="164"/>
      <c r="N168" s="465"/>
      <c r="O168" s="462"/>
      <c r="P168" s="486"/>
      <c r="Q168" s="487"/>
      <c r="R168" s="164"/>
      <c r="S168" s="467"/>
      <c r="T168" s="468"/>
      <c r="U168" s="469"/>
      <c r="V168" s="457"/>
      <c r="W168" s="457"/>
      <c r="X168" s="457"/>
      <c r="Y168" s="457"/>
      <c r="Z168" s="457"/>
    </row>
    <row r="169" spans="1:26" ht="18" customHeight="1">
      <c r="A169" s="464"/>
      <c r="B169" s="458"/>
      <c r="C169" s="483"/>
      <c r="D169" s="464"/>
      <c r="E169" s="464"/>
      <c r="F169" s="484"/>
      <c r="G169" s="460"/>
      <c r="H169" s="485"/>
      <c r="I169" s="164"/>
      <c r="J169" s="462"/>
      <c r="K169" s="481"/>
      <c r="L169" s="464"/>
      <c r="M169" s="164"/>
      <c r="N169" s="465"/>
      <c r="O169" s="462"/>
      <c r="P169" s="486"/>
      <c r="Q169" s="487"/>
      <c r="R169" s="164"/>
      <c r="S169" s="467"/>
      <c r="T169" s="468"/>
      <c r="U169" s="469"/>
      <c r="V169" s="457"/>
      <c r="W169" s="457"/>
      <c r="X169" s="457"/>
      <c r="Y169" s="457"/>
      <c r="Z169" s="457"/>
    </row>
    <row r="170" spans="1:26" ht="18" customHeight="1">
      <c r="A170" s="464"/>
      <c r="B170" s="458"/>
      <c r="C170" s="483"/>
      <c r="D170" s="464"/>
      <c r="E170" s="464"/>
      <c r="F170" s="484"/>
      <c r="G170" s="460"/>
      <c r="H170" s="485"/>
      <c r="I170" s="164"/>
      <c r="J170" s="462"/>
      <c r="K170" s="481"/>
      <c r="L170" s="464"/>
      <c r="M170" s="164"/>
      <c r="N170" s="465"/>
      <c r="O170" s="462"/>
      <c r="P170" s="486"/>
      <c r="Q170" s="487"/>
      <c r="R170" s="164"/>
      <c r="S170" s="467"/>
      <c r="T170" s="468"/>
      <c r="U170" s="469"/>
      <c r="V170" s="457"/>
      <c r="W170" s="457"/>
      <c r="X170" s="457"/>
      <c r="Y170" s="457"/>
      <c r="Z170" s="457"/>
    </row>
    <row r="171" spans="1:26" ht="18" customHeight="1">
      <c r="A171" s="464"/>
      <c r="B171" s="458"/>
      <c r="C171" s="483"/>
      <c r="D171" s="464"/>
      <c r="E171" s="464"/>
      <c r="F171" s="484"/>
      <c r="G171" s="460"/>
      <c r="H171" s="485"/>
      <c r="I171" s="164"/>
      <c r="J171" s="462"/>
      <c r="K171" s="481"/>
      <c r="L171" s="464"/>
      <c r="M171" s="164"/>
      <c r="N171" s="465"/>
      <c r="O171" s="462"/>
      <c r="P171" s="486"/>
      <c r="Q171" s="487"/>
      <c r="R171" s="164"/>
      <c r="S171" s="467"/>
      <c r="T171" s="468"/>
      <c r="U171" s="469"/>
      <c r="V171" s="457"/>
      <c r="W171" s="457"/>
      <c r="X171" s="457"/>
      <c r="Y171" s="457"/>
      <c r="Z171" s="457"/>
    </row>
    <row r="172" spans="1:26" ht="18" customHeight="1">
      <c r="A172" s="464"/>
      <c r="B172" s="458"/>
      <c r="C172" s="483"/>
      <c r="D172" s="464"/>
      <c r="E172" s="464"/>
      <c r="F172" s="484"/>
      <c r="G172" s="460"/>
      <c r="H172" s="485"/>
      <c r="I172" s="164"/>
      <c r="J172" s="462"/>
      <c r="K172" s="481"/>
      <c r="L172" s="464"/>
      <c r="M172" s="164"/>
      <c r="N172" s="465"/>
      <c r="O172" s="462"/>
      <c r="P172" s="486"/>
      <c r="Q172" s="487"/>
      <c r="R172" s="164"/>
      <c r="S172" s="467"/>
      <c r="T172" s="468"/>
      <c r="U172" s="469"/>
      <c r="V172" s="457"/>
      <c r="W172" s="457"/>
      <c r="X172" s="457"/>
      <c r="Y172" s="457"/>
      <c r="Z172" s="457"/>
    </row>
    <row r="173" spans="1:26" ht="18" customHeight="1">
      <c r="A173" s="464"/>
      <c r="B173" s="458"/>
      <c r="C173" s="483"/>
      <c r="D173" s="464"/>
      <c r="E173" s="464"/>
      <c r="F173" s="484"/>
      <c r="G173" s="460"/>
      <c r="H173" s="485"/>
      <c r="I173" s="164"/>
      <c r="J173" s="462"/>
      <c r="K173" s="481"/>
      <c r="L173" s="464"/>
      <c r="M173" s="164"/>
      <c r="N173" s="465"/>
      <c r="O173" s="462"/>
      <c r="P173" s="486"/>
      <c r="Q173" s="487"/>
      <c r="R173" s="164"/>
      <c r="S173" s="467"/>
      <c r="T173" s="468"/>
      <c r="U173" s="469"/>
      <c r="V173" s="457"/>
      <c r="W173" s="457"/>
      <c r="X173" s="457"/>
      <c r="Y173" s="457"/>
      <c r="Z173" s="457"/>
    </row>
    <row r="174" spans="1:26" ht="18" customHeight="1">
      <c r="A174" s="464"/>
      <c r="B174" s="458"/>
      <c r="C174" s="483"/>
      <c r="D174" s="464"/>
      <c r="E174" s="464"/>
      <c r="F174" s="484"/>
      <c r="G174" s="460"/>
      <c r="H174" s="485"/>
      <c r="I174" s="164"/>
      <c r="J174" s="462"/>
      <c r="K174" s="481"/>
      <c r="L174" s="464"/>
      <c r="M174" s="164"/>
      <c r="N174" s="465"/>
      <c r="O174" s="462"/>
      <c r="P174" s="486"/>
      <c r="Q174" s="487"/>
      <c r="R174" s="164"/>
      <c r="S174" s="467"/>
      <c r="T174" s="468"/>
      <c r="U174" s="469"/>
      <c r="V174" s="457"/>
      <c r="W174" s="457"/>
      <c r="X174" s="457"/>
      <c r="Y174" s="457"/>
      <c r="Z174" s="457"/>
    </row>
    <row r="175" spans="1:26" ht="18" customHeight="1">
      <c r="A175" s="464"/>
      <c r="B175" s="458"/>
      <c r="C175" s="483"/>
      <c r="D175" s="464"/>
      <c r="E175" s="464"/>
      <c r="F175" s="484"/>
      <c r="G175" s="460"/>
      <c r="H175" s="485"/>
      <c r="I175" s="164"/>
      <c r="J175" s="462"/>
      <c r="K175" s="481"/>
      <c r="L175" s="464"/>
      <c r="M175" s="164"/>
      <c r="N175" s="465"/>
      <c r="O175" s="462"/>
      <c r="P175" s="486"/>
      <c r="Q175" s="487"/>
      <c r="R175" s="164"/>
      <c r="S175" s="467"/>
      <c r="T175" s="468"/>
      <c r="U175" s="469"/>
      <c r="V175" s="457"/>
      <c r="W175" s="457"/>
      <c r="X175" s="457"/>
      <c r="Y175" s="457"/>
      <c r="Z175" s="457"/>
    </row>
    <row r="176" spans="1:26" ht="18" customHeight="1">
      <c r="A176" s="464"/>
      <c r="B176" s="458"/>
      <c r="C176" s="483"/>
      <c r="D176" s="464"/>
      <c r="E176" s="464"/>
      <c r="F176" s="484"/>
      <c r="G176" s="460"/>
      <c r="H176" s="485"/>
      <c r="I176" s="164"/>
      <c r="J176" s="462"/>
      <c r="K176" s="481"/>
      <c r="L176" s="464"/>
      <c r="M176" s="164"/>
      <c r="N176" s="465"/>
      <c r="O176" s="462"/>
      <c r="P176" s="486"/>
      <c r="Q176" s="487"/>
      <c r="R176" s="164"/>
      <c r="S176" s="467"/>
      <c r="T176" s="468"/>
      <c r="U176" s="469"/>
      <c r="V176" s="457"/>
      <c r="W176" s="457"/>
      <c r="X176" s="457"/>
      <c r="Y176" s="457"/>
      <c r="Z176" s="457"/>
    </row>
    <row r="177" spans="1:26" ht="18" customHeight="1">
      <c r="A177" s="464"/>
      <c r="B177" s="458"/>
      <c r="C177" s="483"/>
      <c r="D177" s="464"/>
      <c r="E177" s="464"/>
      <c r="F177" s="484"/>
      <c r="G177" s="460"/>
      <c r="H177" s="485"/>
      <c r="I177" s="164"/>
      <c r="J177" s="462"/>
      <c r="K177" s="481"/>
      <c r="L177" s="464"/>
      <c r="M177" s="164"/>
      <c r="N177" s="465"/>
      <c r="O177" s="462"/>
      <c r="P177" s="486"/>
      <c r="Q177" s="487"/>
      <c r="R177" s="164"/>
      <c r="S177" s="467"/>
      <c r="T177" s="468"/>
      <c r="U177" s="469"/>
      <c r="V177" s="457"/>
      <c r="W177" s="457"/>
      <c r="X177" s="457"/>
      <c r="Y177" s="457"/>
      <c r="Z177" s="457"/>
    </row>
    <row r="178" spans="1:26" ht="18" customHeight="1">
      <c r="A178" s="464"/>
      <c r="B178" s="458"/>
      <c r="C178" s="483"/>
      <c r="D178" s="464"/>
      <c r="E178" s="464"/>
      <c r="F178" s="484"/>
      <c r="G178" s="460"/>
      <c r="H178" s="485"/>
      <c r="I178" s="164"/>
      <c r="J178" s="462"/>
      <c r="K178" s="481"/>
      <c r="L178" s="464"/>
      <c r="M178" s="164"/>
      <c r="N178" s="465"/>
      <c r="O178" s="462"/>
      <c r="P178" s="486"/>
      <c r="Q178" s="487"/>
      <c r="R178" s="164"/>
      <c r="S178" s="467"/>
      <c r="T178" s="468"/>
      <c r="U178" s="469"/>
      <c r="V178" s="457"/>
      <c r="W178" s="457"/>
      <c r="X178" s="457"/>
      <c r="Y178" s="457"/>
      <c r="Z178" s="457"/>
    </row>
    <row r="179" spans="1:26" ht="18" customHeight="1">
      <c r="A179" s="464"/>
      <c r="B179" s="458"/>
      <c r="C179" s="483"/>
      <c r="D179" s="464"/>
      <c r="E179" s="464"/>
      <c r="F179" s="484"/>
      <c r="G179" s="460"/>
      <c r="H179" s="485"/>
      <c r="I179" s="164"/>
      <c r="J179" s="462"/>
      <c r="K179" s="481"/>
      <c r="L179" s="464"/>
      <c r="M179" s="164"/>
      <c r="N179" s="465"/>
      <c r="O179" s="462"/>
      <c r="P179" s="486"/>
      <c r="Q179" s="487"/>
      <c r="R179" s="164"/>
      <c r="S179" s="467"/>
      <c r="T179" s="468"/>
      <c r="U179" s="469"/>
      <c r="V179" s="457"/>
      <c r="W179" s="457"/>
      <c r="X179" s="457"/>
      <c r="Y179" s="457"/>
      <c r="Z179" s="457"/>
    </row>
    <row r="180" spans="1:26" ht="18" customHeight="1">
      <c r="A180" s="464"/>
      <c r="B180" s="458"/>
      <c r="C180" s="483"/>
      <c r="D180" s="464"/>
      <c r="E180" s="464"/>
      <c r="F180" s="484"/>
      <c r="G180" s="460"/>
      <c r="H180" s="485"/>
      <c r="I180" s="164"/>
      <c r="J180" s="462"/>
      <c r="K180" s="481"/>
      <c r="L180" s="464"/>
      <c r="M180" s="164"/>
      <c r="N180" s="465"/>
      <c r="O180" s="462"/>
      <c r="P180" s="486"/>
      <c r="Q180" s="487"/>
      <c r="R180" s="164"/>
      <c r="S180" s="467"/>
      <c r="T180" s="468"/>
      <c r="U180" s="469"/>
      <c r="V180" s="457"/>
      <c r="W180" s="457"/>
      <c r="X180" s="457"/>
      <c r="Y180" s="457"/>
      <c r="Z180" s="457"/>
    </row>
    <row r="181" spans="1:26" ht="18" customHeight="1">
      <c r="A181" s="464"/>
      <c r="B181" s="458"/>
      <c r="C181" s="483"/>
      <c r="D181" s="464"/>
      <c r="E181" s="464"/>
      <c r="F181" s="484"/>
      <c r="G181" s="460"/>
      <c r="H181" s="485"/>
      <c r="I181" s="164"/>
      <c r="J181" s="462"/>
      <c r="K181" s="481"/>
      <c r="L181" s="464"/>
      <c r="M181" s="164"/>
      <c r="N181" s="465"/>
      <c r="O181" s="462"/>
      <c r="P181" s="486"/>
      <c r="Q181" s="487"/>
      <c r="R181" s="164"/>
      <c r="S181" s="467"/>
      <c r="T181" s="468"/>
      <c r="U181" s="469"/>
      <c r="V181" s="457"/>
      <c r="W181" s="457"/>
      <c r="X181" s="457"/>
      <c r="Y181" s="457"/>
      <c r="Z181" s="457"/>
    </row>
    <row r="182" spans="1:26" ht="18" customHeight="1">
      <c r="A182" s="464"/>
      <c r="B182" s="458"/>
      <c r="C182" s="483"/>
      <c r="D182" s="464"/>
      <c r="E182" s="464"/>
      <c r="F182" s="484"/>
      <c r="G182" s="460"/>
      <c r="H182" s="485"/>
      <c r="I182" s="164"/>
      <c r="J182" s="462"/>
      <c r="K182" s="481"/>
      <c r="L182" s="464"/>
      <c r="M182" s="164"/>
      <c r="N182" s="465"/>
      <c r="O182" s="462"/>
      <c r="P182" s="486"/>
      <c r="Q182" s="487"/>
      <c r="R182" s="164"/>
      <c r="S182" s="467"/>
      <c r="T182" s="468"/>
      <c r="U182" s="469"/>
      <c r="V182" s="457"/>
      <c r="W182" s="457"/>
      <c r="X182" s="457"/>
      <c r="Y182" s="457"/>
      <c r="Z182" s="457"/>
    </row>
    <row r="183" spans="1:26" ht="18" customHeight="1">
      <c r="A183" s="464"/>
      <c r="B183" s="458"/>
      <c r="C183" s="483"/>
      <c r="D183" s="464"/>
      <c r="E183" s="464"/>
      <c r="F183" s="484"/>
      <c r="G183" s="460"/>
      <c r="H183" s="485"/>
      <c r="I183" s="164"/>
      <c r="J183" s="462"/>
      <c r="K183" s="481"/>
      <c r="L183" s="464"/>
      <c r="M183" s="164"/>
      <c r="N183" s="465"/>
      <c r="O183" s="462"/>
      <c r="P183" s="486"/>
      <c r="Q183" s="487"/>
      <c r="R183" s="164"/>
      <c r="S183" s="467"/>
      <c r="T183" s="468"/>
      <c r="U183" s="469"/>
      <c r="V183" s="457"/>
      <c r="W183" s="457"/>
      <c r="X183" s="457"/>
      <c r="Y183" s="457"/>
      <c r="Z183" s="457"/>
    </row>
    <row r="184" spans="1:26" ht="18" customHeight="1">
      <c r="A184" s="464"/>
      <c r="B184" s="458"/>
      <c r="C184" s="483"/>
      <c r="D184" s="464"/>
      <c r="E184" s="464"/>
      <c r="F184" s="484"/>
      <c r="G184" s="460"/>
      <c r="H184" s="485"/>
      <c r="I184" s="164"/>
      <c r="J184" s="462"/>
      <c r="K184" s="481"/>
      <c r="L184" s="464"/>
      <c r="M184" s="164"/>
      <c r="N184" s="465"/>
      <c r="O184" s="462"/>
      <c r="P184" s="486"/>
      <c r="Q184" s="487"/>
      <c r="R184" s="164"/>
      <c r="S184" s="467"/>
      <c r="T184" s="468"/>
      <c r="U184" s="469"/>
      <c r="V184" s="457"/>
      <c r="W184" s="457"/>
      <c r="X184" s="457"/>
      <c r="Y184" s="457"/>
      <c r="Z184" s="457"/>
    </row>
    <row r="185" spans="1:26" ht="18" customHeight="1">
      <c r="A185" s="464"/>
      <c r="B185" s="458"/>
      <c r="C185" s="483"/>
      <c r="D185" s="464"/>
      <c r="E185" s="464"/>
      <c r="F185" s="484"/>
      <c r="G185" s="460"/>
      <c r="H185" s="485"/>
      <c r="I185" s="164"/>
      <c r="J185" s="462"/>
      <c r="K185" s="481"/>
      <c r="L185" s="464"/>
      <c r="M185" s="164"/>
      <c r="N185" s="465"/>
      <c r="O185" s="462"/>
      <c r="P185" s="486"/>
      <c r="Q185" s="487"/>
      <c r="R185" s="164"/>
      <c r="S185" s="467"/>
      <c r="T185" s="468"/>
      <c r="U185" s="469"/>
      <c r="V185" s="457"/>
      <c r="W185" s="457"/>
      <c r="X185" s="457"/>
      <c r="Y185" s="457"/>
      <c r="Z185" s="457"/>
    </row>
    <row r="186" spans="1:26" ht="18" customHeight="1">
      <c r="A186" s="464"/>
      <c r="B186" s="458"/>
      <c r="C186" s="483"/>
      <c r="D186" s="464"/>
      <c r="E186" s="464"/>
      <c r="F186" s="484"/>
      <c r="G186" s="460"/>
      <c r="H186" s="485"/>
      <c r="I186" s="164"/>
      <c r="J186" s="462"/>
      <c r="K186" s="481"/>
      <c r="L186" s="464"/>
      <c r="M186" s="164"/>
      <c r="N186" s="465"/>
      <c r="O186" s="462"/>
      <c r="P186" s="486"/>
      <c r="Q186" s="487"/>
      <c r="R186" s="164"/>
      <c r="S186" s="467"/>
      <c r="T186" s="468"/>
      <c r="U186" s="469"/>
      <c r="V186" s="457"/>
      <c r="W186" s="457"/>
      <c r="X186" s="457"/>
      <c r="Y186" s="457"/>
      <c r="Z186" s="457"/>
    </row>
    <row r="187" spans="1:26" ht="18" customHeight="1">
      <c r="A187" s="464"/>
      <c r="B187" s="458"/>
      <c r="C187" s="483"/>
      <c r="D187" s="464"/>
      <c r="E187" s="464"/>
      <c r="F187" s="484"/>
      <c r="G187" s="460"/>
      <c r="H187" s="485"/>
      <c r="I187" s="164"/>
      <c r="J187" s="462"/>
      <c r="K187" s="481"/>
      <c r="L187" s="464"/>
      <c r="M187" s="164"/>
      <c r="N187" s="465"/>
      <c r="O187" s="462"/>
      <c r="P187" s="486"/>
      <c r="Q187" s="487"/>
      <c r="R187" s="164"/>
      <c r="S187" s="467"/>
      <c r="T187" s="468"/>
      <c r="U187" s="469"/>
      <c r="V187" s="457"/>
      <c r="W187" s="457"/>
      <c r="X187" s="457"/>
      <c r="Y187" s="457"/>
      <c r="Z187" s="457"/>
    </row>
    <row r="188" spans="1:26" ht="18" customHeight="1">
      <c r="A188" s="464"/>
      <c r="B188" s="458"/>
      <c r="C188" s="483"/>
      <c r="D188" s="464"/>
      <c r="E188" s="464"/>
      <c r="F188" s="484"/>
      <c r="G188" s="460"/>
      <c r="H188" s="485"/>
      <c r="I188" s="164"/>
      <c r="J188" s="462"/>
      <c r="K188" s="481"/>
      <c r="L188" s="464"/>
      <c r="M188" s="164"/>
      <c r="N188" s="465"/>
      <c r="O188" s="462"/>
      <c r="P188" s="486"/>
      <c r="Q188" s="487"/>
      <c r="R188" s="164"/>
      <c r="S188" s="467"/>
      <c r="T188" s="468"/>
      <c r="U188" s="469"/>
      <c r="V188" s="457"/>
      <c r="W188" s="457"/>
      <c r="X188" s="457"/>
      <c r="Y188" s="457"/>
      <c r="Z188" s="457"/>
    </row>
    <row r="189" spans="1:26" ht="18" customHeight="1">
      <c r="A189" s="464"/>
      <c r="B189" s="458"/>
      <c r="C189" s="483"/>
      <c r="D189" s="464"/>
      <c r="E189" s="464"/>
      <c r="F189" s="484"/>
      <c r="G189" s="460"/>
      <c r="H189" s="485"/>
      <c r="I189" s="164"/>
      <c r="J189" s="462"/>
      <c r="K189" s="481"/>
      <c r="L189" s="464"/>
      <c r="M189" s="164"/>
      <c r="N189" s="465"/>
      <c r="O189" s="462"/>
      <c r="P189" s="486"/>
      <c r="Q189" s="487"/>
      <c r="R189" s="164"/>
      <c r="S189" s="467"/>
      <c r="T189" s="468"/>
      <c r="U189" s="469"/>
      <c r="V189" s="457"/>
      <c r="W189" s="457"/>
      <c r="X189" s="457"/>
      <c r="Y189" s="457"/>
      <c r="Z189" s="457"/>
    </row>
    <row r="190" spans="1:26" ht="18" customHeight="1">
      <c r="A190" s="464"/>
      <c r="B190" s="458"/>
      <c r="C190" s="483"/>
      <c r="D190" s="464"/>
      <c r="E190" s="464"/>
      <c r="F190" s="484"/>
      <c r="G190" s="460"/>
      <c r="H190" s="485"/>
      <c r="I190" s="164"/>
      <c r="J190" s="462"/>
      <c r="K190" s="481"/>
      <c r="L190" s="464"/>
      <c r="M190" s="164"/>
      <c r="N190" s="465"/>
      <c r="O190" s="462"/>
      <c r="P190" s="486"/>
      <c r="Q190" s="487"/>
      <c r="R190" s="164"/>
      <c r="S190" s="467"/>
      <c r="T190" s="468"/>
      <c r="U190" s="469"/>
      <c r="V190" s="457"/>
      <c r="W190" s="457"/>
      <c r="X190" s="457"/>
      <c r="Y190" s="457"/>
      <c r="Z190" s="457"/>
    </row>
    <row r="191" spans="1:26" ht="18" customHeight="1">
      <c r="A191" s="464"/>
      <c r="B191" s="458"/>
      <c r="C191" s="483"/>
      <c r="D191" s="464"/>
      <c r="E191" s="464"/>
      <c r="F191" s="484"/>
      <c r="G191" s="460"/>
      <c r="H191" s="485"/>
      <c r="I191" s="164"/>
      <c r="J191" s="462"/>
      <c r="K191" s="481"/>
      <c r="L191" s="464"/>
      <c r="M191" s="164"/>
      <c r="N191" s="465"/>
      <c r="O191" s="462"/>
      <c r="P191" s="486"/>
      <c r="Q191" s="487"/>
      <c r="R191" s="164"/>
      <c r="S191" s="467"/>
      <c r="T191" s="468"/>
      <c r="U191" s="469"/>
      <c r="V191" s="457"/>
      <c r="W191" s="457"/>
      <c r="X191" s="457"/>
      <c r="Y191" s="457"/>
      <c r="Z191" s="457"/>
    </row>
    <row r="192" spans="1:26" ht="18" customHeight="1">
      <c r="A192" s="464"/>
      <c r="B192" s="458"/>
      <c r="C192" s="483"/>
      <c r="D192" s="464"/>
      <c r="E192" s="464"/>
      <c r="F192" s="484"/>
      <c r="G192" s="460"/>
      <c r="H192" s="485"/>
      <c r="I192" s="164"/>
      <c r="J192" s="462"/>
      <c r="K192" s="481"/>
      <c r="L192" s="464"/>
      <c r="M192" s="164"/>
      <c r="N192" s="465"/>
      <c r="O192" s="462"/>
      <c r="P192" s="486"/>
      <c r="Q192" s="487"/>
      <c r="R192" s="164"/>
      <c r="S192" s="467"/>
      <c r="T192" s="468"/>
      <c r="U192" s="469"/>
      <c r="V192" s="457"/>
      <c r="W192" s="457"/>
      <c r="X192" s="457"/>
      <c r="Y192" s="457"/>
      <c r="Z192" s="457"/>
    </row>
    <row r="193" spans="1:26" ht="18" customHeight="1">
      <c r="A193" s="464"/>
      <c r="B193" s="458"/>
      <c r="C193" s="483"/>
      <c r="D193" s="464"/>
      <c r="E193" s="464"/>
      <c r="F193" s="484"/>
      <c r="G193" s="460"/>
      <c r="H193" s="485"/>
      <c r="I193" s="164"/>
      <c r="J193" s="462"/>
      <c r="K193" s="481"/>
      <c r="L193" s="464"/>
      <c r="M193" s="164"/>
      <c r="N193" s="465"/>
      <c r="O193" s="462"/>
      <c r="P193" s="486"/>
      <c r="Q193" s="487"/>
      <c r="R193" s="164"/>
      <c r="S193" s="467"/>
      <c r="T193" s="468"/>
      <c r="U193" s="469"/>
      <c r="V193" s="457"/>
      <c r="W193" s="457"/>
      <c r="X193" s="457"/>
      <c r="Y193" s="457"/>
      <c r="Z193" s="457"/>
    </row>
    <row r="194" spans="1:26" ht="18" customHeight="1">
      <c r="A194" s="464"/>
      <c r="B194" s="458"/>
      <c r="C194" s="483"/>
      <c r="D194" s="464"/>
      <c r="E194" s="464"/>
      <c r="F194" s="484"/>
      <c r="G194" s="460"/>
      <c r="H194" s="485"/>
      <c r="I194" s="164"/>
      <c r="J194" s="462"/>
      <c r="K194" s="481"/>
      <c r="L194" s="464"/>
      <c r="M194" s="164"/>
      <c r="N194" s="465"/>
      <c r="O194" s="462"/>
      <c r="P194" s="486"/>
      <c r="Q194" s="487"/>
      <c r="R194" s="164"/>
      <c r="S194" s="467"/>
      <c r="T194" s="468"/>
      <c r="U194" s="469"/>
      <c r="V194" s="457"/>
      <c r="W194" s="457"/>
      <c r="X194" s="457"/>
      <c r="Y194" s="457"/>
      <c r="Z194" s="457"/>
    </row>
    <row r="195" spans="1:26" ht="18" customHeight="1">
      <c r="A195" s="464"/>
      <c r="B195" s="458"/>
      <c r="C195" s="483"/>
      <c r="D195" s="464"/>
      <c r="E195" s="464"/>
      <c r="F195" s="484"/>
      <c r="G195" s="460"/>
      <c r="H195" s="485"/>
      <c r="I195" s="164"/>
      <c r="J195" s="462"/>
      <c r="K195" s="481"/>
      <c r="L195" s="464"/>
      <c r="M195" s="164"/>
      <c r="N195" s="465"/>
      <c r="O195" s="462"/>
      <c r="P195" s="486"/>
      <c r="Q195" s="487"/>
      <c r="R195" s="164"/>
      <c r="S195" s="467"/>
      <c r="T195" s="468"/>
      <c r="U195" s="469"/>
      <c r="V195" s="457"/>
      <c r="W195" s="457"/>
      <c r="X195" s="457"/>
      <c r="Y195" s="457"/>
      <c r="Z195" s="457"/>
    </row>
    <row r="196" spans="1:26" ht="18" customHeight="1">
      <c r="A196" s="464"/>
      <c r="B196" s="458"/>
      <c r="C196" s="483"/>
      <c r="D196" s="464"/>
      <c r="E196" s="464"/>
      <c r="F196" s="484"/>
      <c r="G196" s="460"/>
      <c r="H196" s="485"/>
      <c r="I196" s="164"/>
      <c r="J196" s="462"/>
      <c r="K196" s="481"/>
      <c r="L196" s="464"/>
      <c r="M196" s="164"/>
      <c r="N196" s="465"/>
      <c r="O196" s="462"/>
      <c r="P196" s="486"/>
      <c r="Q196" s="487"/>
      <c r="R196" s="164"/>
      <c r="S196" s="467"/>
      <c r="T196" s="468"/>
      <c r="U196" s="469"/>
      <c r="V196" s="457"/>
      <c r="W196" s="457"/>
      <c r="X196" s="457"/>
      <c r="Y196" s="457"/>
      <c r="Z196" s="457"/>
    </row>
    <row r="197" spans="1:26" ht="18" customHeight="1">
      <c r="A197" s="464"/>
      <c r="B197" s="458"/>
      <c r="C197" s="483"/>
      <c r="D197" s="464"/>
      <c r="E197" s="464"/>
      <c r="F197" s="484"/>
      <c r="G197" s="460"/>
      <c r="H197" s="485"/>
      <c r="I197" s="164"/>
      <c r="J197" s="462"/>
      <c r="K197" s="481"/>
      <c r="L197" s="464"/>
      <c r="M197" s="164"/>
      <c r="N197" s="465"/>
      <c r="O197" s="462"/>
      <c r="P197" s="486"/>
      <c r="Q197" s="487"/>
      <c r="R197" s="164"/>
      <c r="S197" s="467"/>
      <c r="T197" s="468"/>
      <c r="U197" s="469"/>
      <c r="V197" s="457"/>
      <c r="W197" s="457"/>
      <c r="X197" s="457"/>
      <c r="Y197" s="457"/>
      <c r="Z197" s="457"/>
    </row>
    <row r="198" spans="1:26" ht="18" customHeight="1">
      <c r="A198" s="464"/>
      <c r="B198" s="458"/>
      <c r="C198" s="483"/>
      <c r="D198" s="464"/>
      <c r="E198" s="464"/>
      <c r="F198" s="484"/>
      <c r="G198" s="460"/>
      <c r="H198" s="485"/>
      <c r="I198" s="164"/>
      <c r="J198" s="462"/>
      <c r="K198" s="481"/>
      <c r="L198" s="464"/>
      <c r="M198" s="164"/>
      <c r="N198" s="465"/>
      <c r="O198" s="462"/>
      <c r="P198" s="486"/>
      <c r="Q198" s="487"/>
      <c r="R198" s="164"/>
      <c r="S198" s="467"/>
      <c r="T198" s="468"/>
      <c r="U198" s="469"/>
      <c r="V198" s="457"/>
      <c r="W198" s="457"/>
      <c r="X198" s="457"/>
      <c r="Y198" s="457"/>
      <c r="Z198" s="457"/>
    </row>
    <row r="199" spans="1:26" ht="18" customHeight="1">
      <c r="A199" s="464"/>
      <c r="B199" s="458"/>
      <c r="C199" s="483"/>
      <c r="D199" s="464"/>
      <c r="E199" s="464"/>
      <c r="F199" s="484"/>
      <c r="G199" s="460"/>
      <c r="H199" s="485"/>
      <c r="I199" s="164"/>
      <c r="J199" s="462"/>
      <c r="K199" s="481"/>
      <c r="L199" s="464"/>
      <c r="M199" s="164"/>
      <c r="N199" s="465"/>
      <c r="O199" s="462"/>
      <c r="P199" s="486"/>
      <c r="Q199" s="487"/>
      <c r="R199" s="164"/>
      <c r="S199" s="467"/>
      <c r="T199" s="468"/>
      <c r="U199" s="469"/>
      <c r="V199" s="457"/>
      <c r="W199" s="457"/>
      <c r="X199" s="457"/>
      <c r="Y199" s="457"/>
      <c r="Z199" s="457"/>
    </row>
    <row r="200" spans="1:26" ht="18" customHeight="1">
      <c r="A200" s="464"/>
      <c r="B200" s="458"/>
      <c r="C200" s="483"/>
      <c r="D200" s="464"/>
      <c r="E200" s="464"/>
      <c r="F200" s="484"/>
      <c r="G200" s="460"/>
      <c r="H200" s="485"/>
      <c r="I200" s="164"/>
      <c r="J200" s="462"/>
      <c r="K200" s="481"/>
      <c r="L200" s="464"/>
      <c r="M200" s="164"/>
      <c r="N200" s="465"/>
      <c r="O200" s="462"/>
      <c r="P200" s="486"/>
      <c r="Q200" s="487"/>
      <c r="R200" s="164"/>
      <c r="S200" s="467"/>
      <c r="T200" s="468"/>
      <c r="U200" s="469"/>
      <c r="V200" s="457"/>
      <c r="W200" s="457"/>
      <c r="X200" s="457"/>
      <c r="Y200" s="457"/>
      <c r="Z200" s="457"/>
    </row>
    <row r="201" spans="1:26" ht="18" customHeight="1">
      <c r="A201" s="464"/>
      <c r="B201" s="458"/>
      <c r="C201" s="483"/>
      <c r="D201" s="464"/>
      <c r="E201" s="464"/>
      <c r="F201" s="484"/>
      <c r="G201" s="460"/>
      <c r="H201" s="485"/>
      <c r="I201" s="164"/>
      <c r="J201" s="462"/>
      <c r="K201" s="481"/>
      <c r="L201" s="464"/>
      <c r="M201" s="164"/>
      <c r="N201" s="465"/>
      <c r="O201" s="462"/>
      <c r="P201" s="486"/>
      <c r="Q201" s="487"/>
      <c r="R201" s="164"/>
      <c r="S201" s="467"/>
      <c r="T201" s="468"/>
      <c r="U201" s="469"/>
      <c r="V201" s="457"/>
      <c r="W201" s="457"/>
      <c r="X201" s="457"/>
      <c r="Y201" s="457"/>
      <c r="Z201" s="457"/>
    </row>
    <row r="202" spans="1:26" ht="18" customHeight="1">
      <c r="A202" s="464"/>
      <c r="B202" s="458"/>
      <c r="C202" s="483"/>
      <c r="D202" s="464"/>
      <c r="E202" s="464"/>
      <c r="F202" s="484"/>
      <c r="G202" s="460"/>
      <c r="H202" s="485"/>
      <c r="I202" s="164"/>
      <c r="J202" s="462"/>
      <c r="K202" s="481"/>
      <c r="L202" s="464"/>
      <c r="M202" s="164"/>
      <c r="N202" s="465"/>
      <c r="O202" s="462"/>
      <c r="P202" s="486"/>
      <c r="Q202" s="487"/>
      <c r="R202" s="164"/>
      <c r="S202" s="467"/>
      <c r="T202" s="468"/>
      <c r="U202" s="469"/>
      <c r="V202" s="457"/>
      <c r="W202" s="457"/>
      <c r="X202" s="457"/>
      <c r="Y202" s="457"/>
      <c r="Z202" s="457"/>
    </row>
    <row r="203" spans="1:26" ht="18" customHeight="1">
      <c r="A203" s="464"/>
      <c r="B203" s="458"/>
      <c r="C203" s="483"/>
      <c r="D203" s="464"/>
      <c r="E203" s="464"/>
      <c r="F203" s="484"/>
      <c r="G203" s="460"/>
      <c r="H203" s="485"/>
      <c r="I203" s="164"/>
      <c r="J203" s="462"/>
      <c r="K203" s="481"/>
      <c r="L203" s="464"/>
      <c r="M203" s="164"/>
      <c r="N203" s="465"/>
      <c r="O203" s="462"/>
      <c r="P203" s="486"/>
      <c r="Q203" s="487"/>
      <c r="R203" s="164"/>
      <c r="S203" s="467"/>
      <c r="T203" s="468"/>
      <c r="U203" s="469"/>
      <c r="V203" s="457"/>
      <c r="W203" s="457"/>
      <c r="X203" s="457"/>
      <c r="Y203" s="457"/>
      <c r="Z203" s="457"/>
    </row>
    <row r="204" spans="1:26" ht="18" customHeight="1">
      <c r="A204" s="464"/>
      <c r="B204" s="458"/>
      <c r="C204" s="483"/>
      <c r="D204" s="464"/>
      <c r="E204" s="464"/>
      <c r="F204" s="484"/>
      <c r="G204" s="460"/>
      <c r="H204" s="485"/>
      <c r="I204" s="164"/>
      <c r="J204" s="462"/>
      <c r="K204" s="481"/>
      <c r="L204" s="464"/>
      <c r="M204" s="164"/>
      <c r="N204" s="465"/>
      <c r="O204" s="462"/>
      <c r="P204" s="486"/>
      <c r="Q204" s="487"/>
      <c r="R204" s="164"/>
      <c r="S204" s="467"/>
      <c r="T204" s="468"/>
      <c r="U204" s="469"/>
      <c r="V204" s="457"/>
      <c r="W204" s="457"/>
      <c r="X204" s="457"/>
      <c r="Y204" s="457"/>
      <c r="Z204" s="457"/>
    </row>
    <row r="205" spans="1:26" ht="18" customHeight="1">
      <c r="A205" s="464"/>
      <c r="B205" s="458"/>
      <c r="C205" s="483"/>
      <c r="D205" s="464"/>
      <c r="E205" s="464"/>
      <c r="F205" s="484"/>
      <c r="G205" s="460"/>
      <c r="H205" s="485"/>
      <c r="I205" s="164"/>
      <c r="J205" s="462"/>
      <c r="K205" s="481"/>
      <c r="L205" s="464"/>
      <c r="M205" s="164"/>
      <c r="N205" s="465"/>
      <c r="O205" s="462"/>
      <c r="P205" s="486"/>
      <c r="Q205" s="487"/>
      <c r="R205" s="164"/>
      <c r="S205" s="467"/>
      <c r="T205" s="468"/>
      <c r="U205" s="469"/>
      <c r="V205" s="457"/>
      <c r="W205" s="457"/>
      <c r="X205" s="457"/>
      <c r="Y205" s="457"/>
      <c r="Z205" s="457"/>
    </row>
    <row r="206" spans="1:26" ht="18" customHeight="1">
      <c r="A206" s="464"/>
      <c r="B206" s="458"/>
      <c r="C206" s="483"/>
      <c r="D206" s="464"/>
      <c r="E206" s="464"/>
      <c r="F206" s="484"/>
      <c r="G206" s="460"/>
      <c r="H206" s="485"/>
      <c r="I206" s="164"/>
      <c r="J206" s="462"/>
      <c r="K206" s="481"/>
      <c r="L206" s="464"/>
      <c r="M206" s="164"/>
      <c r="N206" s="465"/>
      <c r="O206" s="462"/>
      <c r="P206" s="486"/>
      <c r="Q206" s="487"/>
      <c r="R206" s="164"/>
      <c r="S206" s="467"/>
      <c r="T206" s="468"/>
      <c r="U206" s="469"/>
      <c r="V206" s="457"/>
      <c r="W206" s="457"/>
      <c r="X206" s="457"/>
      <c r="Y206" s="457"/>
      <c r="Z206" s="457"/>
    </row>
    <row r="207" spans="1:26" ht="18" customHeight="1">
      <c r="A207" s="464"/>
      <c r="B207" s="458"/>
      <c r="C207" s="483"/>
      <c r="D207" s="464"/>
      <c r="E207" s="464"/>
      <c r="F207" s="484"/>
      <c r="G207" s="460"/>
      <c r="H207" s="485"/>
      <c r="I207" s="164"/>
      <c r="J207" s="462"/>
      <c r="K207" s="481"/>
      <c r="L207" s="464"/>
      <c r="M207" s="164"/>
      <c r="N207" s="465"/>
      <c r="O207" s="462"/>
      <c r="P207" s="486"/>
      <c r="Q207" s="487"/>
      <c r="R207" s="164"/>
      <c r="S207" s="467"/>
      <c r="T207" s="468"/>
      <c r="U207" s="469"/>
      <c r="V207" s="457"/>
      <c r="W207" s="457"/>
      <c r="X207" s="457"/>
      <c r="Y207" s="457"/>
      <c r="Z207" s="457"/>
    </row>
    <row r="208" spans="1:26" ht="18" customHeight="1">
      <c r="A208" s="464"/>
      <c r="B208" s="458"/>
      <c r="C208" s="483"/>
      <c r="D208" s="464"/>
      <c r="E208" s="464"/>
      <c r="F208" s="484"/>
      <c r="G208" s="460"/>
      <c r="H208" s="485"/>
      <c r="I208" s="164"/>
      <c r="J208" s="462"/>
      <c r="K208" s="481"/>
      <c r="L208" s="464"/>
      <c r="M208" s="164"/>
      <c r="N208" s="465"/>
      <c r="O208" s="462"/>
      <c r="P208" s="486"/>
      <c r="Q208" s="487"/>
      <c r="R208" s="164"/>
      <c r="S208" s="467"/>
      <c r="T208" s="468"/>
      <c r="U208" s="469"/>
      <c r="V208" s="457"/>
      <c r="W208" s="457"/>
      <c r="X208" s="457"/>
      <c r="Y208" s="457"/>
      <c r="Z208" s="457"/>
    </row>
    <row r="209" spans="1:26" ht="18" customHeight="1">
      <c r="A209" s="464"/>
      <c r="B209" s="458"/>
      <c r="C209" s="483"/>
      <c r="D209" s="464"/>
      <c r="E209" s="464"/>
      <c r="F209" s="484"/>
      <c r="G209" s="460"/>
      <c r="H209" s="485"/>
      <c r="I209" s="164"/>
      <c r="J209" s="462"/>
      <c r="K209" s="481"/>
      <c r="L209" s="464"/>
      <c r="M209" s="164"/>
      <c r="N209" s="465"/>
      <c r="O209" s="462"/>
      <c r="P209" s="486"/>
      <c r="Q209" s="487"/>
      <c r="R209" s="164"/>
      <c r="S209" s="467"/>
      <c r="T209" s="468"/>
      <c r="U209" s="469"/>
      <c r="V209" s="457"/>
      <c r="W209" s="457"/>
      <c r="X209" s="457"/>
      <c r="Y209" s="457"/>
      <c r="Z209" s="457"/>
    </row>
    <row r="210" spans="1:26" ht="18" customHeight="1">
      <c r="A210" s="464"/>
      <c r="B210" s="458"/>
      <c r="C210" s="483"/>
      <c r="D210" s="464"/>
      <c r="E210" s="464"/>
      <c r="F210" s="484"/>
      <c r="G210" s="460"/>
      <c r="H210" s="485"/>
      <c r="I210" s="164"/>
      <c r="J210" s="462"/>
      <c r="K210" s="481"/>
      <c r="L210" s="464"/>
      <c r="M210" s="164"/>
      <c r="N210" s="465"/>
      <c r="O210" s="462"/>
      <c r="P210" s="486"/>
      <c r="Q210" s="487"/>
      <c r="R210" s="164"/>
      <c r="S210" s="467"/>
      <c r="T210" s="468"/>
      <c r="U210" s="469"/>
      <c r="V210" s="457"/>
      <c r="W210" s="457"/>
      <c r="X210" s="457"/>
      <c r="Y210" s="457"/>
      <c r="Z210" s="457"/>
    </row>
    <row r="211" spans="1:26" ht="18" customHeight="1">
      <c r="A211" s="464"/>
      <c r="B211" s="458"/>
      <c r="C211" s="483"/>
      <c r="D211" s="464"/>
      <c r="E211" s="464"/>
      <c r="F211" s="484"/>
      <c r="G211" s="460"/>
      <c r="H211" s="485"/>
      <c r="I211" s="164"/>
      <c r="J211" s="462"/>
      <c r="K211" s="481"/>
      <c r="L211" s="464"/>
      <c r="M211" s="164"/>
      <c r="N211" s="465"/>
      <c r="O211" s="462"/>
      <c r="P211" s="486"/>
      <c r="Q211" s="487"/>
      <c r="R211" s="164"/>
      <c r="S211" s="467"/>
      <c r="T211" s="468"/>
      <c r="U211" s="469"/>
      <c r="V211" s="457"/>
      <c r="W211" s="457"/>
      <c r="X211" s="457"/>
      <c r="Y211" s="457"/>
      <c r="Z211" s="457"/>
    </row>
    <row r="212" spans="1:26" ht="18" customHeight="1">
      <c r="A212" s="464"/>
      <c r="B212" s="458"/>
      <c r="C212" s="483"/>
      <c r="D212" s="464"/>
      <c r="E212" s="464"/>
      <c r="F212" s="484"/>
      <c r="G212" s="460"/>
      <c r="H212" s="485"/>
      <c r="I212" s="164"/>
      <c r="J212" s="462"/>
      <c r="K212" s="481"/>
      <c r="L212" s="464"/>
      <c r="M212" s="164"/>
      <c r="N212" s="465"/>
      <c r="O212" s="462"/>
      <c r="P212" s="486"/>
      <c r="Q212" s="487"/>
      <c r="R212" s="164"/>
      <c r="S212" s="467"/>
      <c r="T212" s="468"/>
      <c r="U212" s="469"/>
      <c r="V212" s="457"/>
      <c r="W212" s="457"/>
      <c r="X212" s="457"/>
      <c r="Y212" s="457"/>
      <c r="Z212" s="457"/>
    </row>
    <row r="213" spans="1:26" ht="18" customHeight="1">
      <c r="A213" s="464"/>
      <c r="B213" s="458"/>
      <c r="C213" s="483"/>
      <c r="D213" s="464"/>
      <c r="E213" s="464"/>
      <c r="F213" s="484"/>
      <c r="G213" s="460"/>
      <c r="H213" s="485"/>
      <c r="I213" s="164"/>
      <c r="J213" s="462"/>
      <c r="K213" s="481"/>
      <c r="L213" s="464"/>
      <c r="M213" s="164"/>
      <c r="N213" s="465"/>
      <c r="O213" s="462"/>
      <c r="P213" s="486"/>
      <c r="Q213" s="487"/>
      <c r="R213" s="164"/>
      <c r="S213" s="467"/>
      <c r="T213" s="468"/>
      <c r="U213" s="469"/>
      <c r="V213" s="457"/>
      <c r="W213" s="457"/>
      <c r="X213" s="457"/>
      <c r="Y213" s="457"/>
      <c r="Z213" s="457"/>
    </row>
    <row r="214" spans="1:26" ht="18" customHeight="1">
      <c r="A214" s="464"/>
      <c r="B214" s="458"/>
      <c r="C214" s="483"/>
      <c r="D214" s="464"/>
      <c r="E214" s="464"/>
      <c r="F214" s="484"/>
      <c r="G214" s="460"/>
      <c r="H214" s="485"/>
      <c r="I214" s="164"/>
      <c r="J214" s="462"/>
      <c r="K214" s="481"/>
      <c r="L214" s="464"/>
      <c r="M214" s="164"/>
      <c r="N214" s="465"/>
      <c r="O214" s="462"/>
      <c r="P214" s="486"/>
      <c r="Q214" s="487"/>
      <c r="R214" s="164"/>
      <c r="S214" s="467"/>
      <c r="T214" s="468"/>
      <c r="U214" s="469"/>
      <c r="V214" s="457"/>
      <c r="W214" s="457"/>
      <c r="X214" s="457"/>
      <c r="Y214" s="457"/>
      <c r="Z214" s="457"/>
    </row>
    <row r="215" spans="1:26" ht="18" customHeight="1">
      <c r="A215" s="464"/>
      <c r="B215" s="458"/>
      <c r="C215" s="483"/>
      <c r="D215" s="464"/>
      <c r="E215" s="464"/>
      <c r="F215" s="484"/>
      <c r="G215" s="460"/>
      <c r="H215" s="485"/>
      <c r="I215" s="164"/>
      <c r="J215" s="462"/>
      <c r="K215" s="481"/>
      <c r="L215" s="464"/>
      <c r="M215" s="164"/>
      <c r="N215" s="465"/>
      <c r="O215" s="462"/>
      <c r="P215" s="486"/>
      <c r="Q215" s="487"/>
      <c r="R215" s="164"/>
      <c r="S215" s="467"/>
      <c r="T215" s="468"/>
      <c r="U215" s="469"/>
      <c r="V215" s="457"/>
      <c r="W215" s="457"/>
      <c r="X215" s="457"/>
      <c r="Y215" s="457"/>
      <c r="Z215" s="457"/>
    </row>
    <row r="216" spans="1:26" ht="18" customHeight="1">
      <c r="A216" s="464"/>
      <c r="B216" s="458"/>
      <c r="C216" s="483"/>
      <c r="D216" s="464"/>
      <c r="E216" s="464"/>
      <c r="F216" s="484"/>
      <c r="G216" s="460"/>
      <c r="H216" s="485"/>
      <c r="I216" s="164"/>
      <c r="J216" s="462"/>
      <c r="K216" s="481"/>
      <c r="L216" s="464"/>
      <c r="M216" s="164"/>
      <c r="N216" s="465"/>
      <c r="O216" s="462"/>
      <c r="P216" s="486"/>
      <c r="Q216" s="487"/>
      <c r="R216" s="164"/>
      <c r="S216" s="467"/>
      <c r="T216" s="468"/>
      <c r="U216" s="469"/>
      <c r="V216" s="457"/>
      <c r="W216" s="457"/>
      <c r="X216" s="457"/>
      <c r="Y216" s="457"/>
      <c r="Z216" s="457"/>
    </row>
    <row r="217" spans="1:26" ht="18" customHeight="1">
      <c r="A217" s="464"/>
      <c r="B217" s="458"/>
      <c r="C217" s="483"/>
      <c r="D217" s="464"/>
      <c r="E217" s="464"/>
      <c r="F217" s="484"/>
      <c r="G217" s="460"/>
      <c r="H217" s="485"/>
      <c r="I217" s="164"/>
      <c r="J217" s="462"/>
      <c r="K217" s="481"/>
      <c r="L217" s="464"/>
      <c r="M217" s="164"/>
      <c r="N217" s="465"/>
      <c r="O217" s="462"/>
      <c r="P217" s="486"/>
      <c r="Q217" s="487"/>
      <c r="R217" s="164"/>
      <c r="S217" s="467"/>
      <c r="T217" s="468"/>
      <c r="U217" s="469"/>
      <c r="V217" s="457"/>
      <c r="W217" s="457"/>
      <c r="X217" s="457"/>
      <c r="Y217" s="457"/>
      <c r="Z217" s="457"/>
    </row>
    <row r="218" spans="1:26" ht="18" customHeight="1">
      <c r="A218" s="464"/>
      <c r="B218" s="458"/>
      <c r="C218" s="483"/>
      <c r="D218" s="464"/>
      <c r="E218" s="464"/>
      <c r="F218" s="484"/>
      <c r="G218" s="460"/>
      <c r="H218" s="485"/>
      <c r="I218" s="164"/>
      <c r="J218" s="462"/>
      <c r="K218" s="481"/>
      <c r="L218" s="464"/>
      <c r="M218" s="164"/>
      <c r="N218" s="465"/>
      <c r="O218" s="462"/>
      <c r="P218" s="486"/>
      <c r="Q218" s="487"/>
      <c r="R218" s="164"/>
      <c r="S218" s="467"/>
      <c r="T218" s="468"/>
      <c r="U218" s="469"/>
      <c r="V218" s="457"/>
      <c r="W218" s="457"/>
      <c r="X218" s="457"/>
      <c r="Y218" s="457"/>
      <c r="Z218" s="457"/>
    </row>
    <row r="219" spans="1:26" ht="18" customHeight="1">
      <c r="A219" s="464"/>
      <c r="B219" s="458"/>
      <c r="C219" s="483"/>
      <c r="D219" s="464"/>
      <c r="E219" s="464"/>
      <c r="F219" s="484"/>
      <c r="G219" s="460"/>
      <c r="H219" s="485"/>
      <c r="I219" s="164"/>
      <c r="J219" s="462"/>
      <c r="K219" s="481"/>
      <c r="L219" s="464"/>
      <c r="M219" s="164"/>
      <c r="N219" s="465"/>
      <c r="O219" s="462"/>
      <c r="P219" s="486"/>
      <c r="Q219" s="487"/>
      <c r="R219" s="164"/>
      <c r="S219" s="467"/>
      <c r="T219" s="468"/>
      <c r="U219" s="469"/>
      <c r="V219" s="457"/>
      <c r="W219" s="457"/>
      <c r="X219" s="457"/>
      <c r="Y219" s="457"/>
      <c r="Z219" s="457"/>
    </row>
    <row r="220" spans="1:26" ht="18" customHeight="1">
      <c r="A220" s="464"/>
      <c r="B220" s="458"/>
      <c r="C220" s="483"/>
      <c r="D220" s="464"/>
      <c r="E220" s="464"/>
      <c r="F220" s="484"/>
      <c r="G220" s="460"/>
      <c r="H220" s="485"/>
      <c r="I220" s="164"/>
      <c r="J220" s="462"/>
      <c r="K220" s="481"/>
      <c r="L220" s="464"/>
      <c r="M220" s="164"/>
      <c r="N220" s="465"/>
      <c r="O220" s="462"/>
      <c r="P220" s="486"/>
      <c r="Q220" s="487"/>
      <c r="R220" s="164"/>
      <c r="S220" s="467"/>
      <c r="T220" s="468"/>
      <c r="U220" s="469"/>
      <c r="V220" s="457"/>
      <c r="W220" s="457"/>
      <c r="X220" s="457"/>
      <c r="Y220" s="457"/>
      <c r="Z220" s="457"/>
    </row>
    <row r="221" spans="1:26" ht="18" customHeight="1">
      <c r="A221" s="464"/>
      <c r="B221" s="458"/>
      <c r="C221" s="483"/>
      <c r="D221" s="464"/>
      <c r="E221" s="464"/>
      <c r="F221" s="484"/>
      <c r="G221" s="460"/>
      <c r="H221" s="485"/>
      <c r="I221" s="164"/>
      <c r="J221" s="462"/>
      <c r="K221" s="481"/>
      <c r="L221" s="464"/>
      <c r="M221" s="164"/>
      <c r="N221" s="465"/>
      <c r="O221" s="462"/>
      <c r="P221" s="486"/>
      <c r="Q221" s="487"/>
      <c r="R221" s="164"/>
      <c r="S221" s="467"/>
      <c r="T221" s="468"/>
      <c r="U221" s="469"/>
      <c r="V221" s="457"/>
      <c r="W221" s="457"/>
      <c r="X221" s="457"/>
      <c r="Y221" s="457"/>
      <c r="Z221" s="457"/>
    </row>
    <row r="222" spans="1:26" ht="18" customHeight="1">
      <c r="A222" s="464"/>
      <c r="B222" s="458"/>
      <c r="C222" s="483"/>
      <c r="D222" s="464"/>
      <c r="E222" s="464"/>
      <c r="F222" s="484"/>
      <c r="G222" s="460"/>
      <c r="H222" s="485"/>
      <c r="I222" s="164"/>
      <c r="J222" s="462"/>
      <c r="K222" s="481"/>
      <c r="L222" s="464"/>
      <c r="M222" s="164"/>
      <c r="N222" s="465"/>
      <c r="O222" s="462"/>
      <c r="P222" s="486"/>
      <c r="Q222" s="487"/>
      <c r="R222" s="164"/>
      <c r="S222" s="467"/>
      <c r="T222" s="468"/>
      <c r="U222" s="469"/>
      <c r="V222" s="457"/>
      <c r="W222" s="457"/>
      <c r="X222" s="457"/>
      <c r="Y222" s="457"/>
      <c r="Z222" s="457"/>
    </row>
    <row r="223" spans="1:26" ht="18" customHeight="1">
      <c r="A223" s="464"/>
      <c r="B223" s="458"/>
      <c r="C223" s="483"/>
      <c r="D223" s="464"/>
      <c r="E223" s="464"/>
      <c r="F223" s="484"/>
      <c r="G223" s="460"/>
      <c r="H223" s="485"/>
      <c r="I223" s="164"/>
      <c r="J223" s="462"/>
      <c r="K223" s="481"/>
      <c r="L223" s="464"/>
      <c r="M223" s="164"/>
      <c r="N223" s="465"/>
      <c r="O223" s="462"/>
      <c r="P223" s="486"/>
      <c r="Q223" s="487"/>
      <c r="R223" s="164"/>
      <c r="S223" s="467"/>
      <c r="T223" s="468"/>
      <c r="U223" s="469"/>
      <c r="V223" s="457"/>
      <c r="W223" s="457"/>
      <c r="X223" s="457"/>
      <c r="Y223" s="457"/>
      <c r="Z223" s="457"/>
    </row>
    <row r="224" spans="1:26" ht="18" customHeight="1">
      <c r="A224" s="464"/>
      <c r="B224" s="458"/>
      <c r="C224" s="483"/>
      <c r="D224" s="464"/>
      <c r="E224" s="464"/>
      <c r="F224" s="484"/>
      <c r="G224" s="460"/>
      <c r="H224" s="485"/>
      <c r="I224" s="164"/>
      <c r="J224" s="462"/>
      <c r="K224" s="481"/>
      <c r="L224" s="464"/>
      <c r="M224" s="164"/>
      <c r="N224" s="465"/>
      <c r="O224" s="462"/>
      <c r="P224" s="486"/>
      <c r="Q224" s="487"/>
      <c r="R224" s="164"/>
      <c r="S224" s="467"/>
      <c r="T224" s="468"/>
      <c r="U224" s="469"/>
      <c r="V224" s="457"/>
      <c r="W224" s="457"/>
      <c r="X224" s="457"/>
      <c r="Y224" s="457"/>
      <c r="Z224" s="457"/>
    </row>
    <row r="225" spans="1:26" ht="18" customHeight="1">
      <c r="A225" s="464"/>
      <c r="B225" s="458"/>
      <c r="C225" s="483"/>
      <c r="D225" s="464"/>
      <c r="E225" s="464"/>
      <c r="F225" s="484"/>
      <c r="G225" s="460"/>
      <c r="H225" s="485"/>
      <c r="I225" s="164"/>
      <c r="J225" s="462"/>
      <c r="K225" s="481"/>
      <c r="L225" s="464"/>
      <c r="M225" s="164"/>
      <c r="N225" s="465"/>
      <c r="O225" s="462"/>
      <c r="P225" s="486"/>
      <c r="Q225" s="487"/>
      <c r="R225" s="164"/>
      <c r="S225" s="467"/>
      <c r="T225" s="468"/>
      <c r="U225" s="469"/>
      <c r="V225" s="457"/>
      <c r="W225" s="457"/>
      <c r="X225" s="457"/>
      <c r="Y225" s="457"/>
      <c r="Z225" s="457"/>
    </row>
    <row r="226" spans="1:26" ht="18" customHeight="1">
      <c r="A226" s="464"/>
      <c r="B226" s="458"/>
      <c r="C226" s="483"/>
      <c r="D226" s="464"/>
      <c r="E226" s="464"/>
      <c r="F226" s="484"/>
      <c r="G226" s="460"/>
      <c r="H226" s="485"/>
      <c r="I226" s="164"/>
      <c r="J226" s="462"/>
      <c r="K226" s="481"/>
      <c r="L226" s="464"/>
      <c r="M226" s="164"/>
      <c r="N226" s="465"/>
      <c r="O226" s="462"/>
      <c r="P226" s="486"/>
      <c r="Q226" s="487"/>
      <c r="R226" s="164"/>
      <c r="S226" s="467"/>
      <c r="T226" s="468"/>
      <c r="U226" s="469"/>
      <c r="V226" s="457"/>
      <c r="W226" s="457"/>
      <c r="X226" s="457"/>
      <c r="Y226" s="457"/>
      <c r="Z226" s="457"/>
    </row>
    <row r="227" spans="1:26" ht="18" customHeight="1">
      <c r="A227" s="464"/>
      <c r="B227" s="458"/>
      <c r="C227" s="483"/>
      <c r="D227" s="464"/>
      <c r="E227" s="464"/>
      <c r="F227" s="484"/>
      <c r="G227" s="460"/>
      <c r="H227" s="485"/>
      <c r="I227" s="164"/>
      <c r="J227" s="462"/>
      <c r="K227" s="481"/>
      <c r="L227" s="464"/>
      <c r="M227" s="164"/>
      <c r="N227" s="465"/>
      <c r="O227" s="462"/>
      <c r="P227" s="486"/>
      <c r="Q227" s="487"/>
      <c r="R227" s="164"/>
      <c r="S227" s="467"/>
      <c r="T227" s="468"/>
      <c r="U227" s="469"/>
      <c r="V227" s="457"/>
      <c r="W227" s="457"/>
      <c r="X227" s="457"/>
      <c r="Y227" s="457"/>
      <c r="Z227" s="457"/>
    </row>
    <row r="228" spans="1:26" ht="18" customHeight="1">
      <c r="A228" s="464"/>
      <c r="B228" s="458"/>
      <c r="C228" s="483"/>
      <c r="D228" s="464"/>
      <c r="E228" s="464"/>
      <c r="F228" s="484"/>
      <c r="G228" s="460"/>
      <c r="H228" s="485"/>
      <c r="I228" s="164"/>
      <c r="J228" s="462"/>
      <c r="K228" s="481"/>
      <c r="L228" s="464"/>
      <c r="M228" s="164"/>
      <c r="N228" s="465"/>
      <c r="O228" s="462"/>
      <c r="P228" s="486"/>
      <c r="Q228" s="487"/>
      <c r="R228" s="164"/>
      <c r="S228" s="467"/>
      <c r="T228" s="468"/>
      <c r="U228" s="469"/>
      <c r="V228" s="457"/>
      <c r="W228" s="457"/>
      <c r="X228" s="457"/>
      <c r="Y228" s="457"/>
      <c r="Z228" s="457"/>
    </row>
    <row r="229" spans="1:26" ht="18" customHeight="1">
      <c r="A229" s="464"/>
      <c r="B229" s="458"/>
      <c r="C229" s="483"/>
      <c r="D229" s="464"/>
      <c r="E229" s="464"/>
      <c r="F229" s="484"/>
      <c r="G229" s="460"/>
      <c r="H229" s="485"/>
      <c r="I229" s="164"/>
      <c r="J229" s="462"/>
      <c r="K229" s="481"/>
      <c r="L229" s="464"/>
      <c r="M229" s="164"/>
      <c r="N229" s="465"/>
      <c r="O229" s="462"/>
      <c r="P229" s="486"/>
      <c r="Q229" s="487"/>
      <c r="R229" s="164"/>
      <c r="S229" s="467"/>
      <c r="T229" s="468"/>
      <c r="U229" s="469"/>
      <c r="V229" s="457"/>
      <c r="W229" s="457"/>
      <c r="X229" s="457"/>
      <c r="Y229" s="457"/>
      <c r="Z229" s="457"/>
    </row>
    <row r="230" spans="1:26" ht="18" customHeight="1">
      <c r="A230" s="464"/>
      <c r="B230" s="458"/>
      <c r="C230" s="483"/>
      <c r="D230" s="464"/>
      <c r="E230" s="464"/>
      <c r="F230" s="484"/>
      <c r="G230" s="460"/>
      <c r="H230" s="485"/>
      <c r="I230" s="164"/>
      <c r="J230" s="462"/>
      <c r="K230" s="481"/>
      <c r="L230" s="464"/>
      <c r="M230" s="164"/>
      <c r="N230" s="465"/>
      <c r="O230" s="462"/>
      <c r="P230" s="486"/>
      <c r="Q230" s="487"/>
      <c r="R230" s="164"/>
      <c r="S230" s="467"/>
      <c r="T230" s="468"/>
      <c r="U230" s="469"/>
      <c r="V230" s="457"/>
      <c r="W230" s="457"/>
      <c r="X230" s="457"/>
      <c r="Y230" s="457"/>
      <c r="Z230" s="457"/>
    </row>
    <row r="231" spans="1:26" ht="18" customHeight="1">
      <c r="A231" s="464"/>
      <c r="B231" s="458"/>
      <c r="C231" s="483"/>
      <c r="D231" s="464"/>
      <c r="E231" s="464"/>
      <c r="F231" s="484"/>
      <c r="G231" s="460"/>
      <c r="H231" s="485"/>
      <c r="I231" s="164"/>
      <c r="J231" s="462"/>
      <c r="K231" s="481"/>
      <c r="L231" s="464"/>
      <c r="M231" s="164"/>
      <c r="N231" s="465"/>
      <c r="O231" s="462"/>
      <c r="P231" s="486"/>
      <c r="Q231" s="487"/>
      <c r="R231" s="164"/>
      <c r="S231" s="467"/>
      <c r="T231" s="468"/>
      <c r="U231" s="469"/>
      <c r="V231" s="457"/>
      <c r="W231" s="457"/>
      <c r="X231" s="457"/>
      <c r="Y231" s="457"/>
      <c r="Z231" s="457"/>
    </row>
    <row r="232" spans="1:26" ht="18" customHeight="1">
      <c r="A232" s="464"/>
      <c r="B232" s="458"/>
      <c r="C232" s="483"/>
      <c r="D232" s="464"/>
      <c r="E232" s="464"/>
      <c r="F232" s="484"/>
      <c r="G232" s="460"/>
      <c r="H232" s="485"/>
      <c r="I232" s="164"/>
      <c r="J232" s="462"/>
      <c r="K232" s="481"/>
      <c r="L232" s="464"/>
      <c r="M232" s="164"/>
      <c r="N232" s="465"/>
      <c r="O232" s="462"/>
      <c r="P232" s="486"/>
      <c r="Q232" s="487"/>
      <c r="R232" s="164"/>
      <c r="S232" s="467"/>
      <c r="T232" s="468"/>
      <c r="U232" s="469"/>
      <c r="V232" s="457"/>
      <c r="W232" s="457"/>
      <c r="X232" s="457"/>
      <c r="Y232" s="457"/>
      <c r="Z232" s="457"/>
    </row>
    <row r="233" spans="1:26" ht="18" customHeight="1">
      <c r="A233" s="464"/>
      <c r="B233" s="458"/>
      <c r="C233" s="483"/>
      <c r="D233" s="464"/>
      <c r="E233" s="464"/>
      <c r="F233" s="484"/>
      <c r="G233" s="460"/>
      <c r="H233" s="485"/>
      <c r="I233" s="164"/>
      <c r="J233" s="462"/>
      <c r="K233" s="481"/>
      <c r="L233" s="464"/>
      <c r="M233" s="164"/>
      <c r="N233" s="465"/>
      <c r="O233" s="462"/>
      <c r="P233" s="486"/>
      <c r="Q233" s="487"/>
      <c r="R233" s="164"/>
      <c r="S233" s="467"/>
      <c r="T233" s="468"/>
      <c r="U233" s="469"/>
      <c r="V233" s="457"/>
      <c r="W233" s="457"/>
      <c r="X233" s="457"/>
      <c r="Y233" s="457"/>
      <c r="Z233" s="457"/>
    </row>
    <row r="234" spans="1:26" ht="18" customHeight="1">
      <c r="A234" s="464"/>
      <c r="B234" s="458"/>
      <c r="C234" s="483"/>
      <c r="D234" s="464"/>
      <c r="E234" s="464"/>
      <c r="F234" s="484"/>
      <c r="G234" s="460"/>
      <c r="H234" s="485"/>
      <c r="I234" s="164"/>
      <c r="J234" s="462"/>
      <c r="K234" s="481"/>
      <c r="L234" s="464"/>
      <c r="M234" s="164"/>
      <c r="N234" s="465"/>
      <c r="O234" s="462"/>
      <c r="P234" s="486"/>
      <c r="Q234" s="487"/>
      <c r="R234" s="164"/>
      <c r="S234" s="467"/>
      <c r="T234" s="468"/>
      <c r="U234" s="469"/>
      <c r="V234" s="457"/>
      <c r="W234" s="457"/>
      <c r="X234" s="457"/>
      <c r="Y234" s="457"/>
      <c r="Z234" s="457"/>
    </row>
    <row r="235" spans="1:26" ht="18" customHeight="1">
      <c r="A235" s="464"/>
      <c r="B235" s="458"/>
      <c r="C235" s="483"/>
      <c r="D235" s="464"/>
      <c r="E235" s="464"/>
      <c r="F235" s="484"/>
      <c r="G235" s="460"/>
      <c r="H235" s="485"/>
      <c r="I235" s="164"/>
      <c r="J235" s="462"/>
      <c r="K235" s="481"/>
      <c r="L235" s="464"/>
      <c r="M235" s="164"/>
      <c r="N235" s="465"/>
      <c r="O235" s="462"/>
      <c r="P235" s="486"/>
      <c r="Q235" s="487"/>
      <c r="R235" s="164"/>
      <c r="S235" s="467"/>
      <c r="T235" s="468"/>
      <c r="U235" s="469"/>
      <c r="V235" s="457"/>
      <c r="W235" s="457"/>
      <c r="X235" s="457"/>
      <c r="Y235" s="457"/>
      <c r="Z235" s="457"/>
    </row>
    <row r="236" spans="1:26" ht="18" customHeight="1">
      <c r="A236" s="464"/>
      <c r="B236" s="458"/>
      <c r="C236" s="483"/>
      <c r="D236" s="464"/>
      <c r="E236" s="464"/>
      <c r="F236" s="484"/>
      <c r="G236" s="460"/>
      <c r="H236" s="485"/>
      <c r="I236" s="164"/>
      <c r="J236" s="462"/>
      <c r="K236" s="481"/>
      <c r="L236" s="464"/>
      <c r="M236" s="164"/>
      <c r="N236" s="465"/>
      <c r="O236" s="462"/>
      <c r="P236" s="486"/>
      <c r="Q236" s="487"/>
      <c r="R236" s="164"/>
      <c r="S236" s="467"/>
      <c r="T236" s="468"/>
      <c r="U236" s="469"/>
      <c r="V236" s="457"/>
      <c r="W236" s="457"/>
      <c r="X236" s="457"/>
      <c r="Y236" s="457"/>
      <c r="Z236" s="457"/>
    </row>
    <row r="237" spans="1:26" ht="18" customHeight="1">
      <c r="A237" s="464"/>
      <c r="B237" s="458"/>
      <c r="C237" s="483"/>
      <c r="D237" s="464"/>
      <c r="E237" s="464"/>
      <c r="F237" s="484"/>
      <c r="G237" s="460"/>
      <c r="H237" s="485"/>
      <c r="I237" s="164"/>
      <c r="J237" s="462"/>
      <c r="K237" s="481"/>
      <c r="L237" s="464"/>
      <c r="M237" s="164"/>
      <c r="N237" s="465"/>
      <c r="O237" s="462"/>
      <c r="P237" s="486"/>
      <c r="Q237" s="487"/>
      <c r="R237" s="164"/>
      <c r="S237" s="467"/>
      <c r="T237" s="468"/>
      <c r="U237" s="469"/>
      <c r="V237" s="457"/>
      <c r="W237" s="457"/>
      <c r="X237" s="457"/>
      <c r="Y237" s="457"/>
      <c r="Z237" s="457"/>
    </row>
    <row r="238" spans="1:26" ht="18" customHeight="1">
      <c r="A238" s="464"/>
      <c r="B238" s="458"/>
      <c r="C238" s="483"/>
      <c r="D238" s="464"/>
      <c r="E238" s="464"/>
      <c r="F238" s="484"/>
      <c r="G238" s="460"/>
      <c r="H238" s="485"/>
      <c r="I238" s="164"/>
      <c r="J238" s="462"/>
      <c r="K238" s="481"/>
      <c r="L238" s="464"/>
      <c r="M238" s="164"/>
      <c r="N238" s="465"/>
      <c r="O238" s="462"/>
      <c r="P238" s="486"/>
      <c r="Q238" s="487"/>
      <c r="R238" s="164"/>
      <c r="S238" s="467"/>
      <c r="T238" s="468"/>
      <c r="U238" s="469"/>
      <c r="V238" s="457"/>
      <c r="W238" s="457"/>
      <c r="X238" s="457"/>
      <c r="Y238" s="457"/>
      <c r="Z238" s="457"/>
    </row>
    <row r="239" spans="1:26" ht="18" customHeight="1">
      <c r="A239" s="464"/>
      <c r="B239" s="458"/>
      <c r="C239" s="483"/>
      <c r="D239" s="464"/>
      <c r="E239" s="464"/>
      <c r="F239" s="484"/>
      <c r="G239" s="460"/>
      <c r="H239" s="485"/>
      <c r="I239" s="164"/>
      <c r="J239" s="462"/>
      <c r="K239" s="481"/>
      <c r="L239" s="464"/>
      <c r="M239" s="164"/>
      <c r="N239" s="465"/>
      <c r="O239" s="462"/>
      <c r="P239" s="486"/>
      <c r="Q239" s="487"/>
      <c r="R239" s="164"/>
      <c r="S239" s="467"/>
      <c r="T239" s="468"/>
      <c r="U239" s="469"/>
      <c r="V239" s="457"/>
      <c r="W239" s="457"/>
      <c r="X239" s="457"/>
      <c r="Y239" s="457"/>
      <c r="Z239" s="457"/>
    </row>
    <row r="240" spans="1:26" ht="18" customHeight="1">
      <c r="A240" s="464"/>
      <c r="B240" s="458"/>
      <c r="C240" s="483"/>
      <c r="D240" s="464"/>
      <c r="E240" s="464"/>
      <c r="F240" s="484"/>
      <c r="G240" s="460"/>
      <c r="H240" s="485"/>
      <c r="I240" s="164"/>
      <c r="J240" s="462"/>
      <c r="K240" s="481"/>
      <c r="L240" s="464"/>
      <c r="M240" s="164"/>
      <c r="N240" s="465"/>
      <c r="O240" s="462"/>
      <c r="P240" s="486"/>
      <c r="Q240" s="487"/>
      <c r="R240" s="164"/>
      <c r="S240" s="467"/>
      <c r="T240" s="468"/>
      <c r="U240" s="469"/>
      <c r="V240" s="457"/>
      <c r="W240" s="457"/>
      <c r="X240" s="457"/>
      <c r="Y240" s="457"/>
      <c r="Z240" s="457"/>
    </row>
    <row r="241" spans="1:26" ht="18" customHeight="1">
      <c r="A241" s="464"/>
      <c r="B241" s="458"/>
      <c r="C241" s="483"/>
      <c r="D241" s="464"/>
      <c r="E241" s="464"/>
      <c r="F241" s="484"/>
      <c r="G241" s="460"/>
      <c r="H241" s="485"/>
      <c r="I241" s="164"/>
      <c r="J241" s="462"/>
      <c r="K241" s="481"/>
      <c r="L241" s="464"/>
      <c r="M241" s="164"/>
      <c r="N241" s="465"/>
      <c r="O241" s="462"/>
      <c r="P241" s="486"/>
      <c r="Q241" s="487"/>
      <c r="R241" s="164"/>
      <c r="S241" s="467"/>
      <c r="T241" s="468"/>
      <c r="U241" s="469"/>
      <c r="V241" s="457"/>
      <c r="W241" s="457"/>
      <c r="X241" s="457"/>
      <c r="Y241" s="457"/>
      <c r="Z241" s="457"/>
    </row>
    <row r="242" spans="1:26" ht="18" customHeight="1">
      <c r="A242" s="464"/>
      <c r="B242" s="458"/>
      <c r="C242" s="483"/>
      <c r="D242" s="464"/>
      <c r="E242" s="464"/>
      <c r="F242" s="484"/>
      <c r="G242" s="460"/>
      <c r="H242" s="485"/>
      <c r="I242" s="164"/>
      <c r="J242" s="462"/>
      <c r="K242" s="481"/>
      <c r="L242" s="464"/>
      <c r="M242" s="164"/>
      <c r="N242" s="465"/>
      <c r="O242" s="462"/>
      <c r="P242" s="486"/>
      <c r="Q242" s="487"/>
      <c r="R242" s="164"/>
      <c r="S242" s="467"/>
      <c r="T242" s="468"/>
      <c r="U242" s="469"/>
      <c r="V242" s="457"/>
      <c r="W242" s="457"/>
      <c r="X242" s="457"/>
      <c r="Y242" s="457"/>
      <c r="Z242" s="457"/>
    </row>
    <row r="243" spans="1:26" ht="18" customHeight="1">
      <c r="A243" s="464"/>
      <c r="B243" s="458"/>
      <c r="C243" s="483"/>
      <c r="D243" s="464"/>
      <c r="E243" s="464"/>
      <c r="F243" s="484"/>
      <c r="G243" s="460"/>
      <c r="H243" s="485"/>
      <c r="I243" s="164"/>
      <c r="J243" s="462"/>
      <c r="K243" s="481"/>
      <c r="L243" s="464"/>
      <c r="M243" s="164"/>
      <c r="N243" s="465"/>
      <c r="O243" s="462"/>
      <c r="P243" s="486"/>
      <c r="Q243" s="487"/>
      <c r="R243" s="164"/>
      <c r="S243" s="467"/>
      <c r="T243" s="468"/>
      <c r="U243" s="469"/>
      <c r="V243" s="457"/>
      <c r="W243" s="457"/>
      <c r="X243" s="457"/>
      <c r="Y243" s="457"/>
      <c r="Z243" s="457"/>
    </row>
    <row r="244" spans="1:26" ht="18" customHeight="1">
      <c r="A244" s="464"/>
      <c r="B244" s="458"/>
      <c r="C244" s="483"/>
      <c r="D244" s="464"/>
      <c r="E244" s="464"/>
      <c r="F244" s="484"/>
      <c r="G244" s="460"/>
      <c r="H244" s="485"/>
      <c r="I244" s="164"/>
      <c r="J244" s="462"/>
      <c r="K244" s="481"/>
      <c r="L244" s="464"/>
      <c r="M244" s="164"/>
      <c r="N244" s="465"/>
      <c r="O244" s="462"/>
      <c r="P244" s="486"/>
      <c r="Q244" s="487"/>
      <c r="R244" s="164"/>
      <c r="S244" s="467"/>
      <c r="T244" s="468"/>
      <c r="U244" s="469"/>
      <c r="V244" s="457"/>
      <c r="W244" s="457"/>
      <c r="X244" s="457"/>
      <c r="Y244" s="457"/>
      <c r="Z244" s="457"/>
    </row>
    <row r="245" spans="1:26" ht="18" customHeight="1">
      <c r="A245" s="464"/>
      <c r="B245" s="458"/>
      <c r="C245" s="483"/>
      <c r="D245" s="464"/>
      <c r="E245" s="464"/>
      <c r="F245" s="484"/>
      <c r="G245" s="460"/>
      <c r="H245" s="485"/>
      <c r="I245" s="164"/>
      <c r="J245" s="462"/>
      <c r="K245" s="481"/>
      <c r="L245" s="464"/>
      <c r="M245" s="164"/>
      <c r="N245" s="465"/>
      <c r="O245" s="462"/>
      <c r="P245" s="486"/>
      <c r="Q245" s="487"/>
      <c r="R245" s="164"/>
      <c r="S245" s="467"/>
      <c r="T245" s="468"/>
      <c r="U245" s="469"/>
      <c r="V245" s="457"/>
      <c r="W245" s="457"/>
      <c r="X245" s="457"/>
      <c r="Y245" s="457"/>
      <c r="Z245" s="457"/>
    </row>
    <row r="246" spans="1:26" ht="18" customHeight="1">
      <c r="A246" s="464"/>
      <c r="B246" s="458"/>
      <c r="C246" s="483"/>
      <c r="D246" s="464"/>
      <c r="E246" s="464"/>
      <c r="F246" s="484"/>
      <c r="G246" s="460"/>
      <c r="H246" s="485"/>
      <c r="I246" s="164"/>
      <c r="J246" s="462"/>
      <c r="K246" s="481"/>
      <c r="L246" s="464"/>
      <c r="M246" s="164"/>
      <c r="N246" s="465"/>
      <c r="O246" s="462"/>
      <c r="P246" s="486"/>
      <c r="Q246" s="487"/>
      <c r="R246" s="164"/>
      <c r="S246" s="467"/>
      <c r="T246" s="468"/>
      <c r="U246" s="469"/>
      <c r="V246" s="457"/>
      <c r="W246" s="457"/>
      <c r="X246" s="457"/>
      <c r="Y246" s="457"/>
      <c r="Z246" s="457"/>
    </row>
    <row r="247" spans="1:26" ht="18" customHeight="1">
      <c r="A247" s="464"/>
      <c r="B247" s="458"/>
      <c r="C247" s="483"/>
      <c r="D247" s="464"/>
      <c r="E247" s="464"/>
      <c r="F247" s="484"/>
      <c r="G247" s="460"/>
      <c r="H247" s="485"/>
      <c r="I247" s="164"/>
      <c r="J247" s="462"/>
      <c r="K247" s="481"/>
      <c r="L247" s="464"/>
      <c r="M247" s="164"/>
      <c r="N247" s="465"/>
      <c r="O247" s="462"/>
      <c r="P247" s="486"/>
      <c r="Q247" s="487"/>
      <c r="R247" s="164"/>
      <c r="S247" s="467"/>
      <c r="T247" s="468"/>
      <c r="U247" s="469"/>
      <c r="V247" s="457"/>
      <c r="W247" s="457"/>
      <c r="X247" s="457"/>
      <c r="Y247" s="457"/>
      <c r="Z247" s="457"/>
    </row>
    <row r="248" spans="1:26" ht="18" customHeight="1">
      <c r="A248" s="464"/>
      <c r="B248" s="458"/>
      <c r="C248" s="483"/>
      <c r="D248" s="464"/>
      <c r="E248" s="464"/>
      <c r="F248" s="484"/>
      <c r="G248" s="460"/>
      <c r="H248" s="485"/>
      <c r="I248" s="164"/>
      <c r="J248" s="462"/>
      <c r="K248" s="481"/>
      <c r="L248" s="464"/>
      <c r="M248" s="164"/>
      <c r="N248" s="465"/>
      <c r="O248" s="462"/>
      <c r="P248" s="486"/>
      <c r="Q248" s="487"/>
      <c r="R248" s="164"/>
      <c r="S248" s="467"/>
      <c r="T248" s="468"/>
      <c r="U248" s="469"/>
      <c r="V248" s="457"/>
      <c r="W248" s="457"/>
      <c r="X248" s="457"/>
      <c r="Y248" s="457"/>
      <c r="Z248" s="457"/>
    </row>
    <row r="249" spans="1:26" ht="18" customHeight="1">
      <c r="A249" s="464"/>
      <c r="B249" s="458"/>
      <c r="C249" s="483"/>
      <c r="D249" s="464"/>
      <c r="E249" s="464"/>
      <c r="F249" s="484"/>
      <c r="G249" s="460"/>
      <c r="H249" s="485"/>
      <c r="I249" s="164"/>
      <c r="J249" s="462"/>
      <c r="K249" s="481"/>
      <c r="L249" s="464"/>
      <c r="M249" s="164"/>
      <c r="N249" s="465"/>
      <c r="O249" s="462"/>
      <c r="P249" s="486"/>
      <c r="Q249" s="487"/>
      <c r="R249" s="164"/>
      <c r="S249" s="467"/>
      <c r="T249" s="468"/>
      <c r="U249" s="469"/>
      <c r="V249" s="457"/>
      <c r="W249" s="457"/>
      <c r="X249" s="457"/>
      <c r="Y249" s="457"/>
      <c r="Z249" s="457"/>
    </row>
    <row r="250" spans="1:26" ht="18" customHeight="1">
      <c r="A250" s="464"/>
      <c r="B250" s="458"/>
      <c r="C250" s="483"/>
      <c r="D250" s="464"/>
      <c r="E250" s="464"/>
      <c r="F250" s="484"/>
      <c r="G250" s="460"/>
      <c r="H250" s="485"/>
      <c r="I250" s="164"/>
      <c r="J250" s="462"/>
      <c r="K250" s="481"/>
      <c r="L250" s="464"/>
      <c r="M250" s="164"/>
      <c r="N250" s="465"/>
      <c r="O250" s="462"/>
      <c r="P250" s="486"/>
      <c r="Q250" s="487"/>
      <c r="R250" s="164"/>
      <c r="S250" s="467"/>
      <c r="T250" s="468"/>
      <c r="U250" s="469"/>
      <c r="V250" s="457"/>
      <c r="W250" s="457"/>
      <c r="X250" s="457"/>
      <c r="Y250" s="457"/>
      <c r="Z250" s="457"/>
    </row>
    <row r="251" spans="1:26" ht="18" customHeight="1">
      <c r="A251" s="464"/>
      <c r="B251" s="458"/>
      <c r="C251" s="483"/>
      <c r="D251" s="464"/>
      <c r="E251" s="464"/>
      <c r="F251" s="484"/>
      <c r="G251" s="460"/>
      <c r="H251" s="485"/>
      <c r="I251" s="164"/>
      <c r="J251" s="462"/>
      <c r="K251" s="481"/>
      <c r="L251" s="464"/>
      <c r="M251" s="164"/>
      <c r="N251" s="465"/>
      <c r="O251" s="462"/>
      <c r="P251" s="486"/>
      <c r="Q251" s="487"/>
      <c r="R251" s="164"/>
      <c r="S251" s="467"/>
      <c r="T251" s="468"/>
      <c r="U251" s="469"/>
      <c r="V251" s="457"/>
      <c r="W251" s="457"/>
      <c r="X251" s="457"/>
      <c r="Y251" s="457"/>
      <c r="Z251" s="457"/>
    </row>
    <row r="252" spans="1:26" ht="18" customHeight="1">
      <c r="A252" s="464"/>
      <c r="B252" s="458"/>
      <c r="C252" s="483"/>
      <c r="D252" s="464"/>
      <c r="E252" s="464"/>
      <c r="F252" s="484"/>
      <c r="G252" s="460"/>
      <c r="H252" s="485"/>
      <c r="I252" s="164"/>
      <c r="J252" s="462"/>
      <c r="K252" s="481"/>
      <c r="L252" s="464"/>
      <c r="M252" s="164"/>
      <c r="N252" s="465"/>
      <c r="O252" s="462"/>
      <c r="P252" s="486"/>
      <c r="Q252" s="487"/>
      <c r="R252" s="164"/>
      <c r="S252" s="467"/>
      <c r="T252" s="468"/>
      <c r="U252" s="469"/>
      <c r="V252" s="457"/>
      <c r="W252" s="457"/>
      <c r="X252" s="457"/>
      <c r="Y252" s="457"/>
      <c r="Z252" s="457"/>
    </row>
    <row r="253" spans="1:26" ht="18" customHeight="1">
      <c r="A253" s="464"/>
      <c r="B253" s="458"/>
      <c r="C253" s="483"/>
      <c r="D253" s="464"/>
      <c r="E253" s="464"/>
      <c r="F253" s="484"/>
      <c r="G253" s="460"/>
      <c r="H253" s="485"/>
      <c r="I253" s="164"/>
      <c r="J253" s="462"/>
      <c r="K253" s="481"/>
      <c r="L253" s="464"/>
      <c r="M253" s="164"/>
      <c r="N253" s="465"/>
      <c r="O253" s="462"/>
      <c r="P253" s="486"/>
      <c r="Q253" s="487"/>
      <c r="R253" s="164"/>
      <c r="S253" s="467"/>
      <c r="T253" s="468"/>
      <c r="U253" s="469"/>
      <c r="V253" s="457"/>
      <c r="W253" s="457"/>
      <c r="X253" s="457"/>
      <c r="Y253" s="457"/>
      <c r="Z253" s="457"/>
    </row>
    <row r="254" spans="1:26" ht="18" customHeight="1">
      <c r="A254" s="464"/>
      <c r="B254" s="458"/>
      <c r="C254" s="483"/>
      <c r="D254" s="464"/>
      <c r="E254" s="464"/>
      <c r="F254" s="484"/>
      <c r="G254" s="460"/>
      <c r="H254" s="485"/>
      <c r="I254" s="164"/>
      <c r="J254" s="462"/>
      <c r="K254" s="481"/>
      <c r="L254" s="464"/>
      <c r="M254" s="164"/>
      <c r="N254" s="465"/>
      <c r="O254" s="462"/>
      <c r="P254" s="486"/>
      <c r="Q254" s="487"/>
      <c r="R254" s="164"/>
      <c r="S254" s="467"/>
      <c r="T254" s="468"/>
      <c r="U254" s="469"/>
      <c r="V254" s="457"/>
      <c r="W254" s="457"/>
      <c r="X254" s="457"/>
      <c r="Y254" s="457"/>
      <c r="Z254" s="457"/>
    </row>
    <row r="255" spans="1:26" ht="18" customHeight="1">
      <c r="A255" s="464"/>
      <c r="B255" s="458"/>
      <c r="C255" s="483"/>
      <c r="D255" s="464"/>
      <c r="E255" s="464"/>
      <c r="F255" s="484"/>
      <c r="G255" s="460"/>
      <c r="H255" s="485"/>
      <c r="I255" s="164"/>
      <c r="J255" s="462"/>
      <c r="K255" s="481"/>
      <c r="L255" s="464"/>
      <c r="M255" s="164"/>
      <c r="N255" s="465"/>
      <c r="O255" s="462"/>
      <c r="P255" s="486"/>
      <c r="Q255" s="487"/>
      <c r="R255" s="164"/>
      <c r="S255" s="467"/>
      <c r="T255" s="468"/>
      <c r="U255" s="469"/>
      <c r="V255" s="457"/>
      <c r="W255" s="457"/>
      <c r="X255" s="457"/>
      <c r="Y255" s="457"/>
      <c r="Z255" s="457"/>
    </row>
    <row r="256" spans="1:26" ht="18" customHeight="1">
      <c r="A256" s="464"/>
      <c r="B256" s="458"/>
      <c r="C256" s="483"/>
      <c r="D256" s="464"/>
      <c r="E256" s="464"/>
      <c r="F256" s="484"/>
      <c r="G256" s="460"/>
      <c r="H256" s="485"/>
      <c r="I256" s="164"/>
      <c r="J256" s="462"/>
      <c r="K256" s="481"/>
      <c r="L256" s="464"/>
      <c r="M256" s="164"/>
      <c r="N256" s="465"/>
      <c r="O256" s="462"/>
      <c r="P256" s="486"/>
      <c r="Q256" s="487"/>
      <c r="R256" s="164"/>
      <c r="S256" s="467"/>
      <c r="T256" s="468"/>
      <c r="U256" s="469"/>
      <c r="V256" s="457"/>
      <c r="W256" s="457"/>
      <c r="X256" s="457"/>
      <c r="Y256" s="457"/>
      <c r="Z256" s="457"/>
    </row>
    <row r="257" spans="1:26" ht="18" customHeight="1">
      <c r="A257" s="464"/>
      <c r="B257" s="458"/>
      <c r="C257" s="483"/>
      <c r="D257" s="464"/>
      <c r="E257" s="464"/>
      <c r="F257" s="484"/>
      <c r="G257" s="460"/>
      <c r="H257" s="485"/>
      <c r="I257" s="164"/>
      <c r="J257" s="462"/>
      <c r="K257" s="481"/>
      <c r="L257" s="464"/>
      <c r="M257" s="164"/>
      <c r="N257" s="465"/>
      <c r="O257" s="462"/>
      <c r="P257" s="486"/>
      <c r="Q257" s="487"/>
      <c r="R257" s="164"/>
      <c r="S257" s="467"/>
      <c r="T257" s="468"/>
      <c r="U257" s="469"/>
      <c r="V257" s="457"/>
      <c r="W257" s="457"/>
      <c r="X257" s="457"/>
      <c r="Y257" s="457"/>
      <c r="Z257" s="457"/>
    </row>
    <row r="258" spans="1:26" ht="18" customHeight="1">
      <c r="A258" s="464"/>
      <c r="B258" s="458"/>
      <c r="C258" s="483"/>
      <c r="D258" s="464"/>
      <c r="E258" s="464"/>
      <c r="F258" s="484"/>
      <c r="G258" s="460"/>
      <c r="H258" s="485"/>
      <c r="I258" s="164"/>
      <c r="J258" s="462"/>
      <c r="K258" s="481"/>
      <c r="L258" s="464"/>
      <c r="M258" s="164"/>
      <c r="N258" s="465"/>
      <c r="O258" s="462"/>
      <c r="P258" s="486"/>
      <c r="Q258" s="487"/>
      <c r="R258" s="164"/>
      <c r="S258" s="467"/>
      <c r="T258" s="468"/>
      <c r="U258" s="469"/>
      <c r="V258" s="457"/>
      <c r="W258" s="457"/>
      <c r="X258" s="457"/>
      <c r="Y258" s="457"/>
      <c r="Z258" s="457"/>
    </row>
    <row r="259" spans="1:26" ht="18" customHeight="1">
      <c r="A259" s="464"/>
      <c r="B259" s="458"/>
      <c r="C259" s="483"/>
      <c r="D259" s="464"/>
      <c r="E259" s="464"/>
      <c r="F259" s="484"/>
      <c r="G259" s="460"/>
      <c r="H259" s="485"/>
      <c r="I259" s="164"/>
      <c r="J259" s="462"/>
      <c r="K259" s="481"/>
      <c r="L259" s="464"/>
      <c r="M259" s="164"/>
      <c r="N259" s="465"/>
      <c r="O259" s="462"/>
      <c r="P259" s="486"/>
      <c r="Q259" s="487"/>
      <c r="R259" s="164"/>
      <c r="S259" s="467"/>
      <c r="T259" s="468"/>
      <c r="U259" s="469"/>
      <c r="V259" s="457"/>
      <c r="W259" s="457"/>
      <c r="X259" s="457"/>
      <c r="Y259" s="457"/>
      <c r="Z259" s="457"/>
    </row>
    <row r="260" spans="1:26" ht="18" customHeight="1">
      <c r="A260" s="464"/>
      <c r="B260" s="458"/>
      <c r="C260" s="483"/>
      <c r="D260" s="464"/>
      <c r="E260" s="464"/>
      <c r="F260" s="484"/>
      <c r="G260" s="460"/>
      <c r="H260" s="485"/>
      <c r="I260" s="164"/>
      <c r="J260" s="462"/>
      <c r="K260" s="481"/>
      <c r="L260" s="464"/>
      <c r="M260" s="164"/>
      <c r="N260" s="465"/>
      <c r="O260" s="462"/>
      <c r="P260" s="486"/>
      <c r="Q260" s="487"/>
      <c r="R260" s="164"/>
      <c r="S260" s="467"/>
      <c r="T260" s="468"/>
      <c r="U260" s="469"/>
      <c r="V260" s="457"/>
      <c r="W260" s="457"/>
      <c r="X260" s="457"/>
      <c r="Y260" s="457"/>
      <c r="Z260" s="457"/>
    </row>
    <row r="261" spans="1:26" ht="18" customHeight="1">
      <c r="A261" s="464"/>
      <c r="B261" s="458"/>
      <c r="C261" s="483"/>
      <c r="D261" s="464"/>
      <c r="E261" s="464"/>
      <c r="F261" s="484"/>
      <c r="G261" s="460"/>
      <c r="H261" s="485"/>
      <c r="I261" s="164"/>
      <c r="J261" s="462"/>
      <c r="K261" s="481"/>
      <c r="L261" s="464"/>
      <c r="M261" s="164"/>
      <c r="N261" s="465"/>
      <c r="O261" s="462"/>
      <c r="P261" s="486"/>
      <c r="Q261" s="487"/>
      <c r="R261" s="164"/>
      <c r="S261" s="467"/>
      <c r="T261" s="468"/>
      <c r="U261" s="469"/>
      <c r="V261" s="457"/>
      <c r="W261" s="457"/>
      <c r="X261" s="457"/>
      <c r="Y261" s="457"/>
      <c r="Z261" s="457"/>
    </row>
    <row r="262" spans="1:26" ht="18" customHeight="1">
      <c r="A262" s="464"/>
      <c r="B262" s="458"/>
      <c r="C262" s="483"/>
      <c r="D262" s="464"/>
      <c r="E262" s="464"/>
      <c r="F262" s="484"/>
      <c r="G262" s="460"/>
      <c r="H262" s="485"/>
      <c r="I262" s="164"/>
      <c r="J262" s="462"/>
      <c r="K262" s="481"/>
      <c r="L262" s="464"/>
      <c r="M262" s="164"/>
      <c r="N262" s="465"/>
      <c r="O262" s="462"/>
      <c r="P262" s="486"/>
      <c r="Q262" s="487"/>
      <c r="R262" s="164"/>
      <c r="S262" s="467"/>
      <c r="T262" s="468"/>
      <c r="U262" s="469"/>
      <c r="V262" s="457"/>
      <c r="W262" s="457"/>
      <c r="X262" s="457"/>
      <c r="Y262" s="457"/>
      <c r="Z262" s="457"/>
    </row>
    <row r="263" spans="1:26" ht="18" customHeight="1">
      <c r="A263" s="464"/>
      <c r="B263" s="458"/>
      <c r="C263" s="483"/>
      <c r="D263" s="464"/>
      <c r="E263" s="464"/>
      <c r="F263" s="484"/>
      <c r="G263" s="460"/>
      <c r="H263" s="485"/>
      <c r="I263" s="164"/>
      <c r="J263" s="462"/>
      <c r="K263" s="481"/>
      <c r="L263" s="464"/>
      <c r="M263" s="164"/>
      <c r="N263" s="465"/>
      <c r="O263" s="462"/>
      <c r="P263" s="486"/>
      <c r="Q263" s="487"/>
      <c r="R263" s="164"/>
      <c r="S263" s="467"/>
      <c r="T263" s="468"/>
      <c r="U263" s="469"/>
      <c r="V263" s="457"/>
      <c r="W263" s="457"/>
      <c r="X263" s="457"/>
      <c r="Y263" s="457"/>
      <c r="Z263" s="457"/>
    </row>
    <row r="264" spans="1:26" ht="18" customHeight="1">
      <c r="A264" s="464"/>
      <c r="B264" s="458"/>
      <c r="C264" s="483"/>
      <c r="D264" s="464"/>
      <c r="E264" s="464"/>
      <c r="F264" s="484"/>
      <c r="G264" s="460"/>
      <c r="H264" s="485"/>
      <c r="I264" s="164"/>
      <c r="J264" s="462"/>
      <c r="K264" s="481"/>
      <c r="L264" s="464"/>
      <c r="M264" s="164"/>
      <c r="N264" s="465"/>
      <c r="O264" s="462"/>
      <c r="P264" s="486"/>
      <c r="Q264" s="487"/>
      <c r="R264" s="164"/>
      <c r="S264" s="467"/>
      <c r="T264" s="468"/>
      <c r="U264" s="469"/>
      <c r="V264" s="457"/>
      <c r="W264" s="457"/>
      <c r="X264" s="457"/>
      <c r="Y264" s="457"/>
      <c r="Z264" s="457"/>
    </row>
    <row r="265" spans="1:26" ht="18" customHeight="1">
      <c r="A265" s="464"/>
      <c r="B265" s="458"/>
      <c r="C265" s="483"/>
      <c r="D265" s="464"/>
      <c r="E265" s="464"/>
      <c r="F265" s="484"/>
      <c r="G265" s="460"/>
      <c r="H265" s="485"/>
      <c r="I265" s="164"/>
      <c r="J265" s="462"/>
      <c r="K265" s="481"/>
      <c r="L265" s="464"/>
      <c r="M265" s="164"/>
      <c r="N265" s="465"/>
      <c r="O265" s="462"/>
      <c r="P265" s="486"/>
      <c r="Q265" s="487"/>
      <c r="R265" s="164"/>
      <c r="S265" s="467"/>
      <c r="T265" s="468"/>
      <c r="U265" s="469"/>
      <c r="V265" s="457"/>
      <c r="W265" s="457"/>
      <c r="X265" s="457"/>
      <c r="Y265" s="457"/>
      <c r="Z265" s="457"/>
    </row>
    <row r="266" spans="1:26" ht="18" customHeight="1">
      <c r="A266" s="464"/>
      <c r="B266" s="458"/>
      <c r="C266" s="483"/>
      <c r="D266" s="464"/>
      <c r="E266" s="464"/>
      <c r="F266" s="484"/>
      <c r="G266" s="460"/>
      <c r="H266" s="485"/>
      <c r="I266" s="164"/>
      <c r="J266" s="462"/>
      <c r="K266" s="481"/>
      <c r="L266" s="464"/>
      <c r="M266" s="164"/>
      <c r="N266" s="465"/>
      <c r="O266" s="462"/>
      <c r="P266" s="486"/>
      <c r="Q266" s="487"/>
      <c r="R266" s="164"/>
      <c r="S266" s="467"/>
      <c r="T266" s="468"/>
      <c r="U266" s="469"/>
      <c r="V266" s="457"/>
      <c r="W266" s="457"/>
      <c r="X266" s="457"/>
      <c r="Y266" s="457"/>
      <c r="Z266" s="457"/>
    </row>
    <row r="267" spans="1:26" ht="18" customHeight="1">
      <c r="A267" s="464"/>
      <c r="B267" s="458"/>
      <c r="C267" s="483"/>
      <c r="D267" s="464"/>
      <c r="E267" s="464"/>
      <c r="F267" s="484"/>
      <c r="G267" s="460"/>
      <c r="H267" s="485"/>
      <c r="I267" s="164"/>
      <c r="J267" s="462"/>
      <c r="K267" s="481"/>
      <c r="L267" s="464"/>
      <c r="M267" s="164"/>
      <c r="N267" s="465"/>
      <c r="O267" s="462"/>
      <c r="P267" s="486"/>
      <c r="Q267" s="487"/>
      <c r="R267" s="164"/>
      <c r="S267" s="467"/>
      <c r="T267" s="468"/>
      <c r="U267" s="469"/>
      <c r="V267" s="457"/>
      <c r="W267" s="457"/>
      <c r="X267" s="457"/>
      <c r="Y267" s="457"/>
      <c r="Z267" s="457"/>
    </row>
    <row r="268" spans="1:26" ht="18" customHeight="1">
      <c r="A268" s="464"/>
      <c r="B268" s="458"/>
      <c r="C268" s="483"/>
      <c r="D268" s="464"/>
      <c r="E268" s="464"/>
      <c r="F268" s="484"/>
      <c r="G268" s="460"/>
      <c r="H268" s="485"/>
      <c r="I268" s="164"/>
      <c r="J268" s="462"/>
      <c r="K268" s="481"/>
      <c r="L268" s="464"/>
      <c r="M268" s="164"/>
      <c r="N268" s="465"/>
      <c r="O268" s="462"/>
      <c r="P268" s="486"/>
      <c r="Q268" s="487"/>
      <c r="R268" s="164"/>
      <c r="S268" s="467"/>
      <c r="T268" s="468"/>
      <c r="U268" s="469"/>
      <c r="V268" s="457"/>
      <c r="W268" s="457"/>
      <c r="X268" s="457"/>
      <c r="Y268" s="457"/>
      <c r="Z268" s="457"/>
    </row>
    <row r="269" spans="1:26" ht="18" customHeight="1">
      <c r="A269" s="464"/>
      <c r="B269" s="458"/>
      <c r="C269" s="483"/>
      <c r="D269" s="464"/>
      <c r="E269" s="464"/>
      <c r="F269" s="484"/>
      <c r="G269" s="460"/>
      <c r="H269" s="485"/>
      <c r="I269" s="164"/>
      <c r="J269" s="462"/>
      <c r="K269" s="481"/>
      <c r="L269" s="464"/>
      <c r="M269" s="164"/>
      <c r="N269" s="465"/>
      <c r="O269" s="462"/>
      <c r="P269" s="486"/>
      <c r="Q269" s="487"/>
      <c r="R269" s="164"/>
      <c r="S269" s="467"/>
      <c r="T269" s="468"/>
      <c r="U269" s="469"/>
      <c r="V269" s="457"/>
      <c r="W269" s="457"/>
      <c r="X269" s="457"/>
      <c r="Y269" s="457"/>
      <c r="Z269" s="457"/>
    </row>
    <row r="270" spans="1:26" ht="18" customHeight="1">
      <c r="A270" s="464"/>
      <c r="B270" s="458"/>
      <c r="C270" s="483"/>
      <c r="D270" s="464"/>
      <c r="E270" s="464"/>
      <c r="F270" s="484"/>
      <c r="G270" s="460"/>
      <c r="H270" s="485"/>
      <c r="I270" s="164"/>
      <c r="J270" s="462"/>
      <c r="K270" s="481"/>
      <c r="L270" s="464"/>
      <c r="M270" s="164"/>
      <c r="N270" s="465"/>
      <c r="O270" s="462"/>
      <c r="P270" s="486"/>
      <c r="Q270" s="487"/>
      <c r="R270" s="164"/>
      <c r="S270" s="467"/>
      <c r="T270" s="468"/>
      <c r="U270" s="469"/>
      <c r="V270" s="457"/>
      <c r="W270" s="457"/>
      <c r="X270" s="457"/>
      <c r="Y270" s="457"/>
      <c r="Z270" s="457"/>
    </row>
    <row r="271" spans="1:26" ht="18" customHeight="1">
      <c r="A271" s="464"/>
      <c r="B271" s="458"/>
      <c r="C271" s="483"/>
      <c r="D271" s="464"/>
      <c r="E271" s="464"/>
      <c r="F271" s="484"/>
      <c r="G271" s="460"/>
      <c r="H271" s="485"/>
      <c r="I271" s="164"/>
      <c r="J271" s="462"/>
      <c r="K271" s="481"/>
      <c r="L271" s="464"/>
      <c r="M271" s="164"/>
      <c r="N271" s="465"/>
      <c r="O271" s="462"/>
      <c r="P271" s="486"/>
      <c r="Q271" s="487"/>
      <c r="R271" s="164"/>
      <c r="S271" s="467"/>
      <c r="T271" s="468"/>
      <c r="U271" s="469"/>
      <c r="V271" s="457"/>
      <c r="W271" s="457"/>
      <c r="X271" s="457"/>
      <c r="Y271" s="457"/>
      <c r="Z271" s="457"/>
    </row>
    <row r="272" spans="1:26" ht="18" customHeight="1">
      <c r="A272" s="464"/>
      <c r="B272" s="458"/>
      <c r="C272" s="483"/>
      <c r="D272" s="464"/>
      <c r="E272" s="464"/>
      <c r="F272" s="484"/>
      <c r="G272" s="460"/>
      <c r="H272" s="485"/>
      <c r="I272" s="164"/>
      <c r="J272" s="462"/>
      <c r="K272" s="481"/>
      <c r="L272" s="464"/>
      <c r="M272" s="164"/>
      <c r="N272" s="465"/>
      <c r="O272" s="462"/>
      <c r="P272" s="486"/>
      <c r="Q272" s="487"/>
      <c r="R272" s="164"/>
      <c r="S272" s="467"/>
      <c r="T272" s="468"/>
      <c r="U272" s="469"/>
      <c r="V272" s="457"/>
      <c r="W272" s="457"/>
      <c r="X272" s="457"/>
      <c r="Y272" s="457"/>
      <c r="Z272" s="457"/>
    </row>
    <row r="273" spans="1:26" ht="18" customHeight="1">
      <c r="A273" s="464"/>
      <c r="B273" s="458"/>
      <c r="C273" s="483"/>
      <c r="D273" s="464"/>
      <c r="E273" s="464"/>
      <c r="F273" s="484"/>
      <c r="G273" s="460"/>
      <c r="H273" s="485"/>
      <c r="I273" s="164"/>
      <c r="J273" s="462"/>
      <c r="K273" s="481"/>
      <c r="L273" s="464"/>
      <c r="M273" s="164"/>
      <c r="N273" s="465"/>
      <c r="O273" s="462"/>
      <c r="P273" s="486"/>
      <c r="Q273" s="487"/>
      <c r="R273" s="164"/>
      <c r="S273" s="467"/>
      <c r="T273" s="468"/>
      <c r="U273" s="469"/>
      <c r="V273" s="457"/>
      <c r="W273" s="457"/>
      <c r="X273" s="457"/>
      <c r="Y273" s="457"/>
      <c r="Z273" s="457"/>
    </row>
    <row r="274" spans="1:26" ht="18" customHeight="1">
      <c r="A274" s="464"/>
      <c r="B274" s="458"/>
      <c r="C274" s="483"/>
      <c r="D274" s="464"/>
      <c r="E274" s="464"/>
      <c r="F274" s="484"/>
      <c r="G274" s="460"/>
      <c r="H274" s="485"/>
      <c r="I274" s="164"/>
      <c r="J274" s="462"/>
      <c r="K274" s="481"/>
      <c r="L274" s="464"/>
      <c r="M274" s="164"/>
      <c r="N274" s="465"/>
      <c r="O274" s="462"/>
      <c r="P274" s="486"/>
      <c r="Q274" s="487"/>
      <c r="R274" s="164"/>
      <c r="S274" s="467"/>
      <c r="T274" s="468"/>
      <c r="U274" s="469"/>
      <c r="V274" s="457"/>
      <c r="W274" s="457"/>
      <c r="X274" s="457"/>
      <c r="Y274" s="457"/>
      <c r="Z274" s="457"/>
    </row>
    <row r="275" spans="1:26" ht="18" customHeight="1">
      <c r="A275" s="464"/>
      <c r="B275" s="458"/>
      <c r="C275" s="483"/>
      <c r="D275" s="464"/>
      <c r="E275" s="464"/>
      <c r="F275" s="484"/>
      <c r="G275" s="460"/>
      <c r="H275" s="485"/>
      <c r="I275" s="164"/>
      <c r="J275" s="462"/>
      <c r="K275" s="481"/>
      <c r="L275" s="464"/>
      <c r="M275" s="164"/>
      <c r="N275" s="465"/>
      <c r="O275" s="462"/>
      <c r="P275" s="486"/>
      <c r="Q275" s="487"/>
      <c r="R275" s="164"/>
      <c r="S275" s="467"/>
      <c r="T275" s="468"/>
      <c r="U275" s="469"/>
      <c r="V275" s="457"/>
      <c r="W275" s="457"/>
      <c r="X275" s="457"/>
      <c r="Y275" s="457"/>
      <c r="Z275" s="457"/>
    </row>
    <row r="276" spans="1:26" ht="18" customHeight="1">
      <c r="A276" s="464"/>
      <c r="B276" s="458"/>
      <c r="C276" s="483"/>
      <c r="D276" s="464"/>
      <c r="E276" s="464"/>
      <c r="F276" s="484"/>
      <c r="G276" s="460"/>
      <c r="H276" s="485"/>
      <c r="I276" s="164"/>
      <c r="J276" s="462"/>
      <c r="K276" s="481"/>
      <c r="L276" s="464"/>
      <c r="M276" s="164"/>
      <c r="N276" s="465"/>
      <c r="O276" s="462"/>
      <c r="P276" s="486"/>
      <c r="Q276" s="487"/>
      <c r="R276" s="164"/>
      <c r="S276" s="467"/>
      <c r="T276" s="468"/>
      <c r="U276" s="469"/>
      <c r="V276" s="457"/>
      <c r="W276" s="457"/>
      <c r="X276" s="457"/>
      <c r="Y276" s="457"/>
      <c r="Z276" s="457"/>
    </row>
    <row r="277" spans="1:26" ht="18" customHeight="1">
      <c r="A277" s="464"/>
      <c r="B277" s="458"/>
      <c r="C277" s="483"/>
      <c r="D277" s="464"/>
      <c r="E277" s="464"/>
      <c r="F277" s="484"/>
      <c r="G277" s="460"/>
      <c r="H277" s="485"/>
      <c r="I277" s="164"/>
      <c r="J277" s="462"/>
      <c r="K277" s="481"/>
      <c r="L277" s="464"/>
      <c r="M277" s="164"/>
      <c r="N277" s="465"/>
      <c r="O277" s="462"/>
      <c r="P277" s="486"/>
      <c r="Q277" s="487"/>
      <c r="R277" s="164"/>
      <c r="S277" s="467"/>
      <c r="T277" s="468"/>
      <c r="U277" s="469"/>
      <c r="V277" s="457"/>
      <c r="W277" s="457"/>
      <c r="X277" s="457"/>
      <c r="Y277" s="457"/>
      <c r="Z277" s="457"/>
    </row>
    <row r="278" spans="1:26" ht="18" customHeight="1">
      <c r="A278" s="464"/>
      <c r="B278" s="458"/>
      <c r="C278" s="483"/>
      <c r="D278" s="464"/>
      <c r="E278" s="464"/>
      <c r="F278" s="484"/>
      <c r="G278" s="460"/>
      <c r="H278" s="485"/>
      <c r="I278" s="164"/>
      <c r="J278" s="462"/>
      <c r="K278" s="481"/>
      <c r="L278" s="464"/>
      <c r="M278" s="164"/>
      <c r="N278" s="465"/>
      <c r="O278" s="462"/>
      <c r="P278" s="486"/>
      <c r="Q278" s="487"/>
      <c r="R278" s="164"/>
      <c r="S278" s="467"/>
      <c r="T278" s="468"/>
      <c r="U278" s="469"/>
      <c r="V278" s="457"/>
      <c r="W278" s="457"/>
      <c r="X278" s="457"/>
      <c r="Y278" s="457"/>
      <c r="Z278" s="457"/>
    </row>
    <row r="279" spans="1:26" ht="18" customHeight="1">
      <c r="A279" s="464"/>
      <c r="B279" s="458"/>
      <c r="C279" s="483"/>
      <c r="D279" s="464"/>
      <c r="E279" s="464"/>
      <c r="F279" s="484"/>
      <c r="G279" s="460"/>
      <c r="H279" s="485"/>
      <c r="I279" s="164"/>
      <c r="J279" s="462"/>
      <c r="K279" s="481"/>
      <c r="L279" s="464"/>
      <c r="M279" s="164"/>
      <c r="N279" s="465"/>
      <c r="O279" s="462"/>
      <c r="P279" s="486"/>
      <c r="Q279" s="487"/>
      <c r="R279" s="164"/>
      <c r="S279" s="467"/>
      <c r="T279" s="468"/>
      <c r="U279" s="469"/>
      <c r="V279" s="457"/>
      <c r="W279" s="457"/>
      <c r="X279" s="457"/>
      <c r="Y279" s="457"/>
      <c r="Z279" s="457"/>
    </row>
    <row r="280" spans="1:26" ht="18" customHeight="1">
      <c r="A280" s="464"/>
      <c r="B280" s="458"/>
      <c r="C280" s="483"/>
      <c r="D280" s="464"/>
      <c r="E280" s="464"/>
      <c r="F280" s="484"/>
      <c r="G280" s="460"/>
      <c r="H280" s="485"/>
      <c r="I280" s="164"/>
      <c r="J280" s="462"/>
      <c r="K280" s="481"/>
      <c r="L280" s="464"/>
      <c r="M280" s="164"/>
      <c r="N280" s="465"/>
      <c r="O280" s="462"/>
      <c r="P280" s="486"/>
      <c r="Q280" s="487"/>
      <c r="R280" s="164"/>
      <c r="S280" s="467"/>
      <c r="T280" s="468"/>
      <c r="U280" s="469"/>
      <c r="V280" s="457"/>
      <c r="W280" s="457"/>
      <c r="X280" s="457"/>
      <c r="Y280" s="457"/>
      <c r="Z280" s="457"/>
    </row>
    <row r="281" spans="1:26" ht="18" customHeight="1">
      <c r="A281" s="464"/>
      <c r="B281" s="458"/>
      <c r="C281" s="483"/>
      <c r="D281" s="464"/>
      <c r="E281" s="464"/>
      <c r="F281" s="484"/>
      <c r="G281" s="460"/>
      <c r="H281" s="485"/>
      <c r="I281" s="164"/>
      <c r="J281" s="462"/>
      <c r="K281" s="481"/>
      <c r="L281" s="464"/>
      <c r="M281" s="164"/>
      <c r="N281" s="465"/>
      <c r="O281" s="462"/>
      <c r="P281" s="486"/>
      <c r="Q281" s="487"/>
      <c r="R281" s="164"/>
      <c r="S281" s="467"/>
      <c r="T281" s="468"/>
      <c r="U281" s="469"/>
      <c r="V281" s="457"/>
      <c r="W281" s="457"/>
      <c r="X281" s="457"/>
      <c r="Y281" s="457"/>
      <c r="Z281" s="457"/>
    </row>
    <row r="282" spans="1:26" ht="18" customHeight="1">
      <c r="A282" s="464"/>
      <c r="B282" s="458"/>
      <c r="C282" s="483"/>
      <c r="D282" s="464"/>
      <c r="E282" s="464"/>
      <c r="F282" s="484"/>
      <c r="G282" s="460"/>
      <c r="H282" s="485"/>
      <c r="I282" s="164"/>
      <c r="J282" s="462"/>
      <c r="K282" s="481"/>
      <c r="L282" s="464"/>
      <c r="M282" s="164"/>
      <c r="N282" s="465"/>
      <c r="O282" s="462"/>
      <c r="P282" s="486"/>
      <c r="Q282" s="487"/>
      <c r="R282" s="164"/>
      <c r="S282" s="467"/>
      <c r="T282" s="468"/>
      <c r="U282" s="469"/>
      <c r="V282" s="457"/>
      <c r="W282" s="457"/>
      <c r="X282" s="457"/>
      <c r="Y282" s="457"/>
      <c r="Z282" s="457"/>
    </row>
    <row r="283" spans="1:26" ht="18" customHeight="1">
      <c r="A283" s="464"/>
      <c r="B283" s="458"/>
      <c r="C283" s="483"/>
      <c r="D283" s="464"/>
      <c r="E283" s="464"/>
      <c r="F283" s="484"/>
      <c r="G283" s="460"/>
      <c r="H283" s="485"/>
      <c r="I283" s="164"/>
      <c r="J283" s="462"/>
      <c r="K283" s="481"/>
      <c r="L283" s="464"/>
      <c r="M283" s="164"/>
      <c r="N283" s="465"/>
      <c r="O283" s="462"/>
      <c r="P283" s="486"/>
      <c r="Q283" s="487"/>
      <c r="R283" s="164"/>
      <c r="S283" s="467"/>
      <c r="T283" s="468"/>
      <c r="U283" s="469"/>
      <c r="V283" s="457"/>
      <c r="W283" s="457"/>
      <c r="X283" s="457"/>
      <c r="Y283" s="457"/>
      <c r="Z283" s="457"/>
    </row>
    <row r="284" spans="1:26" ht="18" customHeight="1">
      <c r="A284" s="464"/>
      <c r="B284" s="458"/>
      <c r="C284" s="483"/>
      <c r="D284" s="464"/>
      <c r="E284" s="464"/>
      <c r="F284" s="484"/>
      <c r="G284" s="460"/>
      <c r="H284" s="485"/>
      <c r="I284" s="164"/>
      <c r="J284" s="462"/>
      <c r="K284" s="481"/>
      <c r="L284" s="464"/>
      <c r="M284" s="164"/>
      <c r="N284" s="465"/>
      <c r="O284" s="462"/>
      <c r="P284" s="486"/>
      <c r="Q284" s="487"/>
      <c r="R284" s="164"/>
      <c r="S284" s="467"/>
      <c r="T284" s="468"/>
      <c r="U284" s="469"/>
      <c r="V284" s="457"/>
      <c r="W284" s="457"/>
      <c r="X284" s="457"/>
      <c r="Y284" s="457"/>
      <c r="Z284" s="457"/>
    </row>
    <row r="285" spans="1:26" ht="18" customHeight="1">
      <c r="A285" s="464"/>
      <c r="B285" s="458"/>
      <c r="C285" s="483"/>
      <c r="D285" s="464"/>
      <c r="E285" s="464"/>
      <c r="F285" s="484"/>
      <c r="G285" s="460"/>
      <c r="H285" s="485"/>
      <c r="I285" s="164"/>
      <c r="J285" s="462"/>
      <c r="K285" s="481"/>
      <c r="L285" s="464"/>
      <c r="M285" s="164"/>
      <c r="N285" s="465"/>
      <c r="O285" s="462"/>
      <c r="P285" s="486"/>
      <c r="Q285" s="487"/>
      <c r="R285" s="164"/>
      <c r="S285" s="467"/>
      <c r="T285" s="468"/>
      <c r="U285" s="469"/>
      <c r="V285" s="457"/>
      <c r="W285" s="457"/>
      <c r="X285" s="457"/>
      <c r="Y285" s="457"/>
      <c r="Z285" s="457"/>
    </row>
    <row r="286" spans="1:26" ht="18" customHeight="1">
      <c r="A286" s="464"/>
      <c r="B286" s="458"/>
      <c r="C286" s="483"/>
      <c r="D286" s="464"/>
      <c r="E286" s="464"/>
      <c r="F286" s="484"/>
      <c r="G286" s="460"/>
      <c r="H286" s="485"/>
      <c r="I286" s="164"/>
      <c r="J286" s="462"/>
      <c r="K286" s="481"/>
      <c r="L286" s="464"/>
      <c r="M286" s="164"/>
      <c r="N286" s="465"/>
      <c r="O286" s="462"/>
      <c r="P286" s="486"/>
      <c r="Q286" s="487"/>
      <c r="R286" s="164"/>
      <c r="S286" s="467"/>
      <c r="T286" s="468"/>
      <c r="U286" s="469"/>
      <c r="V286" s="457"/>
      <c r="W286" s="457"/>
      <c r="X286" s="457"/>
      <c r="Y286" s="457"/>
      <c r="Z286" s="457"/>
    </row>
    <row r="287" spans="1:26" ht="18" customHeight="1">
      <c r="A287" s="464"/>
      <c r="B287" s="458"/>
      <c r="C287" s="483"/>
      <c r="D287" s="464"/>
      <c r="E287" s="464"/>
      <c r="F287" s="484"/>
      <c r="G287" s="460"/>
      <c r="H287" s="485"/>
      <c r="I287" s="164"/>
      <c r="J287" s="462"/>
      <c r="K287" s="481"/>
      <c r="L287" s="464"/>
      <c r="M287" s="164"/>
      <c r="N287" s="465"/>
      <c r="O287" s="462"/>
      <c r="P287" s="486"/>
      <c r="Q287" s="487"/>
      <c r="R287" s="164"/>
      <c r="S287" s="467"/>
      <c r="T287" s="468"/>
      <c r="U287" s="469"/>
      <c r="V287" s="457"/>
      <c r="W287" s="457"/>
      <c r="X287" s="457"/>
      <c r="Y287" s="457"/>
      <c r="Z287" s="457"/>
    </row>
    <row r="288" spans="1:26" ht="18" customHeight="1">
      <c r="A288" s="464"/>
      <c r="B288" s="458"/>
      <c r="C288" s="483"/>
      <c r="D288" s="464"/>
      <c r="E288" s="464"/>
      <c r="F288" s="484"/>
      <c r="G288" s="460"/>
      <c r="H288" s="485"/>
      <c r="I288" s="164"/>
      <c r="J288" s="462"/>
      <c r="K288" s="481"/>
      <c r="L288" s="464"/>
      <c r="M288" s="164"/>
      <c r="N288" s="465"/>
      <c r="O288" s="462"/>
      <c r="P288" s="486"/>
      <c r="Q288" s="487"/>
      <c r="R288" s="164"/>
      <c r="S288" s="467"/>
      <c r="T288" s="468"/>
      <c r="U288" s="469"/>
      <c r="V288" s="457"/>
      <c r="W288" s="457"/>
      <c r="X288" s="457"/>
      <c r="Y288" s="457"/>
      <c r="Z288" s="457"/>
    </row>
    <row r="289" spans="1:26" ht="18" customHeight="1">
      <c r="A289" s="464"/>
      <c r="B289" s="458"/>
      <c r="C289" s="483"/>
      <c r="D289" s="464"/>
      <c r="E289" s="464"/>
      <c r="F289" s="484"/>
      <c r="G289" s="460"/>
      <c r="H289" s="485"/>
      <c r="I289" s="164"/>
      <c r="J289" s="462"/>
      <c r="K289" s="481"/>
      <c r="L289" s="464"/>
      <c r="M289" s="164"/>
      <c r="N289" s="465"/>
      <c r="O289" s="462"/>
      <c r="P289" s="486"/>
      <c r="Q289" s="487"/>
      <c r="R289" s="164"/>
      <c r="S289" s="467"/>
      <c r="T289" s="468"/>
      <c r="U289" s="469"/>
      <c r="V289" s="457"/>
      <c r="W289" s="457"/>
      <c r="X289" s="457"/>
      <c r="Y289" s="457"/>
      <c r="Z289" s="457"/>
    </row>
    <row r="290" spans="1:26" ht="18" customHeight="1">
      <c r="A290" s="464"/>
      <c r="B290" s="458"/>
      <c r="C290" s="483"/>
      <c r="D290" s="464"/>
      <c r="E290" s="464"/>
      <c r="F290" s="484"/>
      <c r="G290" s="460"/>
      <c r="H290" s="485"/>
      <c r="I290" s="164"/>
      <c r="J290" s="462"/>
      <c r="K290" s="481"/>
      <c r="L290" s="464"/>
      <c r="M290" s="164"/>
      <c r="N290" s="465"/>
      <c r="O290" s="462"/>
      <c r="P290" s="486"/>
      <c r="Q290" s="487"/>
      <c r="R290" s="164"/>
      <c r="S290" s="467"/>
      <c r="T290" s="468"/>
      <c r="U290" s="469"/>
      <c r="V290" s="457"/>
      <c r="W290" s="457"/>
      <c r="X290" s="457"/>
      <c r="Y290" s="457"/>
      <c r="Z290" s="457"/>
    </row>
    <row r="291" spans="1:26" ht="18" customHeight="1">
      <c r="A291" s="464"/>
      <c r="B291" s="458"/>
      <c r="C291" s="483"/>
      <c r="D291" s="464"/>
      <c r="E291" s="464"/>
      <c r="F291" s="484"/>
      <c r="G291" s="460"/>
      <c r="H291" s="485"/>
      <c r="I291" s="164"/>
      <c r="J291" s="462"/>
      <c r="K291" s="481"/>
      <c r="L291" s="464"/>
      <c r="M291" s="164"/>
      <c r="N291" s="465"/>
      <c r="O291" s="462"/>
      <c r="P291" s="486"/>
      <c r="Q291" s="487"/>
      <c r="R291" s="164"/>
      <c r="S291" s="467"/>
      <c r="T291" s="468"/>
      <c r="U291" s="469"/>
      <c r="V291" s="457"/>
      <c r="W291" s="457"/>
      <c r="X291" s="457"/>
      <c r="Y291" s="457"/>
      <c r="Z291" s="457"/>
    </row>
    <row r="292" spans="1:26" ht="18" customHeight="1">
      <c r="A292" s="464"/>
      <c r="B292" s="458"/>
      <c r="C292" s="483"/>
      <c r="D292" s="464"/>
      <c r="E292" s="464"/>
      <c r="F292" s="484"/>
      <c r="G292" s="460"/>
      <c r="H292" s="485"/>
      <c r="I292" s="164"/>
      <c r="J292" s="462"/>
      <c r="K292" s="481"/>
      <c r="L292" s="464"/>
      <c r="M292" s="164"/>
      <c r="N292" s="465"/>
      <c r="O292" s="462"/>
      <c r="P292" s="486"/>
      <c r="Q292" s="487"/>
      <c r="R292" s="164"/>
      <c r="S292" s="467"/>
      <c r="T292" s="468"/>
      <c r="U292" s="469"/>
      <c r="V292" s="457"/>
      <c r="W292" s="457"/>
      <c r="X292" s="457"/>
      <c r="Y292" s="457"/>
      <c r="Z292" s="457"/>
    </row>
    <row r="293" spans="1:26" ht="18" customHeight="1">
      <c r="A293" s="464"/>
      <c r="B293" s="458"/>
      <c r="C293" s="483"/>
      <c r="D293" s="464"/>
      <c r="E293" s="464"/>
      <c r="F293" s="484"/>
      <c r="G293" s="460"/>
      <c r="H293" s="485"/>
      <c r="I293" s="164"/>
      <c r="J293" s="462"/>
      <c r="K293" s="481"/>
      <c r="L293" s="464"/>
      <c r="M293" s="164"/>
      <c r="N293" s="465"/>
      <c r="O293" s="462"/>
      <c r="P293" s="486"/>
      <c r="Q293" s="487"/>
      <c r="R293" s="164"/>
      <c r="S293" s="467"/>
      <c r="T293" s="468"/>
      <c r="U293" s="469"/>
      <c r="V293" s="457"/>
      <c r="W293" s="457"/>
      <c r="X293" s="457"/>
      <c r="Y293" s="457"/>
      <c r="Z293" s="457"/>
    </row>
    <row r="294" spans="1:26" ht="18" customHeight="1">
      <c r="A294" s="464"/>
      <c r="B294" s="458"/>
      <c r="C294" s="483"/>
      <c r="D294" s="464"/>
      <c r="E294" s="464"/>
      <c r="F294" s="484"/>
      <c r="G294" s="460"/>
      <c r="H294" s="485"/>
      <c r="I294" s="164"/>
      <c r="J294" s="462"/>
      <c r="K294" s="481"/>
      <c r="L294" s="464"/>
      <c r="M294" s="164"/>
      <c r="N294" s="465"/>
      <c r="O294" s="462"/>
      <c r="P294" s="486"/>
      <c r="Q294" s="487"/>
      <c r="R294" s="164"/>
      <c r="S294" s="467"/>
      <c r="T294" s="468"/>
      <c r="U294" s="469"/>
      <c r="V294" s="457"/>
      <c r="W294" s="457"/>
      <c r="X294" s="457"/>
      <c r="Y294" s="457"/>
      <c r="Z294" s="457"/>
    </row>
    <row r="295" spans="1:26" ht="18" customHeight="1">
      <c r="A295" s="464"/>
      <c r="B295" s="458"/>
      <c r="C295" s="483"/>
      <c r="D295" s="464"/>
      <c r="E295" s="464"/>
      <c r="F295" s="484"/>
      <c r="G295" s="460"/>
      <c r="H295" s="485"/>
      <c r="I295" s="164"/>
      <c r="J295" s="462"/>
      <c r="K295" s="481"/>
      <c r="L295" s="464"/>
      <c r="M295" s="164"/>
      <c r="N295" s="465"/>
      <c r="O295" s="462"/>
      <c r="P295" s="486"/>
      <c r="Q295" s="487"/>
      <c r="R295" s="164"/>
      <c r="S295" s="467"/>
      <c r="T295" s="468"/>
      <c r="U295" s="469"/>
      <c r="V295" s="457"/>
      <c r="W295" s="457"/>
      <c r="X295" s="457"/>
      <c r="Y295" s="457"/>
      <c r="Z295" s="457"/>
    </row>
    <row r="296" spans="1:26" ht="18" customHeight="1">
      <c r="A296" s="464"/>
      <c r="B296" s="458"/>
      <c r="C296" s="483"/>
      <c r="D296" s="464"/>
      <c r="E296" s="464"/>
      <c r="F296" s="484"/>
      <c r="G296" s="460"/>
      <c r="H296" s="485"/>
      <c r="I296" s="164"/>
      <c r="J296" s="462"/>
      <c r="K296" s="481"/>
      <c r="L296" s="464"/>
      <c r="M296" s="164"/>
      <c r="N296" s="465"/>
      <c r="O296" s="462"/>
      <c r="P296" s="486"/>
      <c r="Q296" s="487"/>
      <c r="R296" s="164"/>
      <c r="S296" s="467"/>
      <c r="T296" s="468"/>
      <c r="U296" s="469"/>
      <c r="V296" s="457"/>
      <c r="W296" s="457"/>
      <c r="X296" s="457"/>
      <c r="Y296" s="457"/>
      <c r="Z296" s="457"/>
    </row>
    <row r="297" spans="1:26" ht="18" customHeight="1">
      <c r="A297" s="464"/>
      <c r="B297" s="458"/>
      <c r="C297" s="483"/>
      <c r="D297" s="464"/>
      <c r="E297" s="464"/>
      <c r="F297" s="484"/>
      <c r="G297" s="460"/>
      <c r="H297" s="485"/>
      <c r="I297" s="164"/>
      <c r="J297" s="462"/>
      <c r="K297" s="481"/>
      <c r="L297" s="464"/>
      <c r="M297" s="164"/>
      <c r="N297" s="465"/>
      <c r="O297" s="462"/>
      <c r="P297" s="486"/>
      <c r="Q297" s="487"/>
      <c r="R297" s="164"/>
      <c r="S297" s="467"/>
      <c r="T297" s="468"/>
      <c r="U297" s="469"/>
      <c r="V297" s="457"/>
      <c r="W297" s="457"/>
      <c r="X297" s="457"/>
      <c r="Y297" s="457"/>
      <c r="Z297" s="457"/>
    </row>
    <row r="298" spans="1:26" ht="18" customHeight="1">
      <c r="A298" s="464"/>
      <c r="B298" s="458"/>
      <c r="C298" s="483"/>
      <c r="D298" s="464"/>
      <c r="E298" s="464"/>
      <c r="F298" s="484"/>
      <c r="G298" s="460"/>
      <c r="H298" s="485"/>
      <c r="I298" s="164"/>
      <c r="J298" s="462"/>
      <c r="K298" s="481"/>
      <c r="L298" s="464"/>
      <c r="M298" s="164"/>
      <c r="N298" s="465"/>
      <c r="O298" s="462"/>
      <c r="P298" s="486"/>
      <c r="Q298" s="487"/>
      <c r="R298" s="164"/>
      <c r="S298" s="467"/>
      <c r="T298" s="468"/>
      <c r="U298" s="469"/>
      <c r="V298" s="457"/>
      <c r="W298" s="457"/>
      <c r="X298" s="457"/>
      <c r="Y298" s="457"/>
      <c r="Z298" s="457"/>
    </row>
    <row r="299" spans="1:26" ht="18" customHeight="1">
      <c r="A299" s="464"/>
      <c r="B299" s="458"/>
      <c r="C299" s="483"/>
      <c r="D299" s="464"/>
      <c r="E299" s="464"/>
      <c r="F299" s="484"/>
      <c r="G299" s="460"/>
      <c r="H299" s="485"/>
      <c r="I299" s="164"/>
      <c r="J299" s="462"/>
      <c r="K299" s="481"/>
      <c r="L299" s="464"/>
      <c r="M299" s="164"/>
      <c r="N299" s="465"/>
      <c r="O299" s="462"/>
      <c r="P299" s="486"/>
      <c r="Q299" s="487"/>
      <c r="R299" s="164"/>
      <c r="S299" s="467"/>
      <c r="T299" s="468"/>
      <c r="U299" s="469"/>
      <c r="V299" s="457"/>
      <c r="W299" s="457"/>
      <c r="X299" s="457"/>
      <c r="Y299" s="457"/>
      <c r="Z299" s="457"/>
    </row>
    <row r="300" spans="1:26" ht="18" customHeight="1">
      <c r="A300" s="464"/>
      <c r="B300" s="458"/>
      <c r="C300" s="483"/>
      <c r="D300" s="464"/>
      <c r="E300" s="464"/>
      <c r="F300" s="484"/>
      <c r="G300" s="460"/>
      <c r="H300" s="485"/>
      <c r="I300" s="164"/>
      <c r="J300" s="462"/>
      <c r="K300" s="481"/>
      <c r="L300" s="464"/>
      <c r="M300" s="164"/>
      <c r="N300" s="465"/>
      <c r="O300" s="462"/>
      <c r="P300" s="486"/>
      <c r="Q300" s="487"/>
      <c r="R300" s="164"/>
      <c r="S300" s="467"/>
      <c r="T300" s="468"/>
      <c r="U300" s="469"/>
      <c r="V300" s="457"/>
      <c r="W300" s="457"/>
      <c r="X300" s="457"/>
      <c r="Y300" s="457"/>
      <c r="Z300" s="457"/>
    </row>
    <row r="301" spans="1:26" ht="18" customHeight="1">
      <c r="A301" s="464"/>
      <c r="B301" s="458"/>
      <c r="C301" s="483"/>
      <c r="D301" s="464"/>
      <c r="E301" s="464"/>
      <c r="F301" s="484"/>
      <c r="G301" s="460"/>
      <c r="H301" s="485"/>
      <c r="I301" s="164"/>
      <c r="J301" s="462"/>
      <c r="K301" s="481"/>
      <c r="L301" s="464"/>
      <c r="M301" s="164"/>
      <c r="N301" s="465"/>
      <c r="O301" s="462"/>
      <c r="P301" s="486"/>
      <c r="Q301" s="487"/>
      <c r="R301" s="164"/>
      <c r="S301" s="467"/>
      <c r="T301" s="468"/>
      <c r="U301" s="469"/>
      <c r="V301" s="457"/>
      <c r="W301" s="457"/>
      <c r="X301" s="457"/>
      <c r="Y301" s="457"/>
      <c r="Z301" s="457"/>
    </row>
    <row r="302" spans="1:26" ht="18" customHeight="1">
      <c r="A302" s="464"/>
      <c r="B302" s="458"/>
      <c r="C302" s="483"/>
      <c r="D302" s="464"/>
      <c r="E302" s="464"/>
      <c r="F302" s="484"/>
      <c r="G302" s="460"/>
      <c r="H302" s="485"/>
      <c r="I302" s="164"/>
      <c r="J302" s="462"/>
      <c r="K302" s="481"/>
      <c r="L302" s="464"/>
      <c r="M302" s="164"/>
      <c r="N302" s="465"/>
      <c r="O302" s="462"/>
      <c r="P302" s="486"/>
      <c r="Q302" s="487"/>
      <c r="R302" s="164"/>
      <c r="S302" s="467"/>
      <c r="T302" s="468"/>
      <c r="U302" s="469"/>
      <c r="V302" s="457"/>
      <c r="W302" s="457"/>
      <c r="X302" s="457"/>
      <c r="Y302" s="457"/>
      <c r="Z302" s="457"/>
    </row>
    <row r="303" spans="1:26" ht="18" customHeight="1">
      <c r="A303" s="464"/>
      <c r="B303" s="458"/>
      <c r="C303" s="483"/>
      <c r="D303" s="464"/>
      <c r="E303" s="464"/>
      <c r="F303" s="484"/>
      <c r="G303" s="460"/>
      <c r="H303" s="485"/>
      <c r="I303" s="164"/>
      <c r="J303" s="462"/>
      <c r="K303" s="481"/>
      <c r="L303" s="464"/>
      <c r="M303" s="164"/>
      <c r="N303" s="465"/>
      <c r="O303" s="462"/>
      <c r="P303" s="486"/>
      <c r="Q303" s="487"/>
      <c r="R303" s="164"/>
      <c r="S303" s="467"/>
      <c r="T303" s="468"/>
      <c r="U303" s="469"/>
      <c r="V303" s="457"/>
      <c r="W303" s="457"/>
      <c r="X303" s="457"/>
      <c r="Y303" s="457"/>
      <c r="Z303" s="457"/>
    </row>
    <row r="304" spans="1:26" ht="18" customHeight="1">
      <c r="A304" s="464"/>
      <c r="B304" s="458"/>
      <c r="C304" s="483"/>
      <c r="D304" s="464"/>
      <c r="E304" s="464"/>
      <c r="F304" s="484"/>
      <c r="G304" s="460"/>
      <c r="H304" s="485"/>
      <c r="I304" s="164"/>
      <c r="J304" s="462"/>
      <c r="K304" s="481"/>
      <c r="L304" s="464"/>
      <c r="M304" s="164"/>
      <c r="N304" s="465"/>
      <c r="O304" s="462"/>
      <c r="P304" s="486"/>
      <c r="Q304" s="487"/>
      <c r="R304" s="164"/>
      <c r="S304" s="467"/>
      <c r="T304" s="468"/>
      <c r="U304" s="469"/>
      <c r="V304" s="457"/>
      <c r="W304" s="457"/>
      <c r="X304" s="457"/>
      <c r="Y304" s="457"/>
      <c r="Z304" s="457"/>
    </row>
    <row r="305" spans="1:26" ht="18" customHeight="1">
      <c r="A305" s="464"/>
      <c r="B305" s="458"/>
      <c r="C305" s="483"/>
      <c r="D305" s="464"/>
      <c r="E305" s="464"/>
      <c r="F305" s="484"/>
      <c r="G305" s="460"/>
      <c r="H305" s="485"/>
      <c r="I305" s="164"/>
      <c r="J305" s="462"/>
      <c r="K305" s="481"/>
      <c r="L305" s="464"/>
      <c r="M305" s="164"/>
      <c r="N305" s="465"/>
      <c r="O305" s="462"/>
      <c r="P305" s="486"/>
      <c r="Q305" s="487"/>
      <c r="R305" s="164"/>
      <c r="S305" s="467"/>
      <c r="T305" s="468"/>
      <c r="U305" s="469"/>
      <c r="V305" s="457"/>
      <c r="W305" s="457"/>
      <c r="X305" s="457"/>
      <c r="Y305" s="457"/>
      <c r="Z305" s="457"/>
    </row>
    <row r="306" spans="1:26" ht="18" customHeight="1">
      <c r="A306" s="464"/>
      <c r="B306" s="458"/>
      <c r="C306" s="483"/>
      <c r="D306" s="464"/>
      <c r="E306" s="464"/>
      <c r="F306" s="484"/>
      <c r="G306" s="460"/>
      <c r="H306" s="485"/>
      <c r="I306" s="164"/>
      <c r="J306" s="462"/>
      <c r="K306" s="481"/>
      <c r="L306" s="464"/>
      <c r="M306" s="164"/>
      <c r="N306" s="465"/>
      <c r="O306" s="462"/>
      <c r="P306" s="486"/>
      <c r="Q306" s="487"/>
      <c r="R306" s="164"/>
      <c r="S306" s="467"/>
      <c r="T306" s="468"/>
      <c r="U306" s="469"/>
      <c r="V306" s="457"/>
      <c r="W306" s="457"/>
      <c r="X306" s="457"/>
      <c r="Y306" s="457"/>
      <c r="Z306" s="457"/>
    </row>
    <row r="307" spans="1:26" ht="18" customHeight="1">
      <c r="A307" s="464"/>
      <c r="B307" s="458"/>
      <c r="C307" s="483"/>
      <c r="D307" s="464"/>
      <c r="E307" s="464"/>
      <c r="F307" s="484"/>
      <c r="G307" s="460"/>
      <c r="H307" s="485"/>
      <c r="I307" s="164"/>
      <c r="J307" s="462"/>
      <c r="K307" s="481"/>
      <c r="L307" s="464"/>
      <c r="M307" s="164"/>
      <c r="N307" s="465"/>
      <c r="O307" s="462"/>
      <c r="P307" s="486"/>
      <c r="Q307" s="487"/>
      <c r="R307" s="164"/>
      <c r="S307" s="467"/>
      <c r="T307" s="468"/>
      <c r="U307" s="469"/>
      <c r="V307" s="457"/>
      <c r="W307" s="457"/>
      <c r="X307" s="457"/>
      <c r="Y307" s="457"/>
      <c r="Z307" s="457"/>
    </row>
    <row r="308" spans="1:26" ht="18" customHeight="1">
      <c r="A308" s="464"/>
      <c r="B308" s="458"/>
      <c r="C308" s="483"/>
      <c r="D308" s="464"/>
      <c r="E308" s="464"/>
      <c r="F308" s="484"/>
      <c r="G308" s="460"/>
      <c r="H308" s="485"/>
      <c r="I308" s="164"/>
      <c r="J308" s="462"/>
      <c r="K308" s="481"/>
      <c r="L308" s="464"/>
      <c r="M308" s="164"/>
      <c r="N308" s="465"/>
      <c r="O308" s="462"/>
      <c r="P308" s="486"/>
      <c r="Q308" s="487"/>
      <c r="R308" s="164"/>
      <c r="S308" s="467"/>
      <c r="T308" s="468"/>
      <c r="U308" s="469"/>
      <c r="V308" s="457"/>
      <c r="W308" s="457"/>
      <c r="X308" s="457"/>
      <c r="Y308" s="457"/>
      <c r="Z308" s="457"/>
    </row>
    <row r="309" spans="1:26" ht="18" customHeight="1">
      <c r="A309" s="464"/>
      <c r="B309" s="458"/>
      <c r="C309" s="483"/>
      <c r="D309" s="464"/>
      <c r="E309" s="464"/>
      <c r="F309" s="484"/>
      <c r="G309" s="460"/>
      <c r="H309" s="485"/>
      <c r="I309" s="164"/>
      <c r="J309" s="462"/>
      <c r="K309" s="481"/>
      <c r="L309" s="464"/>
      <c r="M309" s="164"/>
      <c r="N309" s="465"/>
      <c r="O309" s="462"/>
      <c r="P309" s="486"/>
      <c r="Q309" s="487"/>
      <c r="R309" s="164"/>
      <c r="S309" s="467"/>
      <c r="T309" s="468"/>
      <c r="U309" s="469"/>
      <c r="V309" s="457"/>
      <c r="W309" s="457"/>
      <c r="X309" s="457"/>
      <c r="Y309" s="457"/>
      <c r="Z309" s="457"/>
    </row>
    <row r="310" spans="1:26" ht="18" customHeight="1">
      <c r="A310" s="464"/>
      <c r="B310" s="458"/>
      <c r="C310" s="483"/>
      <c r="D310" s="464"/>
      <c r="E310" s="464"/>
      <c r="F310" s="484"/>
      <c r="G310" s="460"/>
      <c r="H310" s="485"/>
      <c r="I310" s="164"/>
      <c r="J310" s="462"/>
      <c r="K310" s="481"/>
      <c r="L310" s="464"/>
      <c r="M310" s="164"/>
      <c r="N310" s="465"/>
      <c r="O310" s="462"/>
      <c r="P310" s="486"/>
      <c r="Q310" s="487"/>
      <c r="R310" s="164"/>
      <c r="S310" s="467"/>
      <c r="T310" s="468"/>
      <c r="U310" s="469"/>
      <c r="V310" s="457"/>
      <c r="W310" s="457"/>
      <c r="X310" s="457"/>
      <c r="Y310" s="457"/>
      <c r="Z310" s="457"/>
    </row>
    <row r="311" spans="1:26" ht="18" customHeight="1">
      <c r="A311" s="464"/>
      <c r="B311" s="458"/>
      <c r="C311" s="483"/>
      <c r="D311" s="464"/>
      <c r="E311" s="464"/>
      <c r="F311" s="484"/>
      <c r="G311" s="460"/>
      <c r="H311" s="485"/>
      <c r="I311" s="164"/>
      <c r="J311" s="462"/>
      <c r="K311" s="481"/>
      <c r="L311" s="464"/>
      <c r="M311" s="164"/>
      <c r="N311" s="465"/>
      <c r="O311" s="462"/>
      <c r="P311" s="486"/>
      <c r="Q311" s="487"/>
      <c r="R311" s="164"/>
      <c r="S311" s="467"/>
      <c r="T311" s="468"/>
      <c r="U311" s="469"/>
      <c r="V311" s="457"/>
      <c r="W311" s="457"/>
      <c r="X311" s="457"/>
      <c r="Y311" s="457"/>
      <c r="Z311" s="457"/>
    </row>
    <row r="312" spans="1:26" ht="18" customHeight="1">
      <c r="A312" s="464"/>
      <c r="B312" s="458"/>
      <c r="C312" s="483"/>
      <c r="D312" s="464"/>
      <c r="E312" s="464"/>
      <c r="F312" s="484"/>
      <c r="G312" s="460"/>
      <c r="H312" s="485"/>
      <c r="I312" s="164"/>
      <c r="J312" s="462"/>
      <c r="K312" s="481"/>
      <c r="L312" s="464"/>
      <c r="M312" s="164"/>
      <c r="N312" s="465"/>
      <c r="O312" s="462"/>
      <c r="P312" s="486"/>
      <c r="Q312" s="487"/>
      <c r="R312" s="164"/>
      <c r="S312" s="467"/>
      <c r="T312" s="468"/>
      <c r="U312" s="469"/>
      <c r="V312" s="457"/>
      <c r="W312" s="457"/>
      <c r="X312" s="457"/>
      <c r="Y312" s="457"/>
      <c r="Z312" s="457"/>
    </row>
    <row r="313" spans="1:26" ht="18" customHeight="1">
      <c r="A313" s="464"/>
      <c r="B313" s="458"/>
      <c r="C313" s="483"/>
      <c r="D313" s="464"/>
      <c r="E313" s="464"/>
      <c r="F313" s="484"/>
      <c r="G313" s="460"/>
      <c r="H313" s="485"/>
      <c r="I313" s="164"/>
      <c r="J313" s="462"/>
      <c r="K313" s="481"/>
      <c r="L313" s="464"/>
      <c r="M313" s="164"/>
      <c r="N313" s="465"/>
      <c r="O313" s="462"/>
      <c r="P313" s="486"/>
      <c r="Q313" s="487"/>
      <c r="R313" s="164"/>
      <c r="S313" s="467"/>
      <c r="T313" s="468"/>
      <c r="U313" s="469"/>
      <c r="V313" s="457"/>
      <c r="W313" s="457"/>
      <c r="X313" s="457"/>
      <c r="Y313" s="457"/>
      <c r="Z313" s="457"/>
    </row>
    <row r="314" spans="1:26" ht="18" customHeight="1">
      <c r="A314" s="464"/>
      <c r="B314" s="458"/>
      <c r="C314" s="483"/>
      <c r="D314" s="464"/>
      <c r="E314" s="464"/>
      <c r="F314" s="484"/>
      <c r="G314" s="460"/>
      <c r="H314" s="485"/>
      <c r="I314" s="164"/>
      <c r="J314" s="462"/>
      <c r="K314" s="481"/>
      <c r="L314" s="464"/>
      <c r="M314" s="164"/>
      <c r="N314" s="465"/>
      <c r="O314" s="462"/>
      <c r="P314" s="486"/>
      <c r="Q314" s="487"/>
      <c r="R314" s="164"/>
      <c r="S314" s="467"/>
      <c r="T314" s="468"/>
      <c r="U314" s="469"/>
      <c r="V314" s="457"/>
      <c r="W314" s="457"/>
      <c r="X314" s="457"/>
      <c r="Y314" s="457"/>
      <c r="Z314" s="457"/>
    </row>
    <row r="315" spans="1:26" ht="18" customHeight="1">
      <c r="A315" s="464"/>
      <c r="B315" s="458"/>
      <c r="C315" s="483"/>
      <c r="D315" s="464"/>
      <c r="E315" s="464"/>
      <c r="F315" s="484"/>
      <c r="G315" s="460"/>
      <c r="H315" s="485"/>
      <c r="I315" s="164"/>
      <c r="J315" s="462"/>
      <c r="K315" s="481"/>
      <c r="L315" s="464"/>
      <c r="M315" s="164"/>
      <c r="N315" s="465"/>
      <c r="O315" s="462"/>
      <c r="P315" s="486"/>
      <c r="Q315" s="487"/>
      <c r="R315" s="164"/>
      <c r="S315" s="467"/>
      <c r="T315" s="468"/>
      <c r="U315" s="469"/>
      <c r="V315" s="457"/>
      <c r="W315" s="457"/>
      <c r="X315" s="457"/>
      <c r="Y315" s="457"/>
      <c r="Z315" s="457"/>
    </row>
    <row r="316" spans="1:26" ht="18" customHeight="1">
      <c r="A316" s="464"/>
      <c r="B316" s="458"/>
      <c r="C316" s="483"/>
      <c r="D316" s="464"/>
      <c r="E316" s="464"/>
      <c r="F316" s="484"/>
      <c r="G316" s="460"/>
      <c r="H316" s="485"/>
      <c r="I316" s="164"/>
      <c r="J316" s="462"/>
      <c r="K316" s="481"/>
      <c r="L316" s="464"/>
      <c r="M316" s="164"/>
      <c r="N316" s="465"/>
      <c r="O316" s="462"/>
      <c r="P316" s="486"/>
      <c r="Q316" s="487"/>
      <c r="R316" s="164"/>
      <c r="S316" s="467"/>
      <c r="T316" s="468"/>
      <c r="U316" s="469"/>
      <c r="V316" s="457"/>
      <c r="W316" s="457"/>
      <c r="X316" s="457"/>
      <c r="Y316" s="457"/>
      <c r="Z316" s="457"/>
    </row>
    <row r="317" spans="1:26" ht="18" customHeight="1">
      <c r="A317" s="464"/>
      <c r="B317" s="458"/>
      <c r="C317" s="483"/>
      <c r="D317" s="464"/>
      <c r="E317" s="464"/>
      <c r="F317" s="484"/>
      <c r="G317" s="460"/>
      <c r="H317" s="485"/>
      <c r="I317" s="164"/>
      <c r="J317" s="462"/>
      <c r="K317" s="481"/>
      <c r="L317" s="464"/>
      <c r="M317" s="164"/>
      <c r="N317" s="465"/>
      <c r="O317" s="462"/>
      <c r="P317" s="486"/>
      <c r="Q317" s="487"/>
      <c r="R317" s="164"/>
      <c r="S317" s="467"/>
      <c r="T317" s="468"/>
      <c r="U317" s="469"/>
      <c r="V317" s="457"/>
      <c r="W317" s="457"/>
      <c r="X317" s="457"/>
      <c r="Y317" s="457"/>
      <c r="Z317" s="457"/>
    </row>
    <row r="318" spans="1:26" ht="18" customHeight="1">
      <c r="A318" s="464"/>
      <c r="B318" s="458"/>
      <c r="C318" s="483"/>
      <c r="D318" s="464"/>
      <c r="E318" s="464"/>
      <c r="F318" s="484"/>
      <c r="G318" s="460"/>
      <c r="H318" s="485"/>
      <c r="I318" s="164"/>
      <c r="J318" s="462"/>
      <c r="K318" s="481"/>
      <c r="L318" s="464"/>
      <c r="M318" s="164"/>
      <c r="N318" s="465"/>
      <c r="O318" s="462"/>
      <c r="P318" s="486"/>
      <c r="Q318" s="487"/>
      <c r="R318" s="164"/>
      <c r="S318" s="467"/>
      <c r="T318" s="468"/>
      <c r="U318" s="469"/>
      <c r="V318" s="457"/>
      <c r="W318" s="457"/>
      <c r="X318" s="457"/>
      <c r="Y318" s="457"/>
      <c r="Z318" s="457"/>
    </row>
    <row r="319" spans="1:26" ht="18" customHeight="1">
      <c r="A319" s="464"/>
      <c r="B319" s="458"/>
      <c r="C319" s="483"/>
      <c r="D319" s="464"/>
      <c r="E319" s="464"/>
      <c r="F319" s="484"/>
      <c r="G319" s="460"/>
      <c r="H319" s="485"/>
      <c r="I319" s="164"/>
      <c r="J319" s="462"/>
      <c r="K319" s="481"/>
      <c r="L319" s="464"/>
      <c r="M319" s="164"/>
      <c r="N319" s="465"/>
      <c r="O319" s="462"/>
      <c r="P319" s="486"/>
      <c r="Q319" s="487"/>
      <c r="R319" s="164"/>
      <c r="S319" s="467"/>
      <c r="T319" s="468"/>
      <c r="U319" s="469"/>
      <c r="V319" s="457"/>
      <c r="W319" s="457"/>
      <c r="X319" s="457"/>
      <c r="Y319" s="457"/>
      <c r="Z319" s="457"/>
    </row>
    <row r="320" spans="1:26" ht="18" customHeight="1">
      <c r="A320" s="464"/>
      <c r="B320" s="458"/>
      <c r="C320" s="483"/>
      <c r="D320" s="464"/>
      <c r="E320" s="464"/>
      <c r="F320" s="484"/>
      <c r="G320" s="460"/>
      <c r="H320" s="485"/>
      <c r="I320" s="164"/>
      <c r="J320" s="462"/>
      <c r="K320" s="481"/>
      <c r="L320" s="464"/>
      <c r="M320" s="164"/>
      <c r="N320" s="465"/>
      <c r="O320" s="462"/>
      <c r="P320" s="486"/>
      <c r="Q320" s="487"/>
      <c r="R320" s="164"/>
      <c r="S320" s="467"/>
      <c r="T320" s="468"/>
      <c r="U320" s="469"/>
      <c r="V320" s="457"/>
      <c r="W320" s="457"/>
      <c r="X320" s="457"/>
      <c r="Y320" s="457"/>
      <c r="Z320" s="457"/>
    </row>
    <row r="321" spans="1:26" ht="18" customHeight="1">
      <c r="A321" s="464"/>
      <c r="B321" s="458"/>
      <c r="C321" s="483"/>
      <c r="D321" s="464"/>
      <c r="E321" s="464"/>
      <c r="F321" s="484"/>
      <c r="G321" s="460"/>
      <c r="H321" s="485"/>
      <c r="I321" s="164"/>
      <c r="J321" s="462"/>
      <c r="K321" s="481"/>
      <c r="L321" s="464"/>
      <c r="M321" s="164"/>
      <c r="N321" s="465"/>
      <c r="O321" s="462"/>
      <c r="P321" s="486"/>
      <c r="Q321" s="487"/>
      <c r="R321" s="164"/>
      <c r="S321" s="467"/>
      <c r="T321" s="468"/>
      <c r="U321" s="469"/>
      <c r="V321" s="457"/>
      <c r="W321" s="457"/>
      <c r="X321" s="457"/>
      <c r="Y321" s="457"/>
      <c r="Z321" s="457"/>
    </row>
    <row r="322" spans="1:26" ht="18" customHeight="1">
      <c r="A322" s="464"/>
      <c r="B322" s="458"/>
      <c r="C322" s="483"/>
      <c r="D322" s="464"/>
      <c r="E322" s="464"/>
      <c r="F322" s="484"/>
      <c r="G322" s="460"/>
      <c r="H322" s="485"/>
      <c r="I322" s="164"/>
      <c r="J322" s="462"/>
      <c r="K322" s="481"/>
      <c r="L322" s="464"/>
      <c r="M322" s="164"/>
      <c r="N322" s="465"/>
      <c r="O322" s="462"/>
      <c r="P322" s="486"/>
      <c r="Q322" s="487"/>
      <c r="R322" s="164"/>
      <c r="S322" s="467"/>
      <c r="T322" s="468"/>
      <c r="U322" s="469"/>
      <c r="V322" s="457"/>
      <c r="W322" s="457"/>
      <c r="X322" s="457"/>
      <c r="Y322" s="457"/>
      <c r="Z322" s="457"/>
    </row>
    <row r="323" spans="1:26" ht="18" customHeight="1">
      <c r="A323" s="464"/>
      <c r="B323" s="458"/>
      <c r="C323" s="483"/>
      <c r="D323" s="464"/>
      <c r="E323" s="464"/>
      <c r="F323" s="484"/>
      <c r="G323" s="460"/>
      <c r="H323" s="485"/>
      <c r="I323" s="164"/>
      <c r="J323" s="462"/>
      <c r="K323" s="481"/>
      <c r="L323" s="464"/>
      <c r="M323" s="164"/>
      <c r="N323" s="465"/>
      <c r="O323" s="462"/>
      <c r="P323" s="486"/>
      <c r="Q323" s="487"/>
      <c r="R323" s="164"/>
      <c r="S323" s="467"/>
      <c r="T323" s="468"/>
      <c r="U323" s="469"/>
      <c r="V323" s="457"/>
      <c r="W323" s="457"/>
      <c r="X323" s="457"/>
      <c r="Y323" s="457"/>
      <c r="Z323" s="457"/>
    </row>
    <row r="324" spans="1:26" ht="18" customHeight="1">
      <c r="A324" s="464"/>
      <c r="B324" s="458"/>
      <c r="C324" s="483"/>
      <c r="D324" s="464"/>
      <c r="E324" s="464"/>
      <c r="F324" s="484"/>
      <c r="G324" s="460"/>
      <c r="H324" s="485"/>
      <c r="I324" s="164"/>
      <c r="J324" s="462"/>
      <c r="K324" s="481"/>
      <c r="L324" s="464"/>
      <c r="M324" s="164"/>
      <c r="N324" s="465"/>
      <c r="O324" s="462"/>
      <c r="P324" s="486"/>
      <c r="Q324" s="487"/>
      <c r="R324" s="164"/>
      <c r="S324" s="467"/>
      <c r="T324" s="468"/>
      <c r="U324" s="469"/>
      <c r="V324" s="457"/>
      <c r="W324" s="457"/>
      <c r="X324" s="457"/>
      <c r="Y324" s="457"/>
      <c r="Z324" s="457"/>
    </row>
    <row r="325" spans="1:26" ht="18" customHeight="1">
      <c r="A325" s="464"/>
      <c r="B325" s="458"/>
      <c r="C325" s="483"/>
      <c r="D325" s="464"/>
      <c r="E325" s="464"/>
      <c r="F325" s="484"/>
      <c r="G325" s="460"/>
      <c r="H325" s="485"/>
      <c r="I325" s="164"/>
      <c r="J325" s="462"/>
      <c r="K325" s="481"/>
      <c r="L325" s="464"/>
      <c r="M325" s="164"/>
      <c r="N325" s="465"/>
      <c r="O325" s="462"/>
      <c r="P325" s="486"/>
      <c r="Q325" s="487"/>
      <c r="R325" s="164"/>
      <c r="S325" s="467"/>
      <c r="T325" s="468"/>
      <c r="U325" s="469"/>
      <c r="V325" s="457"/>
      <c r="W325" s="457"/>
      <c r="X325" s="457"/>
      <c r="Y325" s="457"/>
      <c r="Z325" s="457"/>
    </row>
    <row r="326" spans="1:26" ht="18" customHeight="1">
      <c r="A326" s="464"/>
      <c r="B326" s="458"/>
      <c r="C326" s="483"/>
      <c r="D326" s="464"/>
      <c r="E326" s="464"/>
      <c r="F326" s="484"/>
      <c r="G326" s="460"/>
      <c r="H326" s="485"/>
      <c r="I326" s="164"/>
      <c r="J326" s="462"/>
      <c r="K326" s="481"/>
      <c r="L326" s="464"/>
      <c r="M326" s="164"/>
      <c r="N326" s="465"/>
      <c r="O326" s="462"/>
      <c r="P326" s="486"/>
      <c r="Q326" s="487"/>
      <c r="R326" s="164"/>
      <c r="S326" s="467"/>
      <c r="T326" s="468"/>
      <c r="U326" s="469"/>
      <c r="V326" s="457"/>
      <c r="W326" s="457"/>
      <c r="X326" s="457"/>
      <c r="Y326" s="457"/>
      <c r="Z326" s="457"/>
    </row>
    <row r="327" spans="1:26" ht="18" customHeight="1">
      <c r="A327" s="464"/>
      <c r="B327" s="458"/>
      <c r="C327" s="483"/>
      <c r="D327" s="464"/>
      <c r="E327" s="464"/>
      <c r="F327" s="484"/>
      <c r="G327" s="460"/>
      <c r="H327" s="485"/>
      <c r="I327" s="164"/>
      <c r="J327" s="462"/>
      <c r="K327" s="481"/>
      <c r="L327" s="464"/>
      <c r="M327" s="164"/>
      <c r="N327" s="465"/>
      <c r="O327" s="462"/>
      <c r="P327" s="486"/>
      <c r="Q327" s="487"/>
      <c r="R327" s="164"/>
      <c r="S327" s="467"/>
      <c r="T327" s="468"/>
      <c r="U327" s="469"/>
      <c r="V327" s="457"/>
      <c r="W327" s="457"/>
      <c r="X327" s="457"/>
      <c r="Y327" s="457"/>
      <c r="Z327" s="457"/>
    </row>
    <row r="328" spans="1:26" ht="18" customHeight="1">
      <c r="A328" s="464"/>
      <c r="B328" s="458"/>
      <c r="C328" s="483"/>
      <c r="D328" s="464"/>
      <c r="E328" s="464"/>
      <c r="F328" s="484"/>
      <c r="G328" s="460"/>
      <c r="H328" s="485"/>
      <c r="I328" s="164"/>
      <c r="J328" s="462"/>
      <c r="K328" s="481"/>
      <c r="L328" s="464"/>
      <c r="M328" s="164"/>
      <c r="N328" s="465"/>
      <c r="O328" s="462"/>
      <c r="P328" s="486"/>
      <c r="Q328" s="487"/>
      <c r="R328" s="164"/>
      <c r="S328" s="467"/>
      <c r="T328" s="468"/>
      <c r="U328" s="469"/>
      <c r="V328" s="457"/>
      <c r="W328" s="457"/>
      <c r="X328" s="457"/>
      <c r="Y328" s="457"/>
      <c r="Z328" s="457"/>
    </row>
    <row r="329" spans="1:26" ht="18" customHeight="1">
      <c r="A329" s="464"/>
      <c r="B329" s="458"/>
      <c r="C329" s="483"/>
      <c r="D329" s="464"/>
      <c r="E329" s="464"/>
      <c r="F329" s="484"/>
      <c r="G329" s="460"/>
      <c r="H329" s="485"/>
      <c r="I329" s="164"/>
      <c r="J329" s="462"/>
      <c r="K329" s="481"/>
      <c r="L329" s="464"/>
      <c r="M329" s="164"/>
      <c r="N329" s="465"/>
      <c r="O329" s="462"/>
      <c r="P329" s="486"/>
      <c r="Q329" s="487"/>
      <c r="R329" s="164"/>
      <c r="S329" s="467"/>
      <c r="T329" s="468"/>
      <c r="U329" s="469"/>
      <c r="V329" s="457"/>
      <c r="W329" s="457"/>
      <c r="X329" s="457"/>
      <c r="Y329" s="457"/>
      <c r="Z329" s="457"/>
    </row>
    <row r="330" spans="1:26" ht="18" customHeight="1">
      <c r="A330" s="464"/>
      <c r="B330" s="458"/>
      <c r="C330" s="483"/>
      <c r="D330" s="464"/>
      <c r="E330" s="464"/>
      <c r="F330" s="484"/>
      <c r="G330" s="460"/>
      <c r="H330" s="485"/>
      <c r="I330" s="164"/>
      <c r="J330" s="462"/>
      <c r="K330" s="481"/>
      <c r="L330" s="464"/>
      <c r="M330" s="164"/>
      <c r="N330" s="465"/>
      <c r="O330" s="462"/>
      <c r="P330" s="486"/>
      <c r="Q330" s="487"/>
      <c r="R330" s="164"/>
      <c r="S330" s="467"/>
      <c r="T330" s="468"/>
      <c r="U330" s="469"/>
      <c r="V330" s="457"/>
      <c r="W330" s="457"/>
      <c r="X330" s="457"/>
      <c r="Y330" s="457"/>
      <c r="Z330" s="457"/>
    </row>
    <row r="331" spans="1:26" ht="18" customHeight="1">
      <c r="A331" s="464"/>
      <c r="B331" s="458"/>
      <c r="C331" s="483"/>
      <c r="D331" s="464"/>
      <c r="E331" s="464"/>
      <c r="F331" s="484"/>
      <c r="G331" s="460"/>
      <c r="H331" s="485"/>
      <c r="I331" s="164"/>
      <c r="J331" s="462"/>
      <c r="K331" s="481"/>
      <c r="L331" s="464"/>
      <c r="M331" s="164"/>
      <c r="N331" s="465"/>
      <c r="O331" s="462"/>
      <c r="P331" s="486"/>
      <c r="Q331" s="487"/>
      <c r="R331" s="164"/>
      <c r="S331" s="467"/>
      <c r="T331" s="468"/>
      <c r="U331" s="469"/>
      <c r="V331" s="457"/>
      <c r="W331" s="457"/>
      <c r="X331" s="457"/>
      <c r="Y331" s="457"/>
      <c r="Z331" s="457"/>
    </row>
    <row r="332" spans="1:26" ht="18" customHeight="1">
      <c r="A332" s="464"/>
      <c r="B332" s="458"/>
      <c r="C332" s="483"/>
      <c r="D332" s="464"/>
      <c r="E332" s="464"/>
      <c r="F332" s="484"/>
      <c r="G332" s="460"/>
      <c r="H332" s="485"/>
      <c r="I332" s="164"/>
      <c r="J332" s="462"/>
      <c r="K332" s="481"/>
      <c r="L332" s="464"/>
      <c r="M332" s="164"/>
      <c r="N332" s="465"/>
      <c r="O332" s="462"/>
      <c r="P332" s="486"/>
      <c r="Q332" s="487"/>
      <c r="R332" s="164"/>
      <c r="S332" s="467"/>
      <c r="T332" s="468"/>
      <c r="U332" s="469"/>
      <c r="V332" s="457"/>
      <c r="W332" s="457"/>
      <c r="X332" s="457"/>
      <c r="Y332" s="457"/>
      <c r="Z332" s="457"/>
    </row>
    <row r="333" spans="1:26" ht="18" customHeight="1">
      <c r="A333" s="464"/>
      <c r="B333" s="458"/>
      <c r="C333" s="483"/>
      <c r="D333" s="464"/>
      <c r="E333" s="464"/>
      <c r="F333" s="484"/>
      <c r="G333" s="460"/>
      <c r="H333" s="485"/>
      <c r="I333" s="164"/>
      <c r="J333" s="462"/>
      <c r="K333" s="481"/>
      <c r="L333" s="464"/>
      <c r="M333" s="164"/>
      <c r="N333" s="465"/>
      <c r="O333" s="462"/>
      <c r="P333" s="486"/>
      <c r="Q333" s="487"/>
      <c r="R333" s="164"/>
      <c r="S333" s="467"/>
      <c r="T333" s="468"/>
      <c r="U333" s="469"/>
      <c r="V333" s="457"/>
      <c r="W333" s="457"/>
      <c r="X333" s="457"/>
      <c r="Y333" s="457"/>
      <c r="Z333" s="457"/>
    </row>
    <row r="334" spans="1:26" ht="18" customHeight="1">
      <c r="A334" s="464"/>
      <c r="B334" s="458"/>
      <c r="C334" s="483"/>
      <c r="D334" s="464"/>
      <c r="E334" s="464"/>
      <c r="F334" s="484"/>
      <c r="G334" s="460"/>
      <c r="H334" s="485"/>
      <c r="I334" s="164"/>
      <c r="J334" s="462"/>
      <c r="K334" s="481"/>
      <c r="L334" s="464"/>
      <c r="M334" s="164"/>
      <c r="N334" s="465"/>
      <c r="O334" s="462"/>
      <c r="P334" s="486"/>
      <c r="Q334" s="487"/>
      <c r="R334" s="164"/>
      <c r="S334" s="467"/>
      <c r="T334" s="468"/>
      <c r="U334" s="469"/>
      <c r="V334" s="457"/>
      <c r="W334" s="457"/>
      <c r="X334" s="457"/>
      <c r="Y334" s="457"/>
      <c r="Z334" s="457"/>
    </row>
    <row r="335" spans="1:26" ht="18" customHeight="1">
      <c r="A335" s="464"/>
      <c r="B335" s="458"/>
      <c r="C335" s="483"/>
      <c r="D335" s="464"/>
      <c r="E335" s="464"/>
      <c r="F335" s="484"/>
      <c r="G335" s="460"/>
      <c r="H335" s="485"/>
      <c r="I335" s="164"/>
      <c r="J335" s="462"/>
      <c r="K335" s="481"/>
      <c r="L335" s="464"/>
      <c r="M335" s="164"/>
      <c r="N335" s="465"/>
      <c r="O335" s="462"/>
      <c r="P335" s="486"/>
      <c r="Q335" s="487"/>
      <c r="R335" s="164"/>
      <c r="S335" s="467"/>
      <c r="T335" s="468"/>
      <c r="U335" s="469"/>
      <c r="V335" s="457"/>
      <c r="W335" s="457"/>
      <c r="X335" s="457"/>
      <c r="Y335" s="457"/>
      <c r="Z335" s="457"/>
    </row>
    <row r="336" spans="1:26" ht="18" customHeight="1">
      <c r="A336" s="464"/>
      <c r="B336" s="458"/>
      <c r="C336" s="483"/>
      <c r="D336" s="464"/>
      <c r="E336" s="464"/>
      <c r="F336" s="484"/>
      <c r="G336" s="460"/>
      <c r="H336" s="485"/>
      <c r="I336" s="164"/>
      <c r="J336" s="462"/>
      <c r="K336" s="481"/>
      <c r="L336" s="464"/>
      <c r="M336" s="164"/>
      <c r="N336" s="465"/>
      <c r="O336" s="462"/>
      <c r="P336" s="486"/>
      <c r="Q336" s="487"/>
      <c r="R336" s="164"/>
      <c r="S336" s="467"/>
      <c r="T336" s="468"/>
      <c r="U336" s="469"/>
      <c r="V336" s="457"/>
      <c r="W336" s="457"/>
      <c r="X336" s="457"/>
      <c r="Y336" s="457"/>
      <c r="Z336" s="457"/>
    </row>
    <row r="337" spans="1:26" ht="18" customHeight="1">
      <c r="A337" s="464"/>
      <c r="B337" s="458"/>
      <c r="C337" s="483"/>
      <c r="D337" s="464"/>
      <c r="E337" s="464"/>
      <c r="F337" s="484"/>
      <c r="G337" s="460"/>
      <c r="H337" s="485"/>
      <c r="I337" s="164"/>
      <c r="J337" s="462"/>
      <c r="K337" s="481"/>
      <c r="L337" s="464"/>
      <c r="M337" s="164"/>
      <c r="N337" s="465"/>
      <c r="O337" s="462"/>
      <c r="P337" s="486"/>
      <c r="Q337" s="487"/>
      <c r="R337" s="164"/>
      <c r="S337" s="467"/>
      <c r="T337" s="468"/>
      <c r="U337" s="469"/>
      <c r="V337" s="457"/>
      <c r="W337" s="457"/>
      <c r="X337" s="457"/>
      <c r="Y337" s="457"/>
      <c r="Z337" s="457"/>
    </row>
    <row r="338" spans="1:26" ht="18" customHeight="1">
      <c r="A338" s="464"/>
      <c r="B338" s="458"/>
      <c r="C338" s="483"/>
      <c r="D338" s="464"/>
      <c r="E338" s="464"/>
      <c r="F338" s="484"/>
      <c r="G338" s="460"/>
      <c r="H338" s="485"/>
      <c r="I338" s="164"/>
      <c r="J338" s="462"/>
      <c r="K338" s="481"/>
      <c r="L338" s="464"/>
      <c r="M338" s="164"/>
      <c r="N338" s="465"/>
      <c r="O338" s="462"/>
      <c r="P338" s="486"/>
      <c r="Q338" s="487"/>
      <c r="R338" s="164"/>
      <c r="S338" s="467"/>
      <c r="T338" s="468"/>
      <c r="U338" s="469"/>
      <c r="V338" s="457"/>
      <c r="W338" s="457"/>
      <c r="X338" s="457"/>
      <c r="Y338" s="457"/>
      <c r="Z338" s="457"/>
    </row>
    <row r="339" spans="1:26" ht="18" customHeight="1">
      <c r="A339" s="464"/>
      <c r="B339" s="458"/>
      <c r="C339" s="483"/>
      <c r="D339" s="464"/>
      <c r="E339" s="464"/>
      <c r="F339" s="484"/>
      <c r="G339" s="460"/>
      <c r="H339" s="485"/>
      <c r="I339" s="164"/>
      <c r="J339" s="462"/>
      <c r="K339" s="481"/>
      <c r="L339" s="464"/>
      <c r="M339" s="164"/>
      <c r="N339" s="465"/>
      <c r="O339" s="462"/>
      <c r="P339" s="486"/>
      <c r="Q339" s="487"/>
      <c r="R339" s="164"/>
      <c r="S339" s="467"/>
      <c r="T339" s="468"/>
      <c r="U339" s="469"/>
      <c r="V339" s="457"/>
      <c r="W339" s="457"/>
      <c r="X339" s="457"/>
      <c r="Y339" s="457"/>
      <c r="Z339" s="457"/>
    </row>
    <row r="340" spans="1:26" ht="18" customHeight="1">
      <c r="A340" s="464"/>
      <c r="B340" s="458"/>
      <c r="C340" s="483"/>
      <c r="D340" s="464"/>
      <c r="E340" s="464"/>
      <c r="F340" s="484"/>
      <c r="G340" s="460"/>
      <c r="H340" s="485"/>
      <c r="I340" s="164"/>
      <c r="J340" s="462"/>
      <c r="K340" s="481"/>
      <c r="L340" s="464"/>
      <c r="M340" s="164"/>
      <c r="N340" s="465"/>
      <c r="O340" s="462"/>
      <c r="P340" s="486"/>
      <c r="Q340" s="487"/>
      <c r="R340" s="164"/>
      <c r="S340" s="467"/>
      <c r="T340" s="468"/>
      <c r="U340" s="469"/>
      <c r="V340" s="457"/>
      <c r="W340" s="457"/>
      <c r="X340" s="457"/>
      <c r="Y340" s="457"/>
      <c r="Z340" s="457"/>
    </row>
    <row r="341" spans="1:26" ht="18" customHeight="1">
      <c r="A341" s="464"/>
      <c r="B341" s="458"/>
      <c r="C341" s="483"/>
      <c r="D341" s="464"/>
      <c r="E341" s="464"/>
      <c r="F341" s="484"/>
      <c r="G341" s="460"/>
      <c r="H341" s="485"/>
      <c r="I341" s="164"/>
      <c r="J341" s="462"/>
      <c r="K341" s="481"/>
      <c r="L341" s="464"/>
      <c r="M341" s="164"/>
      <c r="N341" s="465"/>
      <c r="O341" s="462"/>
      <c r="P341" s="486"/>
      <c r="Q341" s="487"/>
      <c r="R341" s="164"/>
      <c r="S341" s="467"/>
      <c r="T341" s="468"/>
      <c r="U341" s="469"/>
      <c r="V341" s="457"/>
      <c r="W341" s="457"/>
      <c r="X341" s="457"/>
      <c r="Y341" s="457"/>
      <c r="Z341" s="457"/>
    </row>
    <row r="342" spans="1:26" ht="18" customHeight="1">
      <c r="A342" s="464"/>
      <c r="B342" s="458"/>
      <c r="C342" s="483"/>
      <c r="D342" s="464"/>
      <c r="E342" s="464"/>
      <c r="F342" s="484"/>
      <c r="G342" s="460"/>
      <c r="H342" s="485"/>
      <c r="I342" s="164"/>
      <c r="J342" s="462"/>
      <c r="K342" s="481"/>
      <c r="L342" s="464"/>
      <c r="M342" s="164"/>
      <c r="N342" s="465"/>
      <c r="O342" s="462"/>
      <c r="P342" s="486"/>
      <c r="Q342" s="487"/>
      <c r="R342" s="164"/>
      <c r="S342" s="467"/>
      <c r="T342" s="468"/>
      <c r="U342" s="469"/>
      <c r="V342" s="457"/>
      <c r="W342" s="457"/>
      <c r="X342" s="457"/>
      <c r="Y342" s="457"/>
      <c r="Z342" s="457"/>
    </row>
    <row r="343" spans="1:26" ht="18" customHeight="1">
      <c r="A343" s="464"/>
      <c r="B343" s="458"/>
      <c r="C343" s="483"/>
      <c r="D343" s="464"/>
      <c r="E343" s="464"/>
      <c r="F343" s="484"/>
      <c r="G343" s="460"/>
      <c r="H343" s="485"/>
      <c r="I343" s="164"/>
      <c r="J343" s="462"/>
      <c r="K343" s="481"/>
      <c r="L343" s="464"/>
      <c r="M343" s="164"/>
      <c r="N343" s="465"/>
      <c r="O343" s="462"/>
      <c r="P343" s="486"/>
      <c r="Q343" s="487"/>
      <c r="R343" s="164"/>
      <c r="S343" s="467"/>
      <c r="T343" s="468"/>
      <c r="U343" s="469"/>
      <c r="V343" s="457"/>
      <c r="W343" s="457"/>
      <c r="X343" s="457"/>
      <c r="Y343" s="457"/>
      <c r="Z343" s="457"/>
    </row>
    <row r="344" spans="1:26" ht="18" customHeight="1">
      <c r="A344" s="464"/>
      <c r="B344" s="458"/>
      <c r="C344" s="483"/>
      <c r="D344" s="464"/>
      <c r="E344" s="464"/>
      <c r="F344" s="484"/>
      <c r="G344" s="460"/>
      <c r="H344" s="485"/>
      <c r="I344" s="164"/>
      <c r="J344" s="462"/>
      <c r="K344" s="481"/>
      <c r="L344" s="464"/>
      <c r="M344" s="164"/>
      <c r="N344" s="465"/>
      <c r="O344" s="462"/>
      <c r="P344" s="486"/>
      <c r="Q344" s="487"/>
      <c r="R344" s="164"/>
      <c r="S344" s="467"/>
      <c r="T344" s="468"/>
      <c r="U344" s="469"/>
      <c r="V344" s="457"/>
      <c r="W344" s="457"/>
      <c r="X344" s="457"/>
      <c r="Y344" s="457"/>
      <c r="Z344" s="457"/>
    </row>
    <row r="345" spans="1:26" ht="18" customHeight="1">
      <c r="A345" s="464"/>
      <c r="B345" s="458"/>
      <c r="C345" s="483"/>
      <c r="D345" s="464"/>
      <c r="E345" s="464"/>
      <c r="F345" s="484"/>
      <c r="G345" s="460"/>
      <c r="H345" s="485"/>
      <c r="I345" s="164"/>
      <c r="J345" s="462"/>
      <c r="K345" s="481"/>
      <c r="L345" s="464"/>
      <c r="M345" s="164"/>
      <c r="N345" s="465"/>
      <c r="O345" s="462"/>
      <c r="P345" s="486"/>
      <c r="Q345" s="487"/>
      <c r="R345" s="164"/>
      <c r="S345" s="467"/>
      <c r="T345" s="468"/>
      <c r="U345" s="469"/>
      <c r="V345" s="457"/>
      <c r="W345" s="457"/>
      <c r="X345" s="457"/>
      <c r="Y345" s="457"/>
      <c r="Z345" s="457"/>
    </row>
    <row r="346" spans="1:26" ht="18" customHeight="1">
      <c r="A346" s="464"/>
      <c r="B346" s="458"/>
      <c r="C346" s="483"/>
      <c r="D346" s="464"/>
      <c r="E346" s="464"/>
      <c r="F346" s="484"/>
      <c r="G346" s="460"/>
      <c r="H346" s="485"/>
      <c r="I346" s="164"/>
      <c r="J346" s="462"/>
      <c r="K346" s="481"/>
      <c r="L346" s="464"/>
      <c r="M346" s="164"/>
      <c r="N346" s="465"/>
      <c r="O346" s="462"/>
      <c r="P346" s="486"/>
      <c r="Q346" s="487"/>
      <c r="R346" s="164"/>
      <c r="S346" s="467"/>
      <c r="T346" s="468"/>
      <c r="U346" s="469"/>
      <c r="V346" s="457"/>
      <c r="W346" s="457"/>
      <c r="X346" s="457"/>
      <c r="Y346" s="457"/>
      <c r="Z346" s="457"/>
    </row>
    <row r="347" spans="1:26" ht="18" customHeight="1">
      <c r="A347" s="464"/>
      <c r="B347" s="458"/>
      <c r="C347" s="483"/>
      <c r="D347" s="464"/>
      <c r="E347" s="464"/>
      <c r="F347" s="484"/>
      <c r="G347" s="460"/>
      <c r="H347" s="485"/>
      <c r="I347" s="164"/>
      <c r="J347" s="462"/>
      <c r="K347" s="481"/>
      <c r="L347" s="464"/>
      <c r="M347" s="164"/>
      <c r="N347" s="465"/>
      <c r="O347" s="462"/>
      <c r="P347" s="486"/>
      <c r="Q347" s="487"/>
      <c r="R347" s="164"/>
      <c r="S347" s="467"/>
      <c r="T347" s="468"/>
      <c r="U347" s="469"/>
      <c r="V347" s="457"/>
      <c r="W347" s="457"/>
      <c r="X347" s="457"/>
      <c r="Y347" s="457"/>
      <c r="Z347" s="457"/>
    </row>
    <row r="348" spans="1:26" ht="18" customHeight="1">
      <c r="A348" s="464"/>
      <c r="B348" s="458"/>
      <c r="C348" s="483"/>
      <c r="D348" s="464"/>
      <c r="E348" s="464"/>
      <c r="F348" s="484"/>
      <c r="G348" s="460"/>
      <c r="H348" s="485"/>
      <c r="I348" s="164"/>
      <c r="J348" s="462"/>
      <c r="K348" s="481"/>
      <c r="L348" s="464"/>
      <c r="M348" s="164"/>
      <c r="N348" s="465"/>
      <c r="O348" s="462"/>
      <c r="P348" s="486"/>
      <c r="Q348" s="487"/>
      <c r="R348" s="164"/>
      <c r="S348" s="467"/>
      <c r="T348" s="468"/>
      <c r="U348" s="469"/>
      <c r="V348" s="457"/>
      <c r="W348" s="457"/>
      <c r="X348" s="457"/>
      <c r="Y348" s="457"/>
      <c r="Z348" s="457"/>
    </row>
    <row r="349" spans="1:26" ht="18" customHeight="1">
      <c r="A349" s="464"/>
      <c r="B349" s="458"/>
      <c r="C349" s="483"/>
      <c r="D349" s="464"/>
      <c r="E349" s="464"/>
      <c r="F349" s="484"/>
      <c r="G349" s="460"/>
      <c r="H349" s="485"/>
      <c r="I349" s="164"/>
      <c r="J349" s="462"/>
      <c r="K349" s="481"/>
      <c r="L349" s="464"/>
      <c r="M349" s="164"/>
      <c r="N349" s="465"/>
      <c r="O349" s="462"/>
      <c r="P349" s="486"/>
      <c r="Q349" s="487"/>
      <c r="R349" s="164"/>
      <c r="S349" s="467"/>
      <c r="T349" s="468"/>
      <c r="U349" s="469"/>
      <c r="V349" s="457"/>
      <c r="W349" s="457"/>
      <c r="X349" s="457"/>
      <c r="Y349" s="457"/>
      <c r="Z349" s="457"/>
    </row>
    <row r="350" spans="1:26" ht="18" customHeight="1">
      <c r="A350" s="464"/>
      <c r="B350" s="458"/>
      <c r="C350" s="483"/>
      <c r="D350" s="464"/>
      <c r="E350" s="464"/>
      <c r="F350" s="484"/>
      <c r="G350" s="460"/>
      <c r="H350" s="485"/>
      <c r="I350" s="164"/>
      <c r="J350" s="462"/>
      <c r="K350" s="481"/>
      <c r="L350" s="464"/>
      <c r="M350" s="164"/>
      <c r="N350" s="465"/>
      <c r="O350" s="462"/>
      <c r="P350" s="486"/>
      <c r="Q350" s="487"/>
      <c r="R350" s="164"/>
      <c r="S350" s="467"/>
      <c r="T350" s="468"/>
      <c r="U350" s="469"/>
      <c r="V350" s="457"/>
      <c r="W350" s="457"/>
      <c r="X350" s="457"/>
      <c r="Y350" s="457"/>
      <c r="Z350" s="457"/>
    </row>
    <row r="351" spans="1:26" ht="18" customHeight="1">
      <c r="A351" s="464"/>
      <c r="B351" s="458"/>
      <c r="C351" s="483"/>
      <c r="D351" s="464"/>
      <c r="E351" s="464"/>
      <c r="F351" s="484"/>
      <c r="G351" s="460"/>
      <c r="H351" s="485"/>
      <c r="I351" s="164"/>
      <c r="J351" s="462"/>
      <c r="K351" s="481"/>
      <c r="L351" s="464"/>
      <c r="M351" s="164"/>
      <c r="N351" s="465"/>
      <c r="O351" s="462"/>
      <c r="P351" s="486"/>
      <c r="Q351" s="487"/>
      <c r="R351" s="164"/>
      <c r="S351" s="467"/>
      <c r="T351" s="468"/>
      <c r="U351" s="469"/>
      <c r="V351" s="457"/>
      <c r="W351" s="457"/>
      <c r="X351" s="457"/>
      <c r="Y351" s="457"/>
      <c r="Z351" s="457"/>
    </row>
    <row r="352" spans="1:26" ht="18" customHeight="1">
      <c r="A352" s="464"/>
      <c r="B352" s="458"/>
      <c r="C352" s="483"/>
      <c r="D352" s="464"/>
      <c r="E352" s="464"/>
      <c r="F352" s="484"/>
      <c r="G352" s="460"/>
      <c r="H352" s="485"/>
      <c r="I352" s="164"/>
      <c r="J352" s="462"/>
      <c r="K352" s="481"/>
      <c r="L352" s="464"/>
      <c r="M352" s="164"/>
      <c r="N352" s="465"/>
      <c r="O352" s="462"/>
      <c r="P352" s="486"/>
      <c r="Q352" s="487"/>
      <c r="R352" s="164"/>
      <c r="S352" s="467"/>
      <c r="T352" s="468"/>
      <c r="U352" s="469"/>
      <c r="V352" s="457"/>
      <c r="W352" s="457"/>
      <c r="X352" s="457"/>
      <c r="Y352" s="457"/>
      <c r="Z352" s="457"/>
    </row>
    <row r="353" spans="1:26" ht="18" customHeight="1">
      <c r="A353" s="464"/>
      <c r="B353" s="458"/>
      <c r="C353" s="483"/>
      <c r="D353" s="464"/>
      <c r="E353" s="464"/>
      <c r="F353" s="484"/>
      <c r="G353" s="460"/>
      <c r="H353" s="485"/>
      <c r="I353" s="164"/>
      <c r="J353" s="462"/>
      <c r="K353" s="481"/>
      <c r="L353" s="464"/>
      <c r="M353" s="164"/>
      <c r="N353" s="465"/>
      <c r="O353" s="462"/>
      <c r="P353" s="486"/>
      <c r="Q353" s="487"/>
      <c r="R353" s="164"/>
      <c r="S353" s="467"/>
      <c r="T353" s="468"/>
      <c r="U353" s="469"/>
      <c r="V353" s="457"/>
      <c r="W353" s="457"/>
      <c r="X353" s="457"/>
      <c r="Y353" s="457"/>
      <c r="Z353" s="457"/>
    </row>
    <row r="354" spans="1:26" ht="18" customHeight="1">
      <c r="A354" s="464"/>
      <c r="B354" s="458"/>
      <c r="C354" s="483"/>
      <c r="D354" s="464"/>
      <c r="E354" s="464"/>
      <c r="F354" s="484"/>
      <c r="G354" s="460"/>
      <c r="H354" s="485"/>
      <c r="I354" s="164"/>
      <c r="J354" s="462"/>
      <c r="K354" s="481"/>
      <c r="L354" s="464"/>
      <c r="M354" s="164"/>
      <c r="N354" s="465"/>
      <c r="O354" s="462"/>
      <c r="P354" s="486"/>
      <c r="Q354" s="487"/>
      <c r="R354" s="164"/>
      <c r="S354" s="467"/>
      <c r="T354" s="468"/>
      <c r="U354" s="469"/>
      <c r="V354" s="457"/>
      <c r="W354" s="457"/>
      <c r="X354" s="457"/>
      <c r="Y354" s="457"/>
      <c r="Z354" s="457"/>
    </row>
    <row r="355" spans="1:26" ht="18" customHeight="1">
      <c r="A355" s="464"/>
      <c r="B355" s="458"/>
      <c r="C355" s="483"/>
      <c r="D355" s="464"/>
      <c r="E355" s="464"/>
      <c r="F355" s="484"/>
      <c r="G355" s="460"/>
      <c r="H355" s="485"/>
      <c r="I355" s="164"/>
      <c r="J355" s="462"/>
      <c r="K355" s="481"/>
      <c r="L355" s="464"/>
      <c r="M355" s="164"/>
      <c r="N355" s="465"/>
      <c r="O355" s="462"/>
      <c r="P355" s="486"/>
      <c r="Q355" s="487"/>
      <c r="R355" s="164"/>
      <c r="S355" s="467"/>
      <c r="T355" s="468"/>
      <c r="U355" s="469"/>
      <c r="V355" s="457"/>
      <c r="W355" s="457"/>
      <c r="X355" s="457"/>
      <c r="Y355" s="457"/>
      <c r="Z355" s="457"/>
    </row>
    <row r="356" spans="1:26" ht="18" customHeight="1">
      <c r="A356" s="464"/>
      <c r="B356" s="458"/>
      <c r="C356" s="483"/>
      <c r="D356" s="464"/>
      <c r="E356" s="464"/>
      <c r="F356" s="484"/>
      <c r="G356" s="460"/>
      <c r="H356" s="485"/>
      <c r="I356" s="164"/>
      <c r="J356" s="462"/>
      <c r="K356" s="481"/>
      <c r="L356" s="464"/>
      <c r="M356" s="164"/>
      <c r="N356" s="465"/>
      <c r="O356" s="462"/>
      <c r="P356" s="486"/>
      <c r="Q356" s="487"/>
      <c r="R356" s="164"/>
      <c r="S356" s="467"/>
      <c r="T356" s="468"/>
      <c r="U356" s="469"/>
      <c r="V356" s="457"/>
      <c r="W356" s="457"/>
      <c r="X356" s="457"/>
      <c r="Y356" s="457"/>
      <c r="Z356" s="457"/>
    </row>
    <row r="357" spans="1:26" ht="18" customHeight="1">
      <c r="A357" s="464"/>
      <c r="B357" s="458"/>
      <c r="C357" s="483"/>
      <c r="D357" s="464"/>
      <c r="E357" s="464"/>
      <c r="F357" s="484"/>
      <c r="G357" s="460"/>
      <c r="H357" s="485"/>
      <c r="I357" s="164"/>
      <c r="J357" s="462"/>
      <c r="K357" s="481"/>
      <c r="L357" s="464"/>
      <c r="M357" s="164"/>
      <c r="N357" s="465"/>
      <c r="O357" s="462"/>
      <c r="P357" s="486"/>
      <c r="Q357" s="487"/>
      <c r="R357" s="164"/>
      <c r="S357" s="467"/>
      <c r="T357" s="468"/>
      <c r="U357" s="469"/>
      <c r="V357" s="457"/>
      <c r="W357" s="457"/>
      <c r="X357" s="457"/>
      <c r="Y357" s="457"/>
      <c r="Z357" s="457"/>
    </row>
    <row r="358" spans="1:26" ht="18" customHeight="1">
      <c r="A358" s="464"/>
      <c r="B358" s="458"/>
      <c r="C358" s="483"/>
      <c r="D358" s="464"/>
      <c r="E358" s="464"/>
      <c r="F358" s="484"/>
      <c r="G358" s="460"/>
      <c r="H358" s="485"/>
      <c r="I358" s="164"/>
      <c r="J358" s="462"/>
      <c r="K358" s="481"/>
      <c r="L358" s="464"/>
      <c r="M358" s="164"/>
      <c r="N358" s="465"/>
      <c r="O358" s="462"/>
      <c r="P358" s="486"/>
      <c r="Q358" s="487"/>
      <c r="R358" s="164"/>
      <c r="S358" s="467"/>
      <c r="T358" s="468"/>
      <c r="U358" s="469"/>
      <c r="V358" s="457"/>
      <c r="W358" s="457"/>
      <c r="X358" s="457"/>
      <c r="Y358" s="457"/>
      <c r="Z358" s="457"/>
    </row>
    <row r="359" spans="1:26" ht="18" customHeight="1">
      <c r="A359" s="464"/>
      <c r="B359" s="458"/>
      <c r="C359" s="483"/>
      <c r="D359" s="464"/>
      <c r="E359" s="464"/>
      <c r="F359" s="484"/>
      <c r="G359" s="460"/>
      <c r="H359" s="485"/>
      <c r="I359" s="164"/>
      <c r="J359" s="462"/>
      <c r="K359" s="481"/>
      <c r="L359" s="464"/>
      <c r="M359" s="164"/>
      <c r="N359" s="465"/>
      <c r="O359" s="462"/>
      <c r="P359" s="486"/>
      <c r="Q359" s="487"/>
      <c r="R359" s="164"/>
      <c r="S359" s="467"/>
      <c r="T359" s="468"/>
      <c r="U359" s="469"/>
      <c r="V359" s="457"/>
      <c r="W359" s="457"/>
      <c r="X359" s="457"/>
      <c r="Y359" s="457"/>
      <c r="Z359" s="457"/>
    </row>
    <row r="360" spans="1:26" ht="18" customHeight="1">
      <c r="A360" s="464"/>
      <c r="B360" s="458"/>
      <c r="C360" s="483"/>
      <c r="D360" s="464"/>
      <c r="E360" s="464"/>
      <c r="F360" s="484"/>
      <c r="G360" s="460"/>
      <c r="H360" s="485"/>
      <c r="I360" s="164"/>
      <c r="J360" s="462"/>
      <c r="K360" s="481"/>
      <c r="L360" s="464"/>
      <c r="M360" s="164"/>
      <c r="N360" s="465"/>
      <c r="O360" s="462"/>
      <c r="P360" s="486"/>
      <c r="Q360" s="487"/>
      <c r="R360" s="164"/>
      <c r="S360" s="467"/>
      <c r="T360" s="468"/>
      <c r="U360" s="469"/>
      <c r="V360" s="457"/>
      <c r="W360" s="457"/>
      <c r="X360" s="457"/>
      <c r="Y360" s="457"/>
      <c r="Z360" s="457"/>
    </row>
    <row r="361" spans="1:26" ht="18" customHeight="1">
      <c r="A361" s="464"/>
      <c r="B361" s="458"/>
      <c r="C361" s="483"/>
      <c r="D361" s="464"/>
      <c r="E361" s="464"/>
      <c r="F361" s="484"/>
      <c r="G361" s="460"/>
      <c r="H361" s="485"/>
      <c r="I361" s="164"/>
      <c r="J361" s="462"/>
      <c r="K361" s="481"/>
      <c r="L361" s="464"/>
      <c r="M361" s="164"/>
      <c r="N361" s="465"/>
      <c r="O361" s="462"/>
      <c r="P361" s="486"/>
      <c r="Q361" s="487"/>
      <c r="R361" s="164"/>
      <c r="S361" s="467"/>
      <c r="T361" s="468"/>
      <c r="U361" s="469"/>
      <c r="V361" s="457"/>
      <c r="W361" s="457"/>
      <c r="X361" s="457"/>
      <c r="Y361" s="457"/>
      <c r="Z361" s="457"/>
    </row>
    <row r="362" spans="1:26" ht="18" customHeight="1">
      <c r="A362" s="464"/>
      <c r="B362" s="458"/>
      <c r="C362" s="483"/>
      <c r="D362" s="464"/>
      <c r="E362" s="464"/>
      <c r="F362" s="484"/>
      <c r="G362" s="460"/>
      <c r="H362" s="485"/>
      <c r="I362" s="164"/>
      <c r="J362" s="462"/>
      <c r="K362" s="481"/>
      <c r="L362" s="464"/>
      <c r="M362" s="164"/>
      <c r="N362" s="465"/>
      <c r="O362" s="462"/>
      <c r="P362" s="486"/>
      <c r="Q362" s="487"/>
      <c r="R362" s="164"/>
      <c r="S362" s="467"/>
      <c r="T362" s="468"/>
      <c r="U362" s="469"/>
      <c r="V362" s="457"/>
      <c r="W362" s="457"/>
      <c r="X362" s="457"/>
      <c r="Y362" s="457"/>
      <c r="Z362" s="457"/>
    </row>
    <row r="363" spans="1:26" ht="18" customHeight="1">
      <c r="A363" s="464"/>
      <c r="B363" s="458"/>
      <c r="C363" s="483"/>
      <c r="D363" s="464"/>
      <c r="E363" s="464"/>
      <c r="F363" s="484"/>
      <c r="G363" s="460"/>
      <c r="H363" s="485"/>
      <c r="I363" s="164"/>
      <c r="J363" s="462"/>
      <c r="K363" s="481"/>
      <c r="L363" s="464"/>
      <c r="M363" s="164"/>
      <c r="N363" s="465"/>
      <c r="O363" s="462"/>
      <c r="P363" s="486"/>
      <c r="Q363" s="487"/>
      <c r="R363" s="164"/>
      <c r="S363" s="467"/>
      <c r="T363" s="468"/>
      <c r="U363" s="469"/>
      <c r="V363" s="457"/>
      <c r="W363" s="457"/>
      <c r="X363" s="457"/>
      <c r="Y363" s="457"/>
      <c r="Z363" s="457"/>
    </row>
    <row r="364" spans="1:26" ht="18" customHeight="1">
      <c r="A364" s="464"/>
      <c r="B364" s="458"/>
      <c r="C364" s="483"/>
      <c r="D364" s="464"/>
      <c r="E364" s="464"/>
      <c r="F364" s="484"/>
      <c r="G364" s="460"/>
      <c r="H364" s="485"/>
      <c r="I364" s="164"/>
      <c r="J364" s="462"/>
      <c r="K364" s="481"/>
      <c r="L364" s="464"/>
      <c r="M364" s="164"/>
      <c r="N364" s="465"/>
      <c r="O364" s="462"/>
      <c r="P364" s="486"/>
      <c r="Q364" s="487"/>
      <c r="R364" s="164"/>
      <c r="S364" s="467"/>
      <c r="T364" s="468"/>
      <c r="U364" s="469"/>
      <c r="V364" s="457"/>
      <c r="W364" s="457"/>
      <c r="X364" s="457"/>
      <c r="Y364" s="457"/>
      <c r="Z364" s="457"/>
    </row>
    <row r="365" spans="1:26" ht="18" customHeight="1">
      <c r="A365" s="464"/>
      <c r="B365" s="458"/>
      <c r="C365" s="483"/>
      <c r="D365" s="464"/>
      <c r="E365" s="464"/>
      <c r="F365" s="484"/>
      <c r="G365" s="460"/>
      <c r="H365" s="485"/>
      <c r="I365" s="164"/>
      <c r="J365" s="462"/>
      <c r="K365" s="481"/>
      <c r="L365" s="464"/>
      <c r="M365" s="164"/>
      <c r="N365" s="465"/>
      <c r="O365" s="462"/>
      <c r="P365" s="486"/>
      <c r="Q365" s="487"/>
      <c r="R365" s="164"/>
      <c r="S365" s="467"/>
      <c r="T365" s="468"/>
      <c r="U365" s="469"/>
      <c r="V365" s="457"/>
      <c r="W365" s="457"/>
      <c r="X365" s="457"/>
      <c r="Y365" s="457"/>
      <c r="Z365" s="457"/>
    </row>
    <row r="366" spans="1:26" ht="18" customHeight="1">
      <c r="A366" s="464"/>
      <c r="B366" s="458"/>
      <c r="C366" s="483"/>
      <c r="D366" s="464"/>
      <c r="E366" s="464"/>
      <c r="F366" s="484"/>
      <c r="G366" s="460"/>
      <c r="H366" s="485"/>
      <c r="I366" s="164"/>
      <c r="J366" s="462"/>
      <c r="K366" s="481"/>
      <c r="L366" s="464"/>
      <c r="M366" s="164"/>
      <c r="N366" s="465"/>
      <c r="O366" s="462"/>
      <c r="P366" s="486"/>
      <c r="Q366" s="487"/>
      <c r="R366" s="164"/>
      <c r="S366" s="467"/>
      <c r="T366" s="468"/>
      <c r="U366" s="469"/>
      <c r="V366" s="457"/>
      <c r="W366" s="457"/>
      <c r="X366" s="457"/>
      <c r="Y366" s="457"/>
      <c r="Z366" s="457"/>
    </row>
    <row r="367" spans="1:26" ht="18" customHeight="1">
      <c r="A367" s="464"/>
      <c r="B367" s="458"/>
      <c r="C367" s="483"/>
      <c r="D367" s="464"/>
      <c r="E367" s="464"/>
      <c r="F367" s="484"/>
      <c r="G367" s="460"/>
      <c r="H367" s="485"/>
      <c r="I367" s="164"/>
      <c r="J367" s="462"/>
      <c r="K367" s="481"/>
      <c r="L367" s="464"/>
      <c r="M367" s="164"/>
      <c r="N367" s="465"/>
      <c r="O367" s="462"/>
      <c r="P367" s="486"/>
      <c r="Q367" s="487"/>
      <c r="R367" s="164"/>
      <c r="S367" s="467"/>
      <c r="T367" s="468"/>
      <c r="U367" s="469"/>
      <c r="V367" s="457"/>
      <c r="W367" s="457"/>
      <c r="X367" s="457"/>
      <c r="Y367" s="457"/>
      <c r="Z367" s="457"/>
    </row>
    <row r="368" spans="1:26" ht="18" customHeight="1">
      <c r="A368" s="464"/>
      <c r="B368" s="458"/>
      <c r="C368" s="483"/>
      <c r="D368" s="464"/>
      <c r="E368" s="464"/>
      <c r="F368" s="484"/>
      <c r="G368" s="460"/>
      <c r="H368" s="485"/>
      <c r="I368" s="164"/>
      <c r="J368" s="462"/>
      <c r="K368" s="481"/>
      <c r="L368" s="464"/>
      <c r="M368" s="164"/>
      <c r="N368" s="465"/>
      <c r="O368" s="462"/>
      <c r="P368" s="486"/>
      <c r="Q368" s="487"/>
      <c r="R368" s="164"/>
      <c r="S368" s="467"/>
      <c r="T368" s="468"/>
      <c r="U368" s="469"/>
      <c r="V368" s="457"/>
      <c r="W368" s="457"/>
      <c r="X368" s="457"/>
      <c r="Y368" s="457"/>
      <c r="Z368" s="457"/>
    </row>
    <row r="369" spans="1:26" ht="18" customHeight="1">
      <c r="A369" s="464"/>
      <c r="B369" s="458"/>
      <c r="C369" s="483"/>
      <c r="D369" s="464"/>
      <c r="E369" s="464"/>
      <c r="F369" s="484"/>
      <c r="G369" s="460"/>
      <c r="H369" s="485"/>
      <c r="I369" s="164"/>
      <c r="J369" s="462"/>
      <c r="K369" s="481"/>
      <c r="L369" s="464"/>
      <c r="M369" s="164"/>
      <c r="N369" s="465"/>
      <c r="O369" s="462"/>
      <c r="P369" s="486"/>
      <c r="Q369" s="487"/>
      <c r="R369" s="164"/>
      <c r="S369" s="467"/>
      <c r="T369" s="468"/>
      <c r="U369" s="469"/>
      <c r="V369" s="457"/>
      <c r="W369" s="457"/>
      <c r="X369" s="457"/>
      <c r="Y369" s="457"/>
      <c r="Z369" s="457"/>
    </row>
    <row r="370" spans="1:26" ht="18" customHeight="1">
      <c r="A370" s="464"/>
      <c r="B370" s="458"/>
      <c r="C370" s="483"/>
      <c r="D370" s="464"/>
      <c r="E370" s="464"/>
      <c r="F370" s="484"/>
      <c r="G370" s="460"/>
      <c r="H370" s="485"/>
      <c r="I370" s="164"/>
      <c r="J370" s="462"/>
      <c r="K370" s="481"/>
      <c r="L370" s="464"/>
      <c r="M370" s="164"/>
      <c r="N370" s="465"/>
      <c r="O370" s="462"/>
      <c r="P370" s="486"/>
      <c r="Q370" s="487"/>
      <c r="R370" s="164"/>
      <c r="S370" s="467"/>
      <c r="T370" s="468"/>
      <c r="U370" s="469"/>
      <c r="V370" s="457"/>
      <c r="W370" s="457"/>
      <c r="X370" s="457"/>
      <c r="Y370" s="457"/>
      <c r="Z370" s="457"/>
    </row>
    <row r="371" spans="1:26" ht="18" customHeight="1">
      <c r="A371" s="464"/>
      <c r="B371" s="458"/>
      <c r="C371" s="483"/>
      <c r="D371" s="464"/>
      <c r="E371" s="464"/>
      <c r="F371" s="484"/>
      <c r="G371" s="460"/>
      <c r="H371" s="485"/>
      <c r="I371" s="164"/>
      <c r="J371" s="462"/>
      <c r="K371" s="481"/>
      <c r="L371" s="464"/>
      <c r="M371" s="164"/>
      <c r="N371" s="465"/>
      <c r="O371" s="462"/>
      <c r="P371" s="486"/>
      <c r="Q371" s="487"/>
      <c r="R371" s="164"/>
      <c r="S371" s="467"/>
      <c r="T371" s="468"/>
      <c r="U371" s="469"/>
      <c r="V371" s="457"/>
      <c r="W371" s="457"/>
      <c r="X371" s="457"/>
      <c r="Y371" s="457"/>
      <c r="Z371" s="457"/>
    </row>
    <row r="372" spans="1:26" ht="18" customHeight="1">
      <c r="A372" s="464"/>
      <c r="B372" s="458"/>
      <c r="C372" s="483"/>
      <c r="D372" s="464"/>
      <c r="E372" s="464"/>
      <c r="F372" s="484"/>
      <c r="G372" s="460"/>
      <c r="H372" s="485"/>
      <c r="I372" s="164"/>
      <c r="J372" s="462"/>
      <c r="K372" s="481"/>
      <c r="L372" s="464"/>
      <c r="M372" s="164"/>
      <c r="N372" s="465"/>
      <c r="O372" s="462"/>
      <c r="P372" s="486"/>
      <c r="Q372" s="487"/>
      <c r="R372" s="164"/>
      <c r="S372" s="467"/>
      <c r="T372" s="468"/>
      <c r="U372" s="469"/>
      <c r="V372" s="457"/>
      <c r="W372" s="457"/>
      <c r="X372" s="457"/>
      <c r="Y372" s="457"/>
      <c r="Z372" s="457"/>
    </row>
    <row r="373" spans="1:26" ht="18" customHeight="1">
      <c r="A373" s="464"/>
      <c r="B373" s="458"/>
      <c r="C373" s="483"/>
      <c r="D373" s="464"/>
      <c r="E373" s="464"/>
      <c r="F373" s="484"/>
      <c r="G373" s="460"/>
      <c r="H373" s="485"/>
      <c r="I373" s="164"/>
      <c r="J373" s="462"/>
      <c r="K373" s="481"/>
      <c r="L373" s="464"/>
      <c r="M373" s="164"/>
      <c r="N373" s="465"/>
      <c r="O373" s="462"/>
      <c r="P373" s="486"/>
      <c r="Q373" s="487"/>
      <c r="R373" s="164"/>
      <c r="S373" s="467"/>
      <c r="T373" s="468"/>
      <c r="U373" s="469"/>
      <c r="V373" s="457"/>
      <c r="W373" s="457"/>
      <c r="X373" s="457"/>
      <c r="Y373" s="457"/>
      <c r="Z373" s="457"/>
    </row>
    <row r="374" spans="1:26" ht="18" customHeight="1">
      <c r="A374" s="464"/>
      <c r="B374" s="458"/>
      <c r="C374" s="483"/>
      <c r="D374" s="464"/>
      <c r="E374" s="464"/>
      <c r="F374" s="484"/>
      <c r="G374" s="460"/>
      <c r="H374" s="485"/>
      <c r="I374" s="164"/>
      <c r="J374" s="462"/>
      <c r="K374" s="481"/>
      <c r="L374" s="464"/>
      <c r="M374" s="164"/>
      <c r="N374" s="465"/>
      <c r="O374" s="462"/>
      <c r="P374" s="486"/>
      <c r="Q374" s="487"/>
      <c r="R374" s="164"/>
      <c r="S374" s="467"/>
      <c r="T374" s="468"/>
      <c r="U374" s="469"/>
      <c r="V374" s="457"/>
      <c r="W374" s="457"/>
      <c r="X374" s="457"/>
      <c r="Y374" s="457"/>
      <c r="Z374" s="457"/>
    </row>
    <row r="375" spans="1:26" ht="18" customHeight="1">
      <c r="A375" s="464"/>
      <c r="B375" s="458"/>
      <c r="C375" s="483"/>
      <c r="D375" s="464"/>
      <c r="E375" s="464"/>
      <c r="F375" s="484"/>
      <c r="G375" s="460"/>
      <c r="H375" s="485"/>
      <c r="I375" s="164"/>
      <c r="J375" s="462"/>
      <c r="K375" s="481"/>
      <c r="L375" s="464"/>
      <c r="M375" s="164"/>
      <c r="N375" s="465"/>
      <c r="O375" s="462"/>
      <c r="P375" s="486"/>
      <c r="Q375" s="487"/>
      <c r="R375" s="164"/>
      <c r="S375" s="467"/>
      <c r="T375" s="468"/>
      <c r="U375" s="469"/>
      <c r="V375" s="457"/>
      <c r="W375" s="457"/>
      <c r="X375" s="457"/>
      <c r="Y375" s="457"/>
      <c r="Z375" s="457"/>
    </row>
    <row r="376" spans="1:26" ht="18" customHeight="1">
      <c r="A376" s="464"/>
      <c r="B376" s="458"/>
      <c r="C376" s="483"/>
      <c r="D376" s="464"/>
      <c r="E376" s="464"/>
      <c r="F376" s="484"/>
      <c r="G376" s="460"/>
      <c r="H376" s="485"/>
      <c r="I376" s="164"/>
      <c r="J376" s="462"/>
      <c r="K376" s="481"/>
      <c r="L376" s="464"/>
      <c r="M376" s="164"/>
      <c r="N376" s="465"/>
      <c r="O376" s="462"/>
      <c r="P376" s="486"/>
      <c r="Q376" s="487"/>
      <c r="R376" s="164"/>
      <c r="S376" s="467"/>
      <c r="T376" s="468"/>
      <c r="U376" s="469"/>
      <c r="V376" s="457"/>
      <c r="W376" s="457"/>
      <c r="X376" s="457"/>
      <c r="Y376" s="457"/>
      <c r="Z376" s="457"/>
    </row>
    <row r="377" spans="1:26" ht="18" customHeight="1">
      <c r="A377" s="464"/>
      <c r="B377" s="458"/>
      <c r="C377" s="483"/>
      <c r="D377" s="464"/>
      <c r="E377" s="464"/>
      <c r="F377" s="484"/>
      <c r="G377" s="460"/>
      <c r="H377" s="485"/>
      <c r="I377" s="164"/>
      <c r="J377" s="462"/>
      <c r="K377" s="481"/>
      <c r="L377" s="464"/>
      <c r="M377" s="164"/>
      <c r="N377" s="465"/>
      <c r="O377" s="462"/>
      <c r="P377" s="486"/>
      <c r="Q377" s="487"/>
      <c r="R377" s="164"/>
      <c r="S377" s="467"/>
      <c r="T377" s="468"/>
      <c r="U377" s="469"/>
      <c r="V377" s="457"/>
      <c r="W377" s="457"/>
      <c r="X377" s="457"/>
      <c r="Y377" s="457"/>
      <c r="Z377" s="457"/>
    </row>
    <row r="378" spans="1:26" ht="18" customHeight="1">
      <c r="A378" s="464"/>
      <c r="B378" s="458"/>
      <c r="C378" s="483"/>
      <c r="D378" s="464"/>
      <c r="E378" s="464"/>
      <c r="F378" s="484"/>
      <c r="G378" s="460"/>
      <c r="H378" s="485"/>
      <c r="I378" s="164"/>
      <c r="J378" s="462"/>
      <c r="K378" s="481"/>
      <c r="L378" s="464"/>
      <c r="M378" s="164"/>
      <c r="N378" s="465"/>
      <c r="O378" s="462"/>
      <c r="P378" s="486"/>
      <c r="Q378" s="487"/>
      <c r="R378" s="164"/>
      <c r="S378" s="467"/>
      <c r="T378" s="468"/>
      <c r="U378" s="469"/>
      <c r="V378" s="457"/>
      <c r="W378" s="457"/>
      <c r="X378" s="457"/>
      <c r="Y378" s="457"/>
      <c r="Z378" s="457"/>
    </row>
    <row r="379" spans="1:26" ht="18" customHeight="1">
      <c r="A379" s="464"/>
      <c r="B379" s="458"/>
      <c r="C379" s="483"/>
      <c r="D379" s="464"/>
      <c r="E379" s="464"/>
      <c r="F379" s="484"/>
      <c r="G379" s="460"/>
      <c r="H379" s="485"/>
      <c r="I379" s="164"/>
      <c r="J379" s="462"/>
      <c r="K379" s="481"/>
      <c r="L379" s="464"/>
      <c r="M379" s="164"/>
      <c r="N379" s="465"/>
      <c r="O379" s="462"/>
      <c r="P379" s="486"/>
      <c r="Q379" s="487"/>
      <c r="R379" s="164"/>
      <c r="S379" s="467"/>
      <c r="T379" s="468"/>
      <c r="U379" s="469"/>
      <c r="V379" s="457"/>
      <c r="W379" s="457"/>
      <c r="X379" s="457"/>
      <c r="Y379" s="457"/>
      <c r="Z379" s="457"/>
    </row>
    <row r="380" spans="1:26" ht="18" customHeight="1">
      <c r="A380" s="464"/>
      <c r="B380" s="458"/>
      <c r="C380" s="483"/>
      <c r="D380" s="464"/>
      <c r="E380" s="464"/>
      <c r="F380" s="484"/>
      <c r="G380" s="460"/>
      <c r="H380" s="485"/>
      <c r="I380" s="164"/>
      <c r="J380" s="462"/>
      <c r="K380" s="481"/>
      <c r="L380" s="464"/>
      <c r="M380" s="164"/>
      <c r="N380" s="465"/>
      <c r="O380" s="462"/>
      <c r="P380" s="486"/>
      <c r="Q380" s="487"/>
      <c r="R380" s="164"/>
      <c r="S380" s="467"/>
      <c r="T380" s="468"/>
      <c r="U380" s="469"/>
      <c r="V380" s="457"/>
      <c r="W380" s="457"/>
      <c r="X380" s="457"/>
      <c r="Y380" s="457"/>
      <c r="Z380" s="457"/>
    </row>
    <row r="381" spans="1:26" ht="18" customHeight="1">
      <c r="A381" s="464"/>
      <c r="B381" s="458"/>
      <c r="C381" s="483"/>
      <c r="D381" s="464"/>
      <c r="E381" s="464"/>
      <c r="F381" s="484"/>
      <c r="G381" s="460"/>
      <c r="H381" s="485"/>
      <c r="I381" s="164"/>
      <c r="J381" s="462"/>
      <c r="K381" s="481"/>
      <c r="L381" s="464"/>
      <c r="M381" s="164"/>
      <c r="N381" s="465"/>
      <c r="O381" s="462"/>
      <c r="P381" s="486"/>
      <c r="Q381" s="487"/>
      <c r="R381" s="164"/>
      <c r="S381" s="467"/>
      <c r="T381" s="468"/>
      <c r="U381" s="469"/>
      <c r="V381" s="457"/>
      <c r="W381" s="457"/>
      <c r="X381" s="457"/>
      <c r="Y381" s="457"/>
      <c r="Z381" s="457"/>
    </row>
    <row r="382" spans="1:26" ht="18" customHeight="1">
      <c r="A382" s="464"/>
      <c r="B382" s="458"/>
      <c r="C382" s="483"/>
      <c r="D382" s="464"/>
      <c r="E382" s="464"/>
      <c r="F382" s="484"/>
      <c r="G382" s="460"/>
      <c r="H382" s="485"/>
      <c r="I382" s="164"/>
      <c r="J382" s="462"/>
      <c r="K382" s="481"/>
      <c r="L382" s="464"/>
      <c r="M382" s="164"/>
      <c r="N382" s="465"/>
      <c r="O382" s="462"/>
      <c r="P382" s="486"/>
      <c r="Q382" s="487"/>
      <c r="R382" s="164"/>
      <c r="S382" s="467"/>
      <c r="T382" s="468"/>
      <c r="U382" s="469"/>
      <c r="V382" s="457"/>
      <c r="W382" s="457"/>
      <c r="X382" s="457"/>
      <c r="Y382" s="457"/>
      <c r="Z382" s="457"/>
    </row>
    <row r="383" spans="1:26" ht="18" customHeight="1">
      <c r="A383" s="464"/>
      <c r="B383" s="458"/>
      <c r="C383" s="483"/>
      <c r="D383" s="464"/>
      <c r="E383" s="464"/>
      <c r="F383" s="484"/>
      <c r="G383" s="460"/>
      <c r="H383" s="485"/>
      <c r="I383" s="164"/>
      <c r="J383" s="462"/>
      <c r="K383" s="481"/>
      <c r="L383" s="464"/>
      <c r="M383" s="164"/>
      <c r="N383" s="465"/>
      <c r="O383" s="462"/>
      <c r="P383" s="486"/>
      <c r="Q383" s="487"/>
      <c r="R383" s="164"/>
      <c r="S383" s="467"/>
      <c r="T383" s="468"/>
      <c r="U383" s="469"/>
      <c r="V383" s="457"/>
      <c r="W383" s="457"/>
      <c r="X383" s="457"/>
      <c r="Y383" s="457"/>
      <c r="Z383" s="457"/>
    </row>
    <row r="384" spans="1:26" ht="18" customHeight="1">
      <c r="A384" s="464"/>
      <c r="B384" s="458"/>
      <c r="C384" s="483"/>
      <c r="D384" s="464"/>
      <c r="E384" s="464"/>
      <c r="F384" s="484"/>
      <c r="G384" s="460"/>
      <c r="H384" s="485"/>
      <c r="I384" s="164"/>
      <c r="J384" s="462"/>
      <c r="K384" s="481"/>
      <c r="L384" s="464"/>
      <c r="M384" s="164"/>
      <c r="N384" s="465"/>
      <c r="O384" s="462"/>
      <c r="P384" s="486"/>
      <c r="Q384" s="487"/>
      <c r="R384" s="164"/>
      <c r="S384" s="467"/>
      <c r="T384" s="468"/>
      <c r="U384" s="469"/>
      <c r="V384" s="457"/>
      <c r="W384" s="457"/>
      <c r="X384" s="457"/>
      <c r="Y384" s="457"/>
      <c r="Z384" s="457"/>
    </row>
    <row r="385" spans="1:26" ht="18" customHeight="1">
      <c r="A385" s="464"/>
      <c r="B385" s="458"/>
      <c r="C385" s="483"/>
      <c r="D385" s="464"/>
      <c r="E385" s="464"/>
      <c r="F385" s="484"/>
      <c r="G385" s="460"/>
      <c r="H385" s="485"/>
      <c r="I385" s="164"/>
      <c r="J385" s="462"/>
      <c r="K385" s="481"/>
      <c r="L385" s="464"/>
      <c r="M385" s="164"/>
      <c r="N385" s="465"/>
      <c r="O385" s="462"/>
      <c r="P385" s="486"/>
      <c r="Q385" s="487"/>
      <c r="R385" s="164"/>
      <c r="S385" s="467"/>
      <c r="T385" s="468"/>
      <c r="U385" s="469"/>
      <c r="V385" s="457"/>
      <c r="W385" s="457"/>
      <c r="X385" s="457"/>
      <c r="Y385" s="457"/>
      <c r="Z385" s="457"/>
    </row>
    <row r="386" spans="1:26" ht="18" customHeight="1">
      <c r="A386" s="464"/>
      <c r="B386" s="458"/>
      <c r="C386" s="483"/>
      <c r="D386" s="464"/>
      <c r="E386" s="464"/>
      <c r="F386" s="484"/>
      <c r="G386" s="460"/>
      <c r="H386" s="485"/>
      <c r="I386" s="164"/>
      <c r="J386" s="462"/>
      <c r="K386" s="481"/>
      <c r="L386" s="464"/>
      <c r="M386" s="164"/>
      <c r="N386" s="465"/>
      <c r="O386" s="462"/>
      <c r="P386" s="486"/>
      <c r="Q386" s="487"/>
      <c r="R386" s="164"/>
      <c r="S386" s="467"/>
      <c r="T386" s="468"/>
      <c r="U386" s="469"/>
      <c r="V386" s="457"/>
      <c r="W386" s="457"/>
      <c r="X386" s="457"/>
      <c r="Y386" s="457"/>
      <c r="Z386" s="457"/>
    </row>
    <row r="387" spans="1:26" ht="18" customHeight="1">
      <c r="A387" s="464"/>
      <c r="B387" s="458"/>
      <c r="C387" s="483"/>
      <c r="D387" s="464"/>
      <c r="E387" s="464"/>
      <c r="F387" s="484"/>
      <c r="G387" s="460"/>
      <c r="H387" s="485"/>
      <c r="I387" s="164"/>
      <c r="J387" s="462"/>
      <c r="K387" s="481"/>
      <c r="L387" s="464"/>
      <c r="M387" s="164"/>
      <c r="N387" s="465"/>
      <c r="O387" s="462"/>
      <c r="P387" s="486"/>
      <c r="Q387" s="487"/>
      <c r="R387" s="164"/>
      <c r="S387" s="467"/>
      <c r="T387" s="468"/>
      <c r="U387" s="469"/>
      <c r="V387" s="457"/>
      <c r="W387" s="457"/>
      <c r="X387" s="457"/>
      <c r="Y387" s="457"/>
      <c r="Z387" s="457"/>
    </row>
    <row r="388" spans="1:26" ht="18" customHeight="1">
      <c r="A388" s="464"/>
      <c r="B388" s="458"/>
      <c r="C388" s="483"/>
      <c r="D388" s="464"/>
      <c r="E388" s="464"/>
      <c r="F388" s="484"/>
      <c r="G388" s="460"/>
      <c r="H388" s="485"/>
      <c r="I388" s="164"/>
      <c r="J388" s="462"/>
      <c r="K388" s="481"/>
      <c r="L388" s="464"/>
      <c r="M388" s="164"/>
      <c r="N388" s="465"/>
      <c r="O388" s="462"/>
      <c r="P388" s="486"/>
      <c r="Q388" s="487"/>
      <c r="R388" s="164"/>
      <c r="S388" s="467"/>
      <c r="T388" s="468"/>
      <c r="U388" s="469"/>
      <c r="V388" s="457"/>
      <c r="W388" s="457"/>
      <c r="X388" s="457"/>
      <c r="Y388" s="457"/>
      <c r="Z388" s="457"/>
    </row>
    <row r="389" spans="1:26" ht="18" customHeight="1">
      <c r="A389" s="464"/>
      <c r="B389" s="458"/>
      <c r="C389" s="483"/>
      <c r="D389" s="464"/>
      <c r="E389" s="464"/>
      <c r="F389" s="484"/>
      <c r="G389" s="460"/>
      <c r="H389" s="485"/>
      <c r="I389" s="164"/>
      <c r="J389" s="462"/>
      <c r="K389" s="481"/>
      <c r="L389" s="464"/>
      <c r="M389" s="164"/>
      <c r="N389" s="465"/>
      <c r="O389" s="462"/>
      <c r="P389" s="486"/>
      <c r="Q389" s="487"/>
      <c r="R389" s="164"/>
      <c r="S389" s="467"/>
      <c r="T389" s="468"/>
      <c r="U389" s="469"/>
      <c r="V389" s="457"/>
      <c r="W389" s="457"/>
      <c r="X389" s="457"/>
      <c r="Y389" s="457"/>
      <c r="Z389" s="457"/>
    </row>
    <row r="390" spans="1:26" ht="18" customHeight="1">
      <c r="A390" s="464"/>
      <c r="B390" s="458"/>
      <c r="C390" s="483"/>
      <c r="D390" s="464"/>
      <c r="E390" s="464"/>
      <c r="F390" s="484"/>
      <c r="G390" s="460"/>
      <c r="H390" s="485"/>
      <c r="I390" s="164"/>
      <c r="J390" s="462"/>
      <c r="K390" s="481"/>
      <c r="L390" s="464"/>
      <c r="M390" s="164"/>
      <c r="N390" s="465"/>
      <c r="O390" s="462"/>
      <c r="P390" s="486"/>
      <c r="Q390" s="487"/>
      <c r="R390" s="164"/>
      <c r="S390" s="467"/>
      <c r="T390" s="468"/>
      <c r="U390" s="469"/>
      <c r="V390" s="457"/>
      <c r="W390" s="457"/>
      <c r="X390" s="457"/>
      <c r="Y390" s="457"/>
      <c r="Z390" s="457"/>
    </row>
    <row r="391" spans="1:26" ht="18" customHeight="1">
      <c r="A391" s="464"/>
      <c r="B391" s="458"/>
      <c r="C391" s="483"/>
      <c r="D391" s="464"/>
      <c r="E391" s="464"/>
      <c r="F391" s="484"/>
      <c r="G391" s="460"/>
      <c r="H391" s="485"/>
      <c r="I391" s="164"/>
      <c r="J391" s="462"/>
      <c r="K391" s="481"/>
      <c r="L391" s="464"/>
      <c r="M391" s="164"/>
      <c r="N391" s="465"/>
      <c r="O391" s="462"/>
      <c r="P391" s="486"/>
      <c r="Q391" s="487"/>
      <c r="R391" s="164"/>
      <c r="S391" s="467"/>
      <c r="T391" s="468"/>
      <c r="U391" s="469"/>
      <c r="V391" s="457"/>
      <c r="W391" s="457"/>
      <c r="X391" s="457"/>
      <c r="Y391" s="457"/>
      <c r="Z391" s="457"/>
    </row>
    <row r="392" spans="1:26" ht="18" customHeight="1">
      <c r="A392" s="464"/>
      <c r="B392" s="458"/>
      <c r="C392" s="483"/>
      <c r="D392" s="464"/>
      <c r="E392" s="464"/>
      <c r="F392" s="484"/>
      <c r="G392" s="460"/>
      <c r="H392" s="485"/>
      <c r="I392" s="164"/>
      <c r="J392" s="462"/>
      <c r="K392" s="481"/>
      <c r="L392" s="464"/>
      <c r="M392" s="164"/>
      <c r="N392" s="465"/>
      <c r="O392" s="462"/>
      <c r="P392" s="486"/>
      <c r="Q392" s="487"/>
      <c r="R392" s="164"/>
      <c r="S392" s="467"/>
      <c r="T392" s="468"/>
      <c r="U392" s="469"/>
      <c r="V392" s="457"/>
      <c r="W392" s="457"/>
      <c r="X392" s="457"/>
      <c r="Y392" s="457"/>
      <c r="Z392" s="457"/>
    </row>
    <row r="393" spans="1:26" ht="18" customHeight="1">
      <c r="A393" s="464"/>
      <c r="B393" s="458"/>
      <c r="C393" s="483"/>
      <c r="D393" s="464"/>
      <c r="E393" s="464"/>
      <c r="F393" s="484"/>
      <c r="G393" s="460"/>
      <c r="H393" s="485"/>
      <c r="I393" s="164"/>
      <c r="J393" s="462"/>
      <c r="K393" s="481"/>
      <c r="L393" s="464"/>
      <c r="M393" s="164"/>
      <c r="N393" s="465"/>
      <c r="O393" s="462"/>
      <c r="P393" s="486"/>
      <c r="Q393" s="487"/>
      <c r="R393" s="164"/>
      <c r="S393" s="467"/>
      <c r="T393" s="468"/>
      <c r="U393" s="469"/>
      <c r="V393" s="457"/>
      <c r="W393" s="457"/>
      <c r="X393" s="457"/>
      <c r="Y393" s="457"/>
      <c r="Z393" s="457"/>
    </row>
    <row r="394" spans="1:26" ht="18" customHeight="1">
      <c r="A394" s="464"/>
      <c r="B394" s="458"/>
      <c r="C394" s="483"/>
      <c r="D394" s="464"/>
      <c r="E394" s="464"/>
      <c r="F394" s="484"/>
      <c r="G394" s="460"/>
      <c r="H394" s="485"/>
      <c r="I394" s="164"/>
      <c r="J394" s="462"/>
      <c r="K394" s="481"/>
      <c r="L394" s="464"/>
      <c r="M394" s="164"/>
      <c r="N394" s="465"/>
      <c r="O394" s="462"/>
      <c r="P394" s="486"/>
      <c r="Q394" s="487"/>
      <c r="R394" s="164"/>
      <c r="S394" s="467"/>
      <c r="T394" s="468"/>
      <c r="U394" s="469"/>
      <c r="V394" s="457"/>
      <c r="W394" s="457"/>
      <c r="X394" s="457"/>
      <c r="Y394" s="457"/>
      <c r="Z394" s="457"/>
    </row>
    <row r="395" spans="1:26" ht="18" customHeight="1">
      <c r="A395" s="464"/>
      <c r="B395" s="458"/>
      <c r="C395" s="483"/>
      <c r="D395" s="464"/>
      <c r="E395" s="464"/>
      <c r="F395" s="484"/>
      <c r="G395" s="460"/>
      <c r="H395" s="485"/>
      <c r="I395" s="164"/>
      <c r="J395" s="462"/>
      <c r="K395" s="481"/>
      <c r="L395" s="464"/>
      <c r="M395" s="164"/>
      <c r="N395" s="465"/>
      <c r="O395" s="462"/>
      <c r="P395" s="486"/>
      <c r="Q395" s="487"/>
      <c r="R395" s="164"/>
      <c r="S395" s="467"/>
      <c r="T395" s="468"/>
      <c r="U395" s="469"/>
      <c r="V395" s="457"/>
      <c r="W395" s="457"/>
      <c r="X395" s="457"/>
      <c r="Y395" s="457"/>
      <c r="Z395" s="457"/>
    </row>
    <row r="396" spans="1:26" ht="18" customHeight="1">
      <c r="A396" s="464"/>
      <c r="B396" s="458"/>
      <c r="C396" s="483"/>
      <c r="D396" s="464"/>
      <c r="E396" s="464"/>
      <c r="F396" s="484"/>
      <c r="G396" s="460"/>
      <c r="H396" s="485"/>
      <c r="I396" s="164"/>
      <c r="J396" s="462"/>
      <c r="K396" s="481"/>
      <c r="L396" s="464"/>
      <c r="M396" s="164"/>
      <c r="N396" s="465"/>
      <c r="O396" s="462"/>
      <c r="P396" s="486"/>
      <c r="Q396" s="487"/>
      <c r="R396" s="164"/>
      <c r="S396" s="467"/>
      <c r="T396" s="468"/>
      <c r="U396" s="469"/>
      <c r="V396" s="457"/>
      <c r="W396" s="457"/>
      <c r="X396" s="457"/>
      <c r="Y396" s="457"/>
      <c r="Z396" s="457"/>
    </row>
    <row r="397" spans="1:26" ht="18" customHeight="1">
      <c r="A397" s="464"/>
      <c r="B397" s="458"/>
      <c r="C397" s="483"/>
      <c r="D397" s="464"/>
      <c r="E397" s="464"/>
      <c r="F397" s="484"/>
      <c r="G397" s="460"/>
      <c r="H397" s="485"/>
      <c r="I397" s="164"/>
      <c r="J397" s="462"/>
      <c r="K397" s="481"/>
      <c r="L397" s="464"/>
      <c r="M397" s="164"/>
      <c r="N397" s="465"/>
      <c r="O397" s="462"/>
      <c r="P397" s="486"/>
      <c r="Q397" s="487"/>
      <c r="R397" s="164"/>
      <c r="S397" s="467"/>
      <c r="T397" s="468"/>
      <c r="U397" s="469"/>
      <c r="V397" s="457"/>
      <c r="W397" s="457"/>
      <c r="X397" s="457"/>
      <c r="Y397" s="457"/>
      <c r="Z397" s="457"/>
    </row>
    <row r="398" spans="1:26" ht="18" customHeight="1">
      <c r="A398" s="464"/>
      <c r="B398" s="458"/>
      <c r="C398" s="483"/>
      <c r="D398" s="464"/>
      <c r="E398" s="464"/>
      <c r="F398" s="484"/>
      <c r="G398" s="460"/>
      <c r="H398" s="485"/>
      <c r="I398" s="164"/>
      <c r="J398" s="462"/>
      <c r="K398" s="481"/>
      <c r="L398" s="464"/>
      <c r="M398" s="164"/>
      <c r="N398" s="465"/>
      <c r="O398" s="462"/>
      <c r="P398" s="486"/>
      <c r="Q398" s="487"/>
      <c r="R398" s="164"/>
      <c r="S398" s="467"/>
      <c r="T398" s="468"/>
      <c r="U398" s="469"/>
      <c r="V398" s="457"/>
      <c r="W398" s="457"/>
      <c r="X398" s="457"/>
      <c r="Y398" s="457"/>
      <c r="Z398" s="457"/>
    </row>
    <row r="399" spans="1:26" ht="18" customHeight="1">
      <c r="A399" s="464"/>
      <c r="B399" s="458"/>
      <c r="C399" s="483"/>
      <c r="D399" s="464"/>
      <c r="E399" s="464"/>
      <c r="F399" s="484"/>
      <c r="G399" s="460"/>
      <c r="H399" s="485"/>
      <c r="I399" s="164"/>
      <c r="J399" s="462"/>
      <c r="K399" s="481"/>
      <c r="L399" s="464"/>
      <c r="M399" s="164"/>
      <c r="N399" s="465"/>
      <c r="O399" s="462"/>
      <c r="P399" s="486"/>
      <c r="Q399" s="487"/>
      <c r="R399" s="164"/>
      <c r="S399" s="467"/>
      <c r="T399" s="468"/>
      <c r="U399" s="469"/>
      <c r="V399" s="457"/>
      <c r="W399" s="457"/>
      <c r="X399" s="457"/>
      <c r="Y399" s="457"/>
      <c r="Z399" s="457"/>
    </row>
    <row r="400" spans="1:26" ht="18" customHeight="1">
      <c r="A400" s="464"/>
      <c r="B400" s="458"/>
      <c r="C400" s="483"/>
      <c r="D400" s="464"/>
      <c r="E400" s="464"/>
      <c r="F400" s="484"/>
      <c r="G400" s="460"/>
      <c r="H400" s="485"/>
      <c r="I400" s="164"/>
      <c r="J400" s="462"/>
      <c r="K400" s="481"/>
      <c r="L400" s="464"/>
      <c r="M400" s="164"/>
      <c r="N400" s="465"/>
      <c r="O400" s="462"/>
      <c r="P400" s="486"/>
      <c r="Q400" s="487"/>
      <c r="R400" s="164"/>
      <c r="S400" s="467"/>
      <c r="T400" s="468"/>
      <c r="U400" s="469"/>
      <c r="V400" s="457"/>
      <c r="W400" s="457"/>
      <c r="X400" s="457"/>
      <c r="Y400" s="457"/>
      <c r="Z400" s="457"/>
    </row>
    <row r="401" spans="1:26" ht="18" customHeight="1">
      <c r="A401" s="464"/>
      <c r="B401" s="458"/>
      <c r="C401" s="483"/>
      <c r="D401" s="464"/>
      <c r="E401" s="464"/>
      <c r="F401" s="484"/>
      <c r="G401" s="460"/>
      <c r="H401" s="485"/>
      <c r="I401" s="164"/>
      <c r="J401" s="462"/>
      <c r="K401" s="481"/>
      <c r="L401" s="464"/>
      <c r="M401" s="164"/>
      <c r="N401" s="465"/>
      <c r="O401" s="462"/>
      <c r="P401" s="486"/>
      <c r="Q401" s="487"/>
      <c r="R401" s="164"/>
      <c r="S401" s="467"/>
      <c r="T401" s="468"/>
      <c r="U401" s="469"/>
      <c r="V401" s="457"/>
      <c r="W401" s="457"/>
      <c r="X401" s="457"/>
      <c r="Y401" s="457"/>
      <c r="Z401" s="457"/>
    </row>
    <row r="402" spans="1:26" ht="18" customHeight="1">
      <c r="A402" s="464"/>
      <c r="B402" s="458"/>
      <c r="C402" s="483"/>
      <c r="D402" s="464"/>
      <c r="E402" s="464"/>
      <c r="F402" s="484"/>
      <c r="G402" s="460"/>
      <c r="H402" s="485"/>
      <c r="I402" s="164"/>
      <c r="J402" s="462"/>
      <c r="K402" s="481"/>
      <c r="L402" s="464"/>
      <c r="M402" s="164"/>
      <c r="N402" s="465"/>
      <c r="O402" s="462"/>
      <c r="P402" s="486"/>
      <c r="Q402" s="487"/>
      <c r="R402" s="164"/>
      <c r="S402" s="467"/>
      <c r="T402" s="468"/>
      <c r="U402" s="469"/>
      <c r="V402" s="457"/>
      <c r="W402" s="457"/>
      <c r="X402" s="457"/>
      <c r="Y402" s="457"/>
      <c r="Z402" s="457"/>
    </row>
    <row r="403" spans="1:26" ht="18" customHeight="1">
      <c r="A403" s="464"/>
      <c r="B403" s="458"/>
      <c r="C403" s="483"/>
      <c r="D403" s="464"/>
      <c r="E403" s="464"/>
      <c r="F403" s="484"/>
      <c r="G403" s="460"/>
      <c r="H403" s="485"/>
      <c r="I403" s="164"/>
      <c r="J403" s="462"/>
      <c r="K403" s="481"/>
      <c r="L403" s="464"/>
      <c r="M403" s="164"/>
      <c r="N403" s="465"/>
      <c r="O403" s="462"/>
      <c r="P403" s="486"/>
      <c r="Q403" s="487"/>
      <c r="R403" s="164"/>
      <c r="S403" s="467"/>
      <c r="T403" s="468"/>
      <c r="U403" s="469"/>
      <c r="V403" s="457"/>
      <c r="W403" s="457"/>
      <c r="X403" s="457"/>
      <c r="Y403" s="457"/>
      <c r="Z403" s="457"/>
    </row>
    <row r="404" spans="1:26" ht="18" customHeight="1">
      <c r="A404" s="464"/>
      <c r="B404" s="458"/>
      <c r="C404" s="483"/>
      <c r="D404" s="464"/>
      <c r="E404" s="464"/>
      <c r="F404" s="484"/>
      <c r="G404" s="460"/>
      <c r="H404" s="485"/>
      <c r="I404" s="164"/>
      <c r="J404" s="462"/>
      <c r="K404" s="481"/>
      <c r="L404" s="464"/>
      <c r="M404" s="164"/>
      <c r="N404" s="465"/>
      <c r="O404" s="462"/>
      <c r="P404" s="486"/>
      <c r="Q404" s="487"/>
      <c r="R404" s="164"/>
      <c r="S404" s="467"/>
      <c r="T404" s="468"/>
      <c r="U404" s="469"/>
      <c r="V404" s="457"/>
      <c r="W404" s="457"/>
      <c r="X404" s="457"/>
      <c r="Y404" s="457"/>
      <c r="Z404" s="457"/>
    </row>
    <row r="405" spans="1:26" ht="18" customHeight="1">
      <c r="A405" s="464"/>
      <c r="B405" s="458"/>
      <c r="C405" s="483"/>
      <c r="D405" s="464"/>
      <c r="E405" s="464"/>
      <c r="F405" s="484"/>
      <c r="G405" s="460"/>
      <c r="H405" s="485"/>
      <c r="I405" s="164"/>
      <c r="J405" s="462"/>
      <c r="K405" s="481"/>
      <c r="L405" s="464"/>
      <c r="M405" s="164"/>
      <c r="N405" s="465"/>
      <c r="O405" s="462"/>
      <c r="P405" s="486"/>
      <c r="Q405" s="487"/>
      <c r="R405" s="164"/>
      <c r="S405" s="467"/>
      <c r="T405" s="468"/>
      <c r="U405" s="469"/>
      <c r="V405" s="457"/>
      <c r="W405" s="457"/>
      <c r="X405" s="457"/>
      <c r="Y405" s="457"/>
      <c r="Z405" s="457"/>
    </row>
    <row r="406" spans="1:26" ht="18" customHeight="1">
      <c r="A406" s="464"/>
      <c r="B406" s="458"/>
      <c r="C406" s="483"/>
      <c r="D406" s="464"/>
      <c r="E406" s="464"/>
      <c r="F406" s="484"/>
      <c r="G406" s="460"/>
      <c r="H406" s="485"/>
      <c r="I406" s="164"/>
      <c r="J406" s="462"/>
      <c r="K406" s="481"/>
      <c r="L406" s="464"/>
      <c r="M406" s="164"/>
      <c r="N406" s="465"/>
      <c r="O406" s="462"/>
      <c r="P406" s="486"/>
      <c r="Q406" s="487"/>
      <c r="R406" s="164"/>
      <c r="S406" s="467"/>
      <c r="T406" s="468"/>
      <c r="U406" s="469"/>
      <c r="V406" s="457"/>
      <c r="W406" s="457"/>
      <c r="X406" s="457"/>
      <c r="Y406" s="457"/>
      <c r="Z406" s="457"/>
    </row>
    <row r="407" spans="1:26" ht="18" customHeight="1">
      <c r="A407" s="464"/>
      <c r="B407" s="458"/>
      <c r="C407" s="483"/>
      <c r="D407" s="464"/>
      <c r="E407" s="464"/>
      <c r="F407" s="484"/>
      <c r="G407" s="460"/>
      <c r="H407" s="485"/>
      <c r="I407" s="164"/>
      <c r="J407" s="462"/>
      <c r="K407" s="481"/>
      <c r="L407" s="464"/>
      <c r="M407" s="164"/>
      <c r="N407" s="465"/>
      <c r="O407" s="462"/>
      <c r="P407" s="486"/>
      <c r="Q407" s="487"/>
      <c r="R407" s="164"/>
      <c r="S407" s="467"/>
      <c r="T407" s="468"/>
      <c r="U407" s="469"/>
      <c r="V407" s="457"/>
      <c r="W407" s="457"/>
      <c r="X407" s="457"/>
      <c r="Y407" s="457"/>
      <c r="Z407" s="457"/>
    </row>
    <row r="408" spans="1:26" ht="18" customHeight="1">
      <c r="A408" s="464"/>
      <c r="B408" s="458"/>
      <c r="C408" s="483"/>
      <c r="D408" s="464"/>
      <c r="E408" s="464"/>
      <c r="F408" s="484"/>
      <c r="G408" s="460"/>
      <c r="H408" s="485"/>
      <c r="I408" s="164"/>
      <c r="J408" s="462"/>
      <c r="K408" s="481"/>
      <c r="L408" s="464"/>
      <c r="M408" s="164"/>
      <c r="N408" s="465"/>
      <c r="O408" s="462"/>
      <c r="P408" s="486"/>
      <c r="Q408" s="487"/>
      <c r="R408" s="164"/>
      <c r="S408" s="467"/>
      <c r="T408" s="468"/>
      <c r="U408" s="469"/>
      <c r="V408" s="457"/>
      <c r="W408" s="457"/>
      <c r="X408" s="457"/>
      <c r="Y408" s="457"/>
      <c r="Z408" s="457"/>
    </row>
    <row r="409" spans="1:26" ht="18" customHeight="1">
      <c r="A409" s="464"/>
      <c r="B409" s="458"/>
      <c r="C409" s="483"/>
      <c r="D409" s="464"/>
      <c r="E409" s="464"/>
      <c r="F409" s="484"/>
      <c r="G409" s="460"/>
      <c r="H409" s="485"/>
      <c r="I409" s="164"/>
      <c r="J409" s="462"/>
      <c r="K409" s="481"/>
      <c r="L409" s="464"/>
      <c r="M409" s="164"/>
      <c r="N409" s="465"/>
      <c r="O409" s="462"/>
      <c r="P409" s="486"/>
      <c r="Q409" s="487"/>
      <c r="R409" s="164"/>
      <c r="S409" s="467"/>
      <c r="T409" s="468"/>
      <c r="U409" s="469"/>
      <c r="V409" s="457"/>
      <c r="W409" s="457"/>
      <c r="X409" s="457"/>
      <c r="Y409" s="457"/>
      <c r="Z409" s="457"/>
    </row>
    <row r="410" spans="1:26" ht="18" customHeight="1">
      <c r="A410" s="464"/>
      <c r="B410" s="458"/>
      <c r="C410" s="483"/>
      <c r="D410" s="464"/>
      <c r="E410" s="464"/>
      <c r="F410" s="484"/>
      <c r="G410" s="460"/>
      <c r="H410" s="485"/>
      <c r="I410" s="164"/>
      <c r="J410" s="462"/>
      <c r="K410" s="481"/>
      <c r="L410" s="464"/>
      <c r="M410" s="164"/>
      <c r="N410" s="465"/>
      <c r="O410" s="462"/>
      <c r="P410" s="486"/>
      <c r="Q410" s="487"/>
      <c r="R410" s="164"/>
      <c r="S410" s="467"/>
      <c r="T410" s="468"/>
      <c r="U410" s="469"/>
      <c r="V410" s="457"/>
      <c r="W410" s="457"/>
      <c r="X410" s="457"/>
      <c r="Y410" s="457"/>
      <c r="Z410" s="457"/>
    </row>
    <row r="411" spans="1:26" ht="18" customHeight="1">
      <c r="A411" s="464"/>
      <c r="B411" s="458"/>
      <c r="C411" s="483"/>
      <c r="D411" s="464"/>
      <c r="E411" s="464"/>
      <c r="F411" s="484"/>
      <c r="G411" s="460"/>
      <c r="H411" s="485"/>
      <c r="I411" s="164"/>
      <c r="J411" s="462"/>
      <c r="K411" s="481"/>
      <c r="L411" s="464"/>
      <c r="M411" s="164"/>
      <c r="N411" s="465"/>
      <c r="O411" s="462"/>
      <c r="P411" s="486"/>
      <c r="Q411" s="487"/>
      <c r="R411" s="164"/>
      <c r="S411" s="467"/>
      <c r="T411" s="468"/>
      <c r="U411" s="469"/>
      <c r="V411" s="457"/>
      <c r="W411" s="457"/>
      <c r="X411" s="457"/>
      <c r="Y411" s="457"/>
      <c r="Z411" s="457"/>
    </row>
    <row r="412" spans="1:26" ht="18" customHeight="1">
      <c r="A412" s="464"/>
      <c r="B412" s="458"/>
      <c r="C412" s="483"/>
      <c r="D412" s="464"/>
      <c r="E412" s="464"/>
      <c r="F412" s="484"/>
      <c r="G412" s="460"/>
      <c r="H412" s="485"/>
      <c r="I412" s="164"/>
      <c r="J412" s="462"/>
      <c r="K412" s="481"/>
      <c r="L412" s="464"/>
      <c r="M412" s="164"/>
      <c r="N412" s="465"/>
      <c r="O412" s="462"/>
      <c r="P412" s="486"/>
      <c r="Q412" s="487"/>
      <c r="R412" s="164"/>
      <c r="S412" s="467"/>
      <c r="T412" s="468"/>
      <c r="U412" s="469"/>
      <c r="V412" s="457"/>
      <c r="W412" s="457"/>
      <c r="X412" s="457"/>
      <c r="Y412" s="457"/>
      <c r="Z412" s="457"/>
    </row>
    <row r="413" spans="1:26" ht="18" customHeight="1">
      <c r="A413" s="464"/>
      <c r="B413" s="458"/>
      <c r="C413" s="483"/>
      <c r="D413" s="464"/>
      <c r="E413" s="464"/>
      <c r="F413" s="484"/>
      <c r="G413" s="460"/>
      <c r="H413" s="485"/>
      <c r="I413" s="164"/>
      <c r="J413" s="462"/>
      <c r="K413" s="481"/>
      <c r="L413" s="464"/>
      <c r="M413" s="164"/>
      <c r="N413" s="465"/>
      <c r="O413" s="462"/>
      <c r="P413" s="486"/>
      <c r="Q413" s="487"/>
      <c r="R413" s="164"/>
      <c r="S413" s="467"/>
      <c r="T413" s="468"/>
      <c r="U413" s="469"/>
      <c r="V413" s="457"/>
      <c r="W413" s="457"/>
      <c r="X413" s="457"/>
      <c r="Y413" s="457"/>
      <c r="Z413" s="457"/>
    </row>
    <row r="414" spans="1:26" ht="18" customHeight="1">
      <c r="A414" s="464"/>
      <c r="B414" s="458"/>
      <c r="C414" s="483"/>
      <c r="D414" s="464"/>
      <c r="E414" s="464"/>
      <c r="F414" s="484"/>
      <c r="G414" s="460"/>
      <c r="H414" s="485"/>
      <c r="I414" s="164"/>
      <c r="J414" s="462"/>
      <c r="K414" s="481"/>
      <c r="L414" s="464"/>
      <c r="M414" s="164"/>
      <c r="N414" s="465"/>
      <c r="O414" s="462"/>
      <c r="P414" s="486"/>
      <c r="Q414" s="487"/>
      <c r="R414" s="164"/>
      <c r="S414" s="467"/>
      <c r="T414" s="468"/>
      <c r="U414" s="469"/>
      <c r="V414" s="457"/>
      <c r="W414" s="457"/>
      <c r="X414" s="457"/>
      <c r="Y414" s="457"/>
      <c r="Z414" s="457"/>
    </row>
    <row r="415" spans="1:26" ht="18" customHeight="1">
      <c r="A415" s="464"/>
      <c r="B415" s="458"/>
      <c r="C415" s="483"/>
      <c r="D415" s="464"/>
      <c r="E415" s="464"/>
      <c r="F415" s="484"/>
      <c r="G415" s="460"/>
      <c r="H415" s="485"/>
      <c r="I415" s="164"/>
      <c r="J415" s="462"/>
      <c r="K415" s="481"/>
      <c r="L415" s="464"/>
      <c r="M415" s="164"/>
      <c r="N415" s="465"/>
      <c r="O415" s="462"/>
      <c r="P415" s="486"/>
      <c r="Q415" s="487"/>
      <c r="R415" s="164"/>
      <c r="S415" s="467"/>
      <c r="T415" s="468"/>
      <c r="U415" s="469"/>
      <c r="V415" s="457"/>
      <c r="W415" s="457"/>
      <c r="X415" s="457"/>
      <c r="Y415" s="457"/>
      <c r="Z415" s="457"/>
    </row>
    <row r="416" spans="1:26" ht="18" customHeight="1">
      <c r="A416" s="464"/>
      <c r="B416" s="458"/>
      <c r="C416" s="483"/>
      <c r="D416" s="464"/>
      <c r="E416" s="464"/>
      <c r="F416" s="484"/>
      <c r="G416" s="460"/>
      <c r="H416" s="485"/>
      <c r="I416" s="164"/>
      <c r="J416" s="462"/>
      <c r="K416" s="481"/>
      <c r="L416" s="464"/>
      <c r="M416" s="164"/>
      <c r="N416" s="465"/>
      <c r="O416" s="462"/>
      <c r="P416" s="486"/>
      <c r="Q416" s="487"/>
      <c r="R416" s="164"/>
      <c r="S416" s="467"/>
      <c r="T416" s="468"/>
      <c r="U416" s="469"/>
      <c r="V416" s="457"/>
      <c r="W416" s="457"/>
      <c r="X416" s="457"/>
      <c r="Y416" s="457"/>
      <c r="Z416" s="457"/>
    </row>
    <row r="417" spans="1:26" ht="18" customHeight="1">
      <c r="A417" s="464"/>
      <c r="B417" s="458"/>
      <c r="C417" s="483"/>
      <c r="D417" s="464"/>
      <c r="E417" s="464"/>
      <c r="F417" s="484"/>
      <c r="G417" s="460"/>
      <c r="H417" s="485"/>
      <c r="I417" s="164"/>
      <c r="J417" s="462"/>
      <c r="K417" s="481"/>
      <c r="L417" s="464"/>
      <c r="M417" s="164"/>
      <c r="N417" s="465"/>
      <c r="O417" s="462"/>
      <c r="P417" s="486"/>
      <c r="Q417" s="487"/>
      <c r="R417" s="164"/>
      <c r="S417" s="467"/>
      <c r="T417" s="468"/>
      <c r="U417" s="469"/>
      <c r="V417" s="457"/>
      <c r="W417" s="457"/>
      <c r="X417" s="457"/>
      <c r="Y417" s="457"/>
      <c r="Z417" s="457"/>
    </row>
    <row r="418" spans="1:26" ht="18" customHeight="1">
      <c r="A418" s="464"/>
      <c r="B418" s="458"/>
      <c r="C418" s="483"/>
      <c r="D418" s="464"/>
      <c r="E418" s="464"/>
      <c r="F418" s="484"/>
      <c r="G418" s="460"/>
      <c r="H418" s="485"/>
      <c r="I418" s="164"/>
      <c r="J418" s="462"/>
      <c r="K418" s="481"/>
      <c r="L418" s="464"/>
      <c r="M418" s="164"/>
      <c r="N418" s="465"/>
      <c r="O418" s="462"/>
      <c r="P418" s="486"/>
      <c r="Q418" s="487"/>
      <c r="R418" s="164"/>
      <c r="S418" s="467"/>
      <c r="T418" s="468"/>
      <c r="U418" s="469"/>
      <c r="V418" s="457"/>
      <c r="W418" s="457"/>
      <c r="X418" s="457"/>
      <c r="Y418" s="457"/>
      <c r="Z418" s="457"/>
    </row>
    <row r="419" spans="1:26" ht="18" customHeight="1">
      <c r="A419" s="464"/>
      <c r="B419" s="458"/>
      <c r="C419" s="483"/>
      <c r="D419" s="464"/>
      <c r="E419" s="464"/>
      <c r="F419" s="484"/>
      <c r="G419" s="460"/>
      <c r="H419" s="485"/>
      <c r="I419" s="164"/>
      <c r="J419" s="462"/>
      <c r="K419" s="481"/>
      <c r="L419" s="464"/>
      <c r="M419" s="164"/>
      <c r="N419" s="465"/>
      <c r="O419" s="462"/>
      <c r="P419" s="486"/>
      <c r="Q419" s="487"/>
      <c r="R419" s="164"/>
      <c r="S419" s="467"/>
      <c r="T419" s="468"/>
      <c r="U419" s="469"/>
      <c r="V419" s="457"/>
      <c r="W419" s="457"/>
      <c r="X419" s="457"/>
      <c r="Y419" s="457"/>
      <c r="Z419" s="457"/>
    </row>
    <row r="420" spans="1:26" ht="18" customHeight="1">
      <c r="A420" s="464"/>
      <c r="B420" s="458"/>
      <c r="C420" s="483"/>
      <c r="D420" s="464"/>
      <c r="E420" s="464"/>
      <c r="F420" s="484"/>
      <c r="G420" s="460"/>
      <c r="H420" s="485"/>
      <c r="I420" s="164"/>
      <c r="J420" s="462"/>
      <c r="K420" s="481"/>
      <c r="L420" s="464"/>
      <c r="M420" s="164"/>
      <c r="N420" s="465"/>
      <c r="O420" s="462"/>
      <c r="P420" s="486"/>
      <c r="Q420" s="487"/>
      <c r="R420" s="164"/>
      <c r="S420" s="467"/>
      <c r="T420" s="468"/>
      <c r="U420" s="469"/>
      <c r="V420" s="457"/>
      <c r="W420" s="457"/>
      <c r="X420" s="457"/>
      <c r="Y420" s="457"/>
      <c r="Z420" s="457"/>
    </row>
    <row r="421" spans="1:26" ht="18" customHeight="1">
      <c r="A421" s="464"/>
      <c r="B421" s="458"/>
      <c r="C421" s="483"/>
      <c r="D421" s="464"/>
      <c r="E421" s="464"/>
      <c r="F421" s="484"/>
      <c r="G421" s="460"/>
      <c r="H421" s="485"/>
      <c r="I421" s="164"/>
      <c r="J421" s="462"/>
      <c r="K421" s="481"/>
      <c r="L421" s="464"/>
      <c r="M421" s="164"/>
      <c r="N421" s="465"/>
      <c r="O421" s="462"/>
      <c r="P421" s="486"/>
      <c r="Q421" s="487"/>
      <c r="R421" s="164"/>
      <c r="S421" s="467"/>
      <c r="T421" s="468"/>
      <c r="U421" s="469"/>
      <c r="V421" s="457"/>
      <c r="W421" s="457"/>
      <c r="X421" s="457"/>
      <c r="Y421" s="457"/>
      <c r="Z421" s="457"/>
    </row>
    <row r="422" spans="1:26" ht="18" customHeight="1">
      <c r="A422" s="464"/>
      <c r="B422" s="458"/>
      <c r="C422" s="483"/>
      <c r="D422" s="464"/>
      <c r="E422" s="464"/>
      <c r="F422" s="484"/>
      <c r="G422" s="460"/>
      <c r="H422" s="485"/>
      <c r="I422" s="164"/>
      <c r="J422" s="462"/>
      <c r="K422" s="481"/>
      <c r="L422" s="464"/>
      <c r="M422" s="164"/>
      <c r="N422" s="465"/>
      <c r="O422" s="462"/>
      <c r="P422" s="486"/>
      <c r="Q422" s="487"/>
      <c r="R422" s="164"/>
      <c r="S422" s="467"/>
      <c r="T422" s="468"/>
      <c r="U422" s="469"/>
      <c r="V422" s="457"/>
      <c r="W422" s="457"/>
      <c r="X422" s="457"/>
      <c r="Y422" s="457"/>
      <c r="Z422" s="457"/>
    </row>
    <row r="423" spans="1:26" ht="18" customHeight="1">
      <c r="A423" s="464"/>
      <c r="B423" s="458"/>
      <c r="C423" s="483"/>
      <c r="D423" s="464"/>
      <c r="E423" s="464"/>
      <c r="F423" s="484"/>
      <c r="G423" s="460"/>
      <c r="H423" s="485"/>
      <c r="I423" s="164"/>
      <c r="J423" s="462"/>
      <c r="K423" s="481"/>
      <c r="L423" s="464"/>
      <c r="M423" s="164"/>
      <c r="N423" s="465"/>
      <c r="O423" s="462"/>
      <c r="P423" s="486"/>
      <c r="Q423" s="487"/>
      <c r="R423" s="164"/>
      <c r="S423" s="467"/>
      <c r="T423" s="468"/>
      <c r="U423" s="469"/>
      <c r="V423" s="457"/>
      <c r="W423" s="457"/>
      <c r="X423" s="457"/>
      <c r="Y423" s="457"/>
      <c r="Z423" s="457"/>
    </row>
    <row r="424" spans="1:26" ht="18" customHeight="1">
      <c r="A424" s="464"/>
      <c r="B424" s="458"/>
      <c r="C424" s="483"/>
      <c r="D424" s="464"/>
      <c r="E424" s="464"/>
      <c r="F424" s="484"/>
      <c r="G424" s="460"/>
      <c r="H424" s="485"/>
      <c r="I424" s="164"/>
      <c r="J424" s="462"/>
      <c r="K424" s="481"/>
      <c r="L424" s="464"/>
      <c r="M424" s="164"/>
      <c r="N424" s="465"/>
      <c r="O424" s="462"/>
      <c r="P424" s="486"/>
      <c r="Q424" s="487"/>
      <c r="R424" s="164"/>
      <c r="S424" s="467"/>
      <c r="T424" s="468"/>
      <c r="U424" s="469"/>
      <c r="V424" s="457"/>
      <c r="W424" s="457"/>
      <c r="X424" s="457"/>
      <c r="Y424" s="457"/>
      <c r="Z424" s="457"/>
    </row>
    <row r="425" spans="1:26" ht="18" customHeight="1">
      <c r="A425" s="464"/>
      <c r="B425" s="458"/>
      <c r="C425" s="483"/>
      <c r="D425" s="464"/>
      <c r="E425" s="464"/>
      <c r="F425" s="484"/>
      <c r="G425" s="460"/>
      <c r="H425" s="485"/>
      <c r="I425" s="164"/>
      <c r="J425" s="462"/>
      <c r="K425" s="481"/>
      <c r="L425" s="464"/>
      <c r="M425" s="164"/>
      <c r="N425" s="465"/>
      <c r="O425" s="462"/>
      <c r="P425" s="486"/>
      <c r="Q425" s="487"/>
      <c r="R425" s="164"/>
      <c r="S425" s="467"/>
      <c r="T425" s="468"/>
      <c r="U425" s="469"/>
      <c r="V425" s="457"/>
      <c r="W425" s="457"/>
      <c r="X425" s="457"/>
      <c r="Y425" s="457"/>
      <c r="Z425" s="457"/>
    </row>
    <row r="426" spans="1:26" ht="18" customHeight="1">
      <c r="A426" s="464"/>
      <c r="B426" s="458"/>
      <c r="C426" s="483"/>
      <c r="D426" s="464"/>
      <c r="E426" s="464"/>
      <c r="F426" s="484"/>
      <c r="G426" s="460"/>
      <c r="H426" s="485"/>
      <c r="I426" s="164"/>
      <c r="J426" s="462"/>
      <c r="K426" s="481"/>
      <c r="L426" s="464"/>
      <c r="M426" s="164"/>
      <c r="N426" s="465"/>
      <c r="O426" s="462"/>
      <c r="P426" s="486"/>
      <c r="Q426" s="487"/>
      <c r="R426" s="164"/>
      <c r="S426" s="467"/>
      <c r="T426" s="468"/>
      <c r="U426" s="469"/>
      <c r="V426" s="457"/>
      <c r="W426" s="457"/>
      <c r="X426" s="457"/>
      <c r="Y426" s="457"/>
      <c r="Z426" s="457"/>
    </row>
    <row r="427" spans="1:26" ht="18" customHeight="1">
      <c r="A427" s="464"/>
      <c r="B427" s="458"/>
      <c r="C427" s="483"/>
      <c r="D427" s="464"/>
      <c r="E427" s="464"/>
      <c r="F427" s="484"/>
      <c r="G427" s="460"/>
      <c r="H427" s="485"/>
      <c r="I427" s="164"/>
      <c r="J427" s="462"/>
      <c r="K427" s="481"/>
      <c r="L427" s="464"/>
      <c r="M427" s="164"/>
      <c r="N427" s="465"/>
      <c r="O427" s="462"/>
      <c r="P427" s="486"/>
      <c r="Q427" s="487"/>
      <c r="R427" s="164"/>
      <c r="S427" s="467"/>
      <c r="T427" s="468"/>
      <c r="U427" s="469"/>
      <c r="V427" s="457"/>
      <c r="W427" s="457"/>
      <c r="X427" s="457"/>
      <c r="Y427" s="457"/>
      <c r="Z427" s="457"/>
    </row>
    <row r="428" spans="1:26" ht="18" customHeight="1">
      <c r="A428" s="464"/>
      <c r="B428" s="458"/>
      <c r="C428" s="483"/>
      <c r="D428" s="464"/>
      <c r="E428" s="464"/>
      <c r="F428" s="484"/>
      <c r="G428" s="460"/>
      <c r="H428" s="485"/>
      <c r="I428" s="164"/>
      <c r="J428" s="462"/>
      <c r="K428" s="481"/>
      <c r="L428" s="464"/>
      <c r="M428" s="164"/>
      <c r="N428" s="465"/>
      <c r="O428" s="462"/>
      <c r="P428" s="486"/>
      <c r="Q428" s="487"/>
      <c r="R428" s="164"/>
      <c r="S428" s="467"/>
      <c r="T428" s="468"/>
      <c r="U428" s="469"/>
      <c r="V428" s="457"/>
      <c r="W428" s="457"/>
      <c r="X428" s="457"/>
      <c r="Y428" s="457"/>
      <c r="Z428" s="457"/>
    </row>
    <row r="429" spans="1:26" ht="18" customHeight="1">
      <c r="A429" s="464"/>
      <c r="B429" s="458"/>
      <c r="C429" s="483"/>
      <c r="D429" s="464"/>
      <c r="E429" s="464"/>
      <c r="F429" s="484"/>
      <c r="G429" s="460"/>
      <c r="H429" s="485"/>
      <c r="I429" s="164"/>
      <c r="J429" s="462"/>
      <c r="K429" s="481"/>
      <c r="L429" s="464"/>
      <c r="M429" s="164"/>
      <c r="N429" s="465"/>
      <c r="O429" s="462"/>
      <c r="P429" s="486"/>
      <c r="Q429" s="487"/>
      <c r="R429" s="164"/>
      <c r="S429" s="467"/>
      <c r="T429" s="468"/>
      <c r="U429" s="469"/>
      <c r="V429" s="457"/>
      <c r="W429" s="457"/>
      <c r="X429" s="457"/>
      <c r="Y429" s="457"/>
      <c r="Z429" s="457"/>
    </row>
    <row r="430" spans="1:26" ht="18" customHeight="1">
      <c r="A430" s="464"/>
      <c r="B430" s="458"/>
      <c r="C430" s="483"/>
      <c r="D430" s="464"/>
      <c r="E430" s="464"/>
      <c r="F430" s="484"/>
      <c r="G430" s="460"/>
      <c r="H430" s="485"/>
      <c r="I430" s="164"/>
      <c r="J430" s="462"/>
      <c r="K430" s="481"/>
      <c r="L430" s="464"/>
      <c r="M430" s="164"/>
      <c r="N430" s="465"/>
      <c r="O430" s="462"/>
      <c r="P430" s="486"/>
      <c r="Q430" s="487"/>
      <c r="R430" s="164"/>
      <c r="S430" s="467"/>
      <c r="T430" s="468"/>
      <c r="U430" s="469"/>
      <c r="V430" s="457"/>
      <c r="W430" s="457"/>
      <c r="X430" s="457"/>
      <c r="Y430" s="457"/>
      <c r="Z430" s="457"/>
    </row>
    <row r="431" spans="1:26" ht="18" customHeight="1">
      <c r="A431" s="464"/>
      <c r="B431" s="458"/>
      <c r="C431" s="483"/>
      <c r="D431" s="464"/>
      <c r="E431" s="464"/>
      <c r="F431" s="484"/>
      <c r="G431" s="460"/>
      <c r="H431" s="485"/>
      <c r="I431" s="164"/>
      <c r="J431" s="462"/>
      <c r="K431" s="481"/>
      <c r="L431" s="464"/>
      <c r="M431" s="164"/>
      <c r="N431" s="465"/>
      <c r="O431" s="462"/>
      <c r="P431" s="486"/>
      <c r="Q431" s="487"/>
      <c r="R431" s="164"/>
      <c r="S431" s="467"/>
      <c r="T431" s="468"/>
      <c r="U431" s="469"/>
      <c r="V431" s="457"/>
      <c r="W431" s="457"/>
      <c r="X431" s="457"/>
      <c r="Y431" s="457"/>
      <c r="Z431" s="457"/>
    </row>
    <row r="432" spans="1:26" ht="18" customHeight="1">
      <c r="A432" s="464"/>
      <c r="B432" s="458"/>
      <c r="C432" s="483"/>
      <c r="D432" s="464"/>
      <c r="E432" s="464"/>
      <c r="F432" s="484"/>
      <c r="G432" s="460"/>
      <c r="H432" s="485"/>
      <c r="I432" s="164"/>
      <c r="J432" s="462"/>
      <c r="K432" s="481"/>
      <c r="L432" s="464"/>
      <c r="M432" s="164"/>
      <c r="N432" s="465"/>
      <c r="O432" s="462"/>
      <c r="P432" s="486"/>
      <c r="Q432" s="487"/>
      <c r="R432" s="164"/>
      <c r="S432" s="467"/>
      <c r="T432" s="468"/>
      <c r="U432" s="469"/>
      <c r="V432" s="457"/>
      <c r="W432" s="457"/>
      <c r="X432" s="457"/>
      <c r="Y432" s="457"/>
      <c r="Z432" s="457"/>
    </row>
    <row r="433" spans="1:26" ht="18" customHeight="1">
      <c r="A433" s="464"/>
      <c r="B433" s="458"/>
      <c r="C433" s="483"/>
      <c r="D433" s="464"/>
      <c r="E433" s="464"/>
      <c r="F433" s="484"/>
      <c r="G433" s="460"/>
      <c r="H433" s="485"/>
      <c r="I433" s="164"/>
      <c r="J433" s="462"/>
      <c r="K433" s="481"/>
      <c r="L433" s="464"/>
      <c r="M433" s="164"/>
      <c r="N433" s="465"/>
      <c r="O433" s="462"/>
      <c r="P433" s="486"/>
      <c r="Q433" s="487"/>
      <c r="R433" s="164"/>
      <c r="S433" s="467"/>
      <c r="T433" s="468"/>
      <c r="U433" s="469"/>
      <c r="V433" s="457"/>
      <c r="W433" s="457"/>
      <c r="X433" s="457"/>
      <c r="Y433" s="457"/>
      <c r="Z433" s="457"/>
    </row>
    <row r="434" spans="1:26" ht="18" customHeight="1">
      <c r="A434" s="464"/>
      <c r="B434" s="458"/>
      <c r="C434" s="483"/>
      <c r="D434" s="464"/>
      <c r="E434" s="464"/>
      <c r="F434" s="484"/>
      <c r="G434" s="460"/>
      <c r="H434" s="485"/>
      <c r="I434" s="164"/>
      <c r="J434" s="462"/>
      <c r="K434" s="481"/>
      <c r="L434" s="464"/>
      <c r="M434" s="164"/>
      <c r="N434" s="465"/>
      <c r="O434" s="462"/>
      <c r="P434" s="486"/>
      <c r="Q434" s="487"/>
      <c r="R434" s="164"/>
      <c r="S434" s="467"/>
      <c r="T434" s="468"/>
      <c r="U434" s="469"/>
      <c r="V434" s="457"/>
      <c r="W434" s="457"/>
      <c r="X434" s="457"/>
      <c r="Y434" s="457"/>
      <c r="Z434" s="457"/>
    </row>
    <row r="435" spans="1:26" ht="18" customHeight="1">
      <c r="A435" s="464"/>
      <c r="B435" s="458"/>
      <c r="C435" s="483"/>
      <c r="D435" s="464"/>
      <c r="E435" s="464"/>
      <c r="F435" s="484"/>
      <c r="G435" s="460"/>
      <c r="H435" s="485"/>
      <c r="I435" s="164"/>
      <c r="J435" s="462"/>
      <c r="K435" s="481"/>
      <c r="L435" s="464"/>
      <c r="M435" s="164"/>
      <c r="N435" s="465"/>
      <c r="O435" s="462"/>
      <c r="P435" s="486"/>
      <c r="Q435" s="487"/>
      <c r="R435" s="164"/>
      <c r="S435" s="467"/>
      <c r="T435" s="468"/>
      <c r="U435" s="469"/>
      <c r="V435" s="457"/>
      <c r="W435" s="457"/>
      <c r="X435" s="457"/>
      <c r="Y435" s="457"/>
      <c r="Z435" s="457"/>
    </row>
    <row r="436" spans="1:26" ht="18" customHeight="1">
      <c r="A436" s="464"/>
      <c r="B436" s="458"/>
      <c r="C436" s="483"/>
      <c r="D436" s="464"/>
      <c r="E436" s="464"/>
      <c r="F436" s="484"/>
      <c r="G436" s="460"/>
      <c r="H436" s="485"/>
      <c r="I436" s="164"/>
      <c r="J436" s="462"/>
      <c r="K436" s="481"/>
      <c r="L436" s="464"/>
      <c r="M436" s="164"/>
      <c r="N436" s="465"/>
      <c r="O436" s="462"/>
      <c r="P436" s="486"/>
      <c r="Q436" s="487"/>
      <c r="R436" s="164"/>
      <c r="S436" s="467"/>
      <c r="T436" s="468"/>
      <c r="U436" s="469"/>
      <c r="V436" s="457"/>
      <c r="W436" s="457"/>
      <c r="X436" s="457"/>
      <c r="Y436" s="457"/>
      <c r="Z436" s="457"/>
    </row>
    <row r="437" spans="1:26" ht="18" customHeight="1">
      <c r="A437" s="464"/>
      <c r="B437" s="458"/>
      <c r="C437" s="483"/>
      <c r="D437" s="464"/>
      <c r="E437" s="464"/>
      <c r="F437" s="484"/>
      <c r="G437" s="460"/>
      <c r="H437" s="485"/>
      <c r="I437" s="164"/>
      <c r="J437" s="462"/>
      <c r="K437" s="481"/>
      <c r="L437" s="464"/>
      <c r="M437" s="164"/>
      <c r="N437" s="465"/>
      <c r="O437" s="462"/>
      <c r="P437" s="486"/>
      <c r="Q437" s="487"/>
      <c r="R437" s="164"/>
      <c r="S437" s="467"/>
      <c r="T437" s="468"/>
      <c r="U437" s="469"/>
      <c r="V437" s="457"/>
      <c r="W437" s="457"/>
      <c r="X437" s="457"/>
      <c r="Y437" s="457"/>
      <c r="Z437" s="457"/>
    </row>
    <row r="438" spans="1:26" ht="18" customHeight="1">
      <c r="A438" s="464"/>
      <c r="B438" s="458"/>
      <c r="C438" s="483"/>
      <c r="D438" s="464"/>
      <c r="E438" s="464"/>
      <c r="F438" s="484"/>
      <c r="G438" s="460"/>
      <c r="H438" s="485"/>
      <c r="I438" s="164"/>
      <c r="J438" s="462"/>
      <c r="K438" s="481"/>
      <c r="L438" s="464"/>
      <c r="M438" s="164"/>
      <c r="N438" s="465"/>
      <c r="O438" s="462"/>
      <c r="P438" s="486"/>
      <c r="Q438" s="487"/>
      <c r="R438" s="164"/>
      <c r="S438" s="467"/>
      <c r="T438" s="468"/>
      <c r="U438" s="469"/>
      <c r="V438" s="457"/>
      <c r="W438" s="457"/>
      <c r="X438" s="457"/>
      <c r="Y438" s="457"/>
      <c r="Z438" s="457"/>
    </row>
    <row r="439" spans="1:26" ht="18" customHeight="1">
      <c r="A439" s="464"/>
      <c r="B439" s="458"/>
      <c r="C439" s="483"/>
      <c r="D439" s="464"/>
      <c r="E439" s="464"/>
      <c r="F439" s="484"/>
      <c r="G439" s="460"/>
      <c r="H439" s="485"/>
      <c r="I439" s="164"/>
      <c r="J439" s="462"/>
      <c r="K439" s="481"/>
      <c r="L439" s="464"/>
      <c r="M439" s="164"/>
      <c r="N439" s="465"/>
      <c r="O439" s="462"/>
      <c r="P439" s="486"/>
      <c r="Q439" s="487"/>
      <c r="R439" s="164"/>
      <c r="S439" s="467"/>
      <c r="T439" s="468"/>
      <c r="U439" s="469"/>
      <c r="V439" s="457"/>
      <c r="W439" s="457"/>
      <c r="X439" s="457"/>
      <c r="Y439" s="457"/>
      <c r="Z439" s="457"/>
    </row>
    <row r="440" spans="1:26" ht="18" customHeight="1">
      <c r="A440" s="464"/>
      <c r="B440" s="458"/>
      <c r="C440" s="483"/>
      <c r="D440" s="464"/>
      <c r="E440" s="464"/>
      <c r="F440" s="484"/>
      <c r="G440" s="460"/>
      <c r="H440" s="485"/>
      <c r="I440" s="164"/>
      <c r="J440" s="462"/>
      <c r="K440" s="481"/>
      <c r="L440" s="464"/>
      <c r="M440" s="164"/>
      <c r="N440" s="465"/>
      <c r="O440" s="462"/>
      <c r="P440" s="486"/>
      <c r="Q440" s="487"/>
      <c r="R440" s="164"/>
      <c r="S440" s="467"/>
      <c r="T440" s="468"/>
      <c r="U440" s="469"/>
      <c r="V440" s="457"/>
      <c r="W440" s="457"/>
      <c r="X440" s="457"/>
      <c r="Y440" s="457"/>
      <c r="Z440" s="457"/>
    </row>
    <row r="441" spans="1:26" ht="18" customHeight="1">
      <c r="A441" s="464"/>
      <c r="B441" s="458"/>
      <c r="C441" s="483"/>
      <c r="D441" s="464"/>
      <c r="E441" s="464"/>
      <c r="F441" s="484"/>
      <c r="G441" s="460"/>
      <c r="H441" s="485"/>
      <c r="I441" s="164"/>
      <c r="J441" s="462"/>
      <c r="K441" s="481"/>
      <c r="L441" s="464"/>
      <c r="M441" s="164"/>
      <c r="N441" s="465"/>
      <c r="O441" s="462"/>
      <c r="P441" s="486"/>
      <c r="Q441" s="487"/>
      <c r="R441" s="164"/>
      <c r="S441" s="467"/>
      <c r="T441" s="468"/>
      <c r="U441" s="469"/>
      <c r="V441" s="457"/>
      <c r="W441" s="457"/>
      <c r="X441" s="457"/>
      <c r="Y441" s="457"/>
      <c r="Z441" s="457"/>
    </row>
    <row r="442" spans="1:26" ht="18" customHeight="1">
      <c r="A442" s="464"/>
      <c r="B442" s="458"/>
      <c r="C442" s="483"/>
      <c r="D442" s="464"/>
      <c r="E442" s="464"/>
      <c r="F442" s="484"/>
      <c r="G442" s="460"/>
      <c r="H442" s="485"/>
      <c r="I442" s="164"/>
      <c r="J442" s="462"/>
      <c r="K442" s="481"/>
      <c r="L442" s="464"/>
      <c r="M442" s="164"/>
      <c r="N442" s="465"/>
      <c r="O442" s="462"/>
      <c r="P442" s="486"/>
      <c r="Q442" s="487"/>
      <c r="R442" s="164"/>
      <c r="S442" s="467"/>
      <c r="T442" s="468"/>
      <c r="U442" s="469"/>
      <c r="V442" s="457"/>
      <c r="W442" s="457"/>
      <c r="X442" s="457"/>
      <c r="Y442" s="457"/>
      <c r="Z442" s="457"/>
    </row>
    <row r="443" spans="1:26" ht="18" customHeight="1">
      <c r="A443" s="464"/>
      <c r="B443" s="458"/>
      <c r="C443" s="483"/>
      <c r="D443" s="464"/>
      <c r="E443" s="464"/>
      <c r="F443" s="484"/>
      <c r="G443" s="460"/>
      <c r="H443" s="485"/>
      <c r="I443" s="164"/>
      <c r="J443" s="462"/>
      <c r="K443" s="481"/>
      <c r="L443" s="464"/>
      <c r="M443" s="164"/>
      <c r="N443" s="465"/>
      <c r="O443" s="462"/>
      <c r="P443" s="486"/>
      <c r="Q443" s="487"/>
      <c r="R443" s="164"/>
      <c r="S443" s="467"/>
      <c r="T443" s="468"/>
      <c r="U443" s="469"/>
      <c r="V443" s="457"/>
      <c r="W443" s="457"/>
      <c r="X443" s="457"/>
      <c r="Y443" s="457"/>
      <c r="Z443" s="457"/>
    </row>
    <row r="444" spans="1:26" ht="18" customHeight="1">
      <c r="A444" s="464"/>
      <c r="B444" s="458"/>
      <c r="C444" s="483"/>
      <c r="D444" s="464"/>
      <c r="E444" s="464"/>
      <c r="F444" s="484"/>
      <c r="G444" s="460"/>
      <c r="H444" s="485"/>
      <c r="I444" s="164"/>
      <c r="J444" s="462"/>
      <c r="K444" s="481"/>
      <c r="L444" s="464"/>
      <c r="M444" s="164"/>
      <c r="N444" s="465"/>
      <c r="O444" s="462"/>
      <c r="P444" s="486"/>
      <c r="Q444" s="487"/>
      <c r="R444" s="164"/>
      <c r="S444" s="467"/>
      <c r="T444" s="468"/>
      <c r="U444" s="469"/>
      <c r="V444" s="457"/>
      <c r="W444" s="457"/>
      <c r="X444" s="457"/>
      <c r="Y444" s="457"/>
      <c r="Z444" s="457"/>
    </row>
    <row r="445" spans="1:26" ht="18" customHeight="1">
      <c r="A445" s="464"/>
      <c r="B445" s="458"/>
      <c r="C445" s="483"/>
      <c r="D445" s="464"/>
      <c r="E445" s="464"/>
      <c r="F445" s="484"/>
      <c r="G445" s="460"/>
      <c r="H445" s="485"/>
      <c r="I445" s="164"/>
      <c r="J445" s="462"/>
      <c r="K445" s="481"/>
      <c r="L445" s="464"/>
      <c r="M445" s="164"/>
      <c r="N445" s="465"/>
      <c r="O445" s="462"/>
      <c r="P445" s="486"/>
      <c r="Q445" s="487"/>
      <c r="R445" s="164"/>
      <c r="S445" s="467"/>
      <c r="T445" s="468"/>
      <c r="U445" s="469"/>
      <c r="V445" s="457"/>
      <c r="W445" s="457"/>
      <c r="X445" s="457"/>
      <c r="Y445" s="457"/>
      <c r="Z445" s="457"/>
    </row>
    <row r="446" spans="1:26" ht="18" customHeight="1">
      <c r="A446" s="464"/>
      <c r="B446" s="458"/>
      <c r="C446" s="483"/>
      <c r="D446" s="464"/>
      <c r="E446" s="464"/>
      <c r="F446" s="484"/>
      <c r="G446" s="460"/>
      <c r="H446" s="485"/>
      <c r="I446" s="164"/>
      <c r="J446" s="462"/>
      <c r="K446" s="481"/>
      <c r="L446" s="464"/>
      <c r="M446" s="164"/>
      <c r="N446" s="465"/>
      <c r="O446" s="462"/>
      <c r="P446" s="486"/>
      <c r="Q446" s="487"/>
      <c r="R446" s="164"/>
      <c r="S446" s="467"/>
      <c r="T446" s="468"/>
      <c r="U446" s="469"/>
      <c r="V446" s="457"/>
      <c r="W446" s="457"/>
      <c r="X446" s="457"/>
      <c r="Y446" s="457"/>
      <c r="Z446" s="457"/>
    </row>
    <row r="447" spans="1:26" ht="18" customHeight="1">
      <c r="A447" s="464"/>
      <c r="B447" s="458"/>
      <c r="C447" s="483"/>
      <c r="D447" s="464"/>
      <c r="E447" s="464"/>
      <c r="F447" s="484"/>
      <c r="G447" s="460"/>
      <c r="H447" s="485"/>
      <c r="I447" s="164"/>
      <c r="J447" s="462"/>
      <c r="K447" s="481"/>
      <c r="L447" s="464"/>
      <c r="M447" s="164"/>
      <c r="N447" s="465"/>
      <c r="O447" s="462"/>
      <c r="P447" s="486"/>
      <c r="Q447" s="487"/>
      <c r="R447" s="164"/>
      <c r="S447" s="467"/>
      <c r="T447" s="468"/>
      <c r="U447" s="469"/>
      <c r="V447" s="457"/>
      <c r="W447" s="457"/>
      <c r="X447" s="457"/>
      <c r="Y447" s="457"/>
      <c r="Z447" s="457"/>
    </row>
    <row r="448" spans="1:26" ht="18" customHeight="1">
      <c r="A448" s="464"/>
      <c r="B448" s="458"/>
      <c r="C448" s="483"/>
      <c r="D448" s="464"/>
      <c r="E448" s="464"/>
      <c r="F448" s="484"/>
      <c r="G448" s="460"/>
      <c r="H448" s="485"/>
      <c r="I448" s="164"/>
      <c r="J448" s="462"/>
      <c r="K448" s="481"/>
      <c r="L448" s="464"/>
      <c r="M448" s="164"/>
      <c r="N448" s="465"/>
      <c r="O448" s="462"/>
      <c r="P448" s="486"/>
      <c r="Q448" s="487"/>
      <c r="R448" s="164"/>
      <c r="S448" s="467"/>
      <c r="T448" s="468"/>
      <c r="U448" s="469"/>
      <c r="V448" s="457"/>
      <c r="W448" s="457"/>
      <c r="X448" s="457"/>
      <c r="Y448" s="457"/>
      <c r="Z448" s="457"/>
    </row>
    <row r="449" spans="1:26" ht="18" customHeight="1">
      <c r="A449" s="464"/>
      <c r="B449" s="458"/>
      <c r="C449" s="483"/>
      <c r="D449" s="464"/>
      <c r="E449" s="464"/>
      <c r="F449" s="484"/>
      <c r="G449" s="460"/>
      <c r="H449" s="485"/>
      <c r="I449" s="164"/>
      <c r="J449" s="462"/>
      <c r="K449" s="481"/>
      <c r="L449" s="464"/>
      <c r="M449" s="164"/>
      <c r="N449" s="465"/>
      <c r="O449" s="462"/>
      <c r="P449" s="486"/>
      <c r="Q449" s="487"/>
      <c r="R449" s="164"/>
      <c r="S449" s="467"/>
      <c r="T449" s="468"/>
      <c r="U449" s="469"/>
      <c r="V449" s="457"/>
      <c r="W449" s="457"/>
      <c r="X449" s="457"/>
      <c r="Y449" s="457"/>
      <c r="Z449" s="457"/>
    </row>
    <row r="450" spans="1:26" ht="18" customHeight="1">
      <c r="A450" s="464"/>
      <c r="B450" s="458"/>
      <c r="C450" s="483"/>
      <c r="D450" s="464"/>
      <c r="E450" s="464"/>
      <c r="F450" s="484"/>
      <c r="G450" s="460"/>
      <c r="H450" s="485"/>
      <c r="I450" s="164"/>
      <c r="J450" s="462"/>
      <c r="K450" s="481"/>
      <c r="L450" s="464"/>
      <c r="M450" s="164"/>
      <c r="N450" s="465"/>
      <c r="O450" s="462"/>
      <c r="P450" s="486"/>
      <c r="Q450" s="487"/>
      <c r="R450" s="164"/>
      <c r="S450" s="467"/>
      <c r="T450" s="468"/>
      <c r="U450" s="469"/>
      <c r="V450" s="457"/>
      <c r="W450" s="457"/>
      <c r="X450" s="457"/>
      <c r="Y450" s="457"/>
      <c r="Z450" s="457"/>
    </row>
    <row r="451" spans="1:26" ht="18" customHeight="1">
      <c r="A451" s="464"/>
      <c r="B451" s="458"/>
      <c r="C451" s="483"/>
      <c r="D451" s="464"/>
      <c r="E451" s="464"/>
      <c r="F451" s="484"/>
      <c r="G451" s="460"/>
      <c r="H451" s="485"/>
      <c r="I451" s="164"/>
      <c r="J451" s="462"/>
      <c r="K451" s="481"/>
      <c r="L451" s="464"/>
      <c r="M451" s="164"/>
      <c r="N451" s="465"/>
      <c r="O451" s="462"/>
      <c r="P451" s="486"/>
      <c r="Q451" s="487"/>
      <c r="R451" s="164"/>
      <c r="S451" s="467"/>
      <c r="T451" s="468"/>
      <c r="U451" s="469"/>
      <c r="V451" s="457"/>
      <c r="W451" s="457"/>
      <c r="X451" s="457"/>
      <c r="Y451" s="457"/>
      <c r="Z451" s="457"/>
    </row>
    <row r="452" spans="1:26" ht="18" customHeight="1">
      <c r="A452" s="464"/>
      <c r="B452" s="458"/>
      <c r="C452" s="483"/>
      <c r="D452" s="464"/>
      <c r="E452" s="464"/>
      <c r="F452" s="484"/>
      <c r="G452" s="460"/>
      <c r="H452" s="485"/>
      <c r="I452" s="164"/>
      <c r="J452" s="462"/>
      <c r="K452" s="481"/>
      <c r="L452" s="464"/>
      <c r="M452" s="164"/>
      <c r="N452" s="465"/>
      <c r="O452" s="462"/>
      <c r="P452" s="486"/>
      <c r="Q452" s="487"/>
      <c r="R452" s="164"/>
      <c r="S452" s="467"/>
      <c r="T452" s="468"/>
      <c r="U452" s="469"/>
      <c r="V452" s="457"/>
      <c r="W452" s="457"/>
      <c r="X452" s="457"/>
      <c r="Y452" s="457"/>
      <c r="Z452" s="457"/>
    </row>
    <row r="453" spans="1:26" ht="18" customHeight="1">
      <c r="A453" s="464"/>
      <c r="B453" s="458"/>
      <c r="C453" s="483"/>
      <c r="D453" s="464"/>
      <c r="E453" s="464"/>
      <c r="F453" s="484"/>
      <c r="G453" s="460"/>
      <c r="H453" s="485"/>
      <c r="I453" s="164"/>
      <c r="J453" s="462"/>
      <c r="K453" s="481"/>
      <c r="L453" s="464"/>
      <c r="M453" s="164"/>
      <c r="N453" s="465"/>
      <c r="O453" s="462"/>
      <c r="P453" s="486"/>
      <c r="Q453" s="487"/>
      <c r="R453" s="164"/>
      <c r="S453" s="467"/>
      <c r="T453" s="468"/>
      <c r="U453" s="469"/>
      <c r="V453" s="457"/>
      <c r="W453" s="457"/>
      <c r="X453" s="457"/>
      <c r="Y453" s="457"/>
      <c r="Z453" s="457"/>
    </row>
    <row r="454" spans="1:26" ht="18" customHeight="1">
      <c r="A454" s="464"/>
      <c r="B454" s="458"/>
      <c r="C454" s="483"/>
      <c r="D454" s="464"/>
      <c r="E454" s="464"/>
      <c r="F454" s="484"/>
      <c r="G454" s="460"/>
      <c r="H454" s="485"/>
      <c r="I454" s="164"/>
      <c r="J454" s="462"/>
      <c r="K454" s="481"/>
      <c r="L454" s="464"/>
      <c r="M454" s="164"/>
      <c r="N454" s="465"/>
      <c r="O454" s="462"/>
      <c r="P454" s="486"/>
      <c r="Q454" s="487"/>
      <c r="R454" s="164"/>
      <c r="S454" s="467"/>
      <c r="T454" s="468"/>
      <c r="U454" s="469"/>
      <c r="V454" s="457"/>
      <c r="W454" s="457"/>
      <c r="X454" s="457"/>
      <c r="Y454" s="457"/>
      <c r="Z454" s="457"/>
    </row>
    <row r="455" spans="1:26" ht="18" customHeight="1">
      <c r="A455" s="464"/>
      <c r="B455" s="458"/>
      <c r="C455" s="483"/>
      <c r="D455" s="464"/>
      <c r="E455" s="464"/>
      <c r="F455" s="484"/>
      <c r="G455" s="460"/>
      <c r="H455" s="485"/>
      <c r="I455" s="164"/>
      <c r="J455" s="462"/>
      <c r="K455" s="481"/>
      <c r="L455" s="464"/>
      <c r="M455" s="164"/>
      <c r="N455" s="465"/>
      <c r="O455" s="462"/>
      <c r="P455" s="486"/>
      <c r="Q455" s="487"/>
      <c r="R455" s="164"/>
      <c r="S455" s="467"/>
      <c r="T455" s="468"/>
      <c r="U455" s="469"/>
      <c r="V455" s="457"/>
      <c r="W455" s="457"/>
      <c r="X455" s="457"/>
      <c r="Y455" s="457"/>
      <c r="Z455" s="457"/>
    </row>
    <row r="456" spans="1:26" ht="18" customHeight="1">
      <c r="A456" s="464"/>
      <c r="B456" s="458"/>
      <c r="C456" s="483"/>
      <c r="D456" s="464"/>
      <c r="E456" s="464"/>
      <c r="F456" s="484"/>
      <c r="G456" s="460"/>
      <c r="H456" s="485"/>
      <c r="I456" s="164"/>
      <c r="J456" s="462"/>
      <c r="K456" s="481"/>
      <c r="L456" s="464"/>
      <c r="M456" s="164"/>
      <c r="N456" s="465"/>
      <c r="O456" s="462"/>
      <c r="P456" s="486"/>
      <c r="Q456" s="487"/>
      <c r="R456" s="164"/>
      <c r="S456" s="467"/>
      <c r="T456" s="468"/>
      <c r="U456" s="469"/>
      <c r="V456" s="457"/>
      <c r="W456" s="457"/>
      <c r="X456" s="457"/>
      <c r="Y456" s="457"/>
      <c r="Z456" s="457"/>
    </row>
    <row r="457" spans="1:26" ht="18" customHeight="1">
      <c r="A457" s="464"/>
      <c r="B457" s="458"/>
      <c r="C457" s="483"/>
      <c r="D457" s="464"/>
      <c r="E457" s="464"/>
      <c r="F457" s="484"/>
      <c r="G457" s="460"/>
      <c r="H457" s="485"/>
      <c r="I457" s="164"/>
      <c r="J457" s="462"/>
      <c r="K457" s="481"/>
      <c r="L457" s="464"/>
      <c r="M457" s="164"/>
      <c r="N457" s="465"/>
      <c r="O457" s="462"/>
      <c r="P457" s="486"/>
      <c r="Q457" s="487"/>
      <c r="R457" s="164"/>
      <c r="S457" s="467"/>
      <c r="T457" s="468"/>
      <c r="U457" s="469"/>
      <c r="V457" s="457"/>
      <c r="W457" s="457"/>
      <c r="X457" s="457"/>
      <c r="Y457" s="457"/>
      <c r="Z457" s="457"/>
    </row>
    <row r="458" spans="1:26" ht="18" customHeight="1">
      <c r="A458" s="464"/>
      <c r="B458" s="458"/>
      <c r="C458" s="483"/>
      <c r="D458" s="464"/>
      <c r="E458" s="464"/>
      <c r="F458" s="484"/>
      <c r="G458" s="460"/>
      <c r="H458" s="485"/>
      <c r="I458" s="164"/>
      <c r="J458" s="462"/>
      <c r="K458" s="481"/>
      <c r="L458" s="464"/>
      <c r="M458" s="164"/>
      <c r="N458" s="465"/>
      <c r="O458" s="462"/>
      <c r="P458" s="486"/>
      <c r="Q458" s="487"/>
      <c r="R458" s="164"/>
      <c r="S458" s="467"/>
      <c r="T458" s="468"/>
      <c r="U458" s="469"/>
      <c r="V458" s="457"/>
      <c r="W458" s="457"/>
      <c r="X458" s="457"/>
      <c r="Y458" s="457"/>
      <c r="Z458" s="457"/>
    </row>
    <row r="459" spans="1:26" ht="18" customHeight="1">
      <c r="A459" s="464"/>
      <c r="B459" s="458"/>
      <c r="C459" s="483"/>
      <c r="D459" s="464"/>
      <c r="E459" s="464"/>
      <c r="F459" s="484"/>
      <c r="G459" s="460"/>
      <c r="H459" s="485"/>
      <c r="I459" s="164"/>
      <c r="J459" s="462"/>
      <c r="K459" s="481"/>
      <c r="L459" s="464"/>
      <c r="M459" s="164"/>
      <c r="N459" s="465"/>
      <c r="O459" s="462"/>
      <c r="P459" s="486"/>
      <c r="Q459" s="487"/>
      <c r="R459" s="164"/>
      <c r="S459" s="467"/>
      <c r="T459" s="468"/>
      <c r="U459" s="469"/>
      <c r="V459" s="457"/>
      <c r="W459" s="457"/>
      <c r="X459" s="457"/>
      <c r="Y459" s="457"/>
      <c r="Z459" s="457"/>
    </row>
    <row r="460" spans="1:26" ht="18" customHeight="1">
      <c r="A460" s="464"/>
      <c r="B460" s="458"/>
      <c r="C460" s="483"/>
      <c r="D460" s="464"/>
      <c r="E460" s="464"/>
      <c r="F460" s="484"/>
      <c r="G460" s="460"/>
      <c r="H460" s="485"/>
      <c r="I460" s="164"/>
      <c r="J460" s="462"/>
      <c r="K460" s="481"/>
      <c r="L460" s="464"/>
      <c r="M460" s="164"/>
      <c r="N460" s="465"/>
      <c r="O460" s="462"/>
      <c r="P460" s="486"/>
      <c r="Q460" s="487"/>
      <c r="R460" s="164"/>
      <c r="S460" s="467"/>
      <c r="T460" s="468"/>
      <c r="U460" s="469"/>
      <c r="V460" s="457"/>
      <c r="W460" s="457"/>
      <c r="X460" s="457"/>
      <c r="Y460" s="457"/>
      <c r="Z460" s="457"/>
    </row>
    <row r="461" spans="1:26" ht="18" customHeight="1">
      <c r="A461" s="464"/>
      <c r="B461" s="458"/>
      <c r="C461" s="483"/>
      <c r="D461" s="464"/>
      <c r="E461" s="464"/>
      <c r="F461" s="484"/>
      <c r="G461" s="460"/>
      <c r="H461" s="485"/>
      <c r="I461" s="164"/>
      <c r="J461" s="462"/>
      <c r="K461" s="481"/>
      <c r="L461" s="464"/>
      <c r="M461" s="164"/>
      <c r="N461" s="465"/>
      <c r="O461" s="462"/>
      <c r="P461" s="486"/>
      <c r="Q461" s="487"/>
      <c r="R461" s="164"/>
      <c r="S461" s="467"/>
      <c r="T461" s="468"/>
      <c r="U461" s="469"/>
      <c r="V461" s="457"/>
      <c r="W461" s="457"/>
      <c r="X461" s="457"/>
      <c r="Y461" s="457"/>
      <c r="Z461" s="457"/>
    </row>
    <row r="462" spans="1:26" ht="18" customHeight="1">
      <c r="A462" s="464"/>
      <c r="B462" s="458"/>
      <c r="C462" s="483"/>
      <c r="D462" s="464"/>
      <c r="E462" s="464"/>
      <c r="F462" s="484"/>
      <c r="G462" s="460"/>
      <c r="H462" s="485"/>
      <c r="I462" s="164"/>
      <c r="J462" s="462"/>
      <c r="K462" s="481"/>
      <c r="L462" s="464"/>
      <c r="M462" s="164"/>
      <c r="N462" s="465"/>
      <c r="O462" s="462"/>
      <c r="P462" s="486"/>
      <c r="Q462" s="487"/>
      <c r="R462" s="164"/>
      <c r="S462" s="467"/>
      <c r="T462" s="468"/>
      <c r="U462" s="469"/>
      <c r="V462" s="457"/>
      <c r="W462" s="457"/>
      <c r="X462" s="457"/>
      <c r="Y462" s="457"/>
      <c r="Z462" s="457"/>
    </row>
    <row r="463" spans="1:26" ht="18" customHeight="1">
      <c r="A463" s="464"/>
      <c r="B463" s="458"/>
      <c r="C463" s="483"/>
      <c r="D463" s="464"/>
      <c r="E463" s="464"/>
      <c r="F463" s="484"/>
      <c r="G463" s="460"/>
      <c r="H463" s="485"/>
      <c r="I463" s="164"/>
      <c r="J463" s="462"/>
      <c r="K463" s="481"/>
      <c r="L463" s="464"/>
      <c r="M463" s="164"/>
      <c r="N463" s="465"/>
      <c r="O463" s="462"/>
      <c r="P463" s="486"/>
      <c r="Q463" s="487"/>
      <c r="R463" s="164"/>
      <c r="S463" s="467"/>
      <c r="T463" s="468"/>
      <c r="U463" s="469"/>
      <c r="V463" s="457"/>
      <c r="W463" s="457"/>
      <c r="X463" s="457"/>
      <c r="Y463" s="457"/>
      <c r="Z463" s="457"/>
    </row>
    <row r="464" spans="1:26" ht="18" customHeight="1">
      <c r="A464" s="464"/>
      <c r="B464" s="458"/>
      <c r="C464" s="483"/>
      <c r="D464" s="464"/>
      <c r="E464" s="464"/>
      <c r="F464" s="484"/>
      <c r="G464" s="460"/>
      <c r="H464" s="485"/>
      <c r="I464" s="164"/>
      <c r="J464" s="462"/>
      <c r="K464" s="481"/>
      <c r="L464" s="464"/>
      <c r="M464" s="164"/>
      <c r="N464" s="465"/>
      <c r="O464" s="462"/>
      <c r="P464" s="486"/>
      <c r="Q464" s="487"/>
      <c r="R464" s="164"/>
      <c r="S464" s="467"/>
      <c r="T464" s="468"/>
      <c r="U464" s="469"/>
      <c r="V464" s="457"/>
      <c r="W464" s="457"/>
      <c r="X464" s="457"/>
      <c r="Y464" s="457"/>
      <c r="Z464" s="457"/>
    </row>
    <row r="465" spans="1:26" ht="18" customHeight="1">
      <c r="A465" s="464"/>
      <c r="B465" s="458"/>
      <c r="C465" s="483"/>
      <c r="D465" s="464"/>
      <c r="E465" s="464"/>
      <c r="F465" s="484"/>
      <c r="G465" s="460"/>
      <c r="H465" s="485"/>
      <c r="I465" s="164"/>
      <c r="J465" s="462"/>
      <c r="K465" s="481"/>
      <c r="L465" s="464"/>
      <c r="M465" s="164"/>
      <c r="N465" s="465"/>
      <c r="O465" s="462"/>
      <c r="P465" s="486"/>
      <c r="Q465" s="487"/>
      <c r="R465" s="164"/>
      <c r="S465" s="467"/>
      <c r="T465" s="468"/>
      <c r="U465" s="469"/>
      <c r="V465" s="457"/>
      <c r="W465" s="457"/>
      <c r="X465" s="457"/>
      <c r="Y465" s="457"/>
      <c r="Z465" s="457"/>
    </row>
    <row r="466" spans="1:26" ht="18" customHeight="1">
      <c r="A466" s="464"/>
      <c r="B466" s="458"/>
      <c r="C466" s="483"/>
      <c r="D466" s="464"/>
      <c r="E466" s="464"/>
      <c r="F466" s="484"/>
      <c r="G466" s="460"/>
      <c r="H466" s="485"/>
      <c r="I466" s="164"/>
      <c r="J466" s="462"/>
      <c r="K466" s="481"/>
      <c r="L466" s="464"/>
      <c r="M466" s="164"/>
      <c r="N466" s="465"/>
      <c r="O466" s="462"/>
      <c r="P466" s="486"/>
      <c r="Q466" s="487"/>
      <c r="R466" s="164"/>
      <c r="S466" s="467"/>
      <c r="T466" s="468"/>
      <c r="U466" s="469"/>
      <c r="V466" s="457"/>
      <c r="W466" s="457"/>
      <c r="X466" s="457"/>
      <c r="Y466" s="457"/>
      <c r="Z466" s="457"/>
    </row>
    <row r="467" spans="1:26" ht="18" customHeight="1">
      <c r="A467" s="464"/>
      <c r="B467" s="458"/>
      <c r="C467" s="483"/>
      <c r="D467" s="464"/>
      <c r="E467" s="464"/>
      <c r="F467" s="484"/>
      <c r="G467" s="460"/>
      <c r="H467" s="485"/>
      <c r="I467" s="164"/>
      <c r="J467" s="462"/>
      <c r="K467" s="481"/>
      <c r="L467" s="464"/>
      <c r="M467" s="164"/>
      <c r="N467" s="465"/>
      <c r="O467" s="462"/>
      <c r="P467" s="486"/>
      <c r="Q467" s="487"/>
      <c r="R467" s="164"/>
      <c r="S467" s="467"/>
      <c r="T467" s="468"/>
      <c r="U467" s="469"/>
      <c r="V467" s="457"/>
      <c r="W467" s="457"/>
      <c r="X467" s="457"/>
      <c r="Y467" s="457"/>
      <c r="Z467" s="457"/>
    </row>
    <row r="468" spans="1:26" ht="18" customHeight="1">
      <c r="A468" s="464"/>
      <c r="B468" s="458"/>
      <c r="C468" s="483"/>
      <c r="D468" s="464"/>
      <c r="E468" s="464"/>
      <c r="F468" s="484"/>
      <c r="G468" s="460"/>
      <c r="H468" s="485"/>
      <c r="I468" s="164"/>
      <c r="J468" s="462"/>
      <c r="K468" s="481"/>
      <c r="L468" s="464"/>
      <c r="M468" s="164"/>
      <c r="N468" s="465"/>
      <c r="O468" s="462"/>
      <c r="P468" s="486"/>
      <c r="Q468" s="487"/>
      <c r="R468" s="164"/>
      <c r="S468" s="467"/>
      <c r="T468" s="468"/>
      <c r="U468" s="469"/>
      <c r="V468" s="457"/>
      <c r="W468" s="457"/>
      <c r="X468" s="457"/>
      <c r="Y468" s="457"/>
      <c r="Z468" s="457"/>
    </row>
    <row r="469" spans="1:26" ht="18" customHeight="1">
      <c r="A469" s="464"/>
      <c r="B469" s="458"/>
      <c r="C469" s="483"/>
      <c r="D469" s="464"/>
      <c r="E469" s="464"/>
      <c r="F469" s="484"/>
      <c r="G469" s="460"/>
      <c r="H469" s="485"/>
      <c r="I469" s="164"/>
      <c r="J469" s="462"/>
      <c r="K469" s="481"/>
      <c r="L469" s="464"/>
      <c r="M469" s="164"/>
      <c r="N469" s="465"/>
      <c r="O469" s="462"/>
      <c r="P469" s="486"/>
      <c r="Q469" s="487"/>
      <c r="R469" s="164"/>
      <c r="S469" s="467"/>
      <c r="T469" s="468"/>
      <c r="U469" s="469"/>
      <c r="V469" s="457"/>
      <c r="W469" s="457"/>
      <c r="X469" s="457"/>
      <c r="Y469" s="457"/>
      <c r="Z469" s="457"/>
    </row>
    <row r="470" spans="1:26" ht="18" customHeight="1">
      <c r="A470" s="464"/>
      <c r="B470" s="458"/>
      <c r="C470" s="483"/>
      <c r="D470" s="464"/>
      <c r="E470" s="464"/>
      <c r="F470" s="484"/>
      <c r="G470" s="460"/>
      <c r="H470" s="485"/>
      <c r="I470" s="164"/>
      <c r="J470" s="462"/>
      <c r="K470" s="481"/>
      <c r="L470" s="464"/>
      <c r="M470" s="164"/>
      <c r="N470" s="465"/>
      <c r="O470" s="462"/>
      <c r="P470" s="486"/>
      <c r="Q470" s="487"/>
      <c r="R470" s="164"/>
      <c r="S470" s="467"/>
      <c r="T470" s="468"/>
      <c r="U470" s="469"/>
      <c r="V470" s="457"/>
      <c r="W470" s="457"/>
      <c r="X470" s="457"/>
      <c r="Y470" s="457"/>
      <c r="Z470" s="457"/>
    </row>
    <row r="471" spans="1:26" ht="18" customHeight="1">
      <c r="A471" s="464"/>
      <c r="B471" s="458"/>
      <c r="C471" s="483"/>
      <c r="D471" s="464"/>
      <c r="E471" s="464"/>
      <c r="F471" s="484"/>
      <c r="G471" s="460"/>
      <c r="H471" s="485"/>
      <c r="I471" s="164"/>
      <c r="J471" s="462"/>
      <c r="K471" s="481"/>
      <c r="L471" s="464"/>
      <c r="M471" s="164"/>
      <c r="N471" s="465"/>
      <c r="O471" s="462"/>
      <c r="P471" s="486"/>
      <c r="Q471" s="487"/>
      <c r="R471" s="164"/>
      <c r="S471" s="467"/>
      <c r="T471" s="468"/>
      <c r="U471" s="469"/>
      <c r="V471" s="457"/>
      <c r="W471" s="457"/>
      <c r="X471" s="457"/>
      <c r="Y471" s="457"/>
      <c r="Z471" s="457"/>
    </row>
    <row r="472" spans="1:26" ht="18" customHeight="1">
      <c r="A472" s="464"/>
      <c r="B472" s="458"/>
      <c r="C472" s="483"/>
      <c r="D472" s="464"/>
      <c r="E472" s="464"/>
      <c r="F472" s="484"/>
      <c r="G472" s="460"/>
      <c r="H472" s="485"/>
      <c r="I472" s="164"/>
      <c r="J472" s="462"/>
      <c r="K472" s="481"/>
      <c r="L472" s="464"/>
      <c r="M472" s="164"/>
      <c r="N472" s="465"/>
      <c r="O472" s="462"/>
      <c r="P472" s="486"/>
      <c r="Q472" s="487"/>
      <c r="R472" s="164"/>
      <c r="S472" s="467"/>
      <c r="T472" s="468"/>
      <c r="U472" s="469"/>
      <c r="V472" s="457"/>
      <c r="W472" s="457"/>
      <c r="X472" s="457"/>
      <c r="Y472" s="457"/>
      <c r="Z472" s="457"/>
    </row>
    <row r="473" spans="1:26" ht="18" customHeight="1">
      <c r="A473" s="464"/>
      <c r="B473" s="458"/>
      <c r="C473" s="483"/>
      <c r="D473" s="464"/>
      <c r="E473" s="464"/>
      <c r="F473" s="484"/>
      <c r="G473" s="460"/>
      <c r="H473" s="485"/>
      <c r="I473" s="164"/>
      <c r="J473" s="462"/>
      <c r="K473" s="481"/>
      <c r="L473" s="464"/>
      <c r="M473" s="164"/>
      <c r="N473" s="465"/>
      <c r="O473" s="462"/>
      <c r="P473" s="486"/>
      <c r="Q473" s="487"/>
      <c r="R473" s="164"/>
      <c r="S473" s="467"/>
      <c r="T473" s="468"/>
      <c r="U473" s="469"/>
      <c r="V473" s="457"/>
      <c r="W473" s="457"/>
      <c r="X473" s="457"/>
      <c r="Y473" s="457"/>
      <c r="Z473" s="457"/>
    </row>
    <row r="474" spans="1:26" ht="18" customHeight="1">
      <c r="A474" s="464"/>
      <c r="B474" s="458"/>
      <c r="C474" s="483"/>
      <c r="D474" s="464"/>
      <c r="E474" s="464"/>
      <c r="F474" s="484"/>
      <c r="G474" s="460"/>
      <c r="H474" s="485"/>
      <c r="I474" s="164"/>
      <c r="J474" s="462"/>
      <c r="K474" s="481"/>
      <c r="L474" s="464"/>
      <c r="M474" s="164"/>
      <c r="N474" s="465"/>
      <c r="O474" s="462"/>
      <c r="P474" s="486"/>
      <c r="Q474" s="487"/>
      <c r="R474" s="164"/>
      <c r="S474" s="467"/>
      <c r="T474" s="468"/>
      <c r="U474" s="469"/>
      <c r="V474" s="457"/>
      <c r="W474" s="457"/>
      <c r="X474" s="457"/>
      <c r="Y474" s="457"/>
      <c r="Z474" s="457"/>
    </row>
    <row r="475" spans="1:26" ht="18" customHeight="1">
      <c r="A475" s="464"/>
      <c r="B475" s="458"/>
      <c r="C475" s="483"/>
      <c r="D475" s="464"/>
      <c r="E475" s="464"/>
      <c r="F475" s="484"/>
      <c r="G475" s="460"/>
      <c r="H475" s="485"/>
      <c r="I475" s="164"/>
      <c r="J475" s="462"/>
      <c r="K475" s="481"/>
      <c r="L475" s="464"/>
      <c r="M475" s="164"/>
      <c r="N475" s="465"/>
      <c r="O475" s="462"/>
      <c r="P475" s="486"/>
      <c r="Q475" s="487"/>
      <c r="R475" s="164"/>
      <c r="S475" s="467"/>
      <c r="T475" s="468"/>
      <c r="U475" s="469"/>
      <c r="V475" s="457"/>
      <c r="W475" s="457"/>
      <c r="X475" s="457"/>
      <c r="Y475" s="457"/>
      <c r="Z475" s="457"/>
    </row>
    <row r="476" spans="1:26" ht="18" customHeight="1">
      <c r="A476" s="464"/>
      <c r="B476" s="458"/>
      <c r="C476" s="483"/>
      <c r="D476" s="464"/>
      <c r="E476" s="464"/>
      <c r="F476" s="484"/>
      <c r="G476" s="460"/>
      <c r="H476" s="485"/>
      <c r="I476" s="164"/>
      <c r="J476" s="462"/>
      <c r="K476" s="481"/>
      <c r="L476" s="464"/>
      <c r="M476" s="164"/>
      <c r="N476" s="465"/>
      <c r="O476" s="462"/>
      <c r="P476" s="486"/>
      <c r="Q476" s="487"/>
      <c r="R476" s="164"/>
      <c r="S476" s="467"/>
      <c r="T476" s="468"/>
      <c r="U476" s="469"/>
      <c r="V476" s="457"/>
      <c r="W476" s="457"/>
      <c r="X476" s="457"/>
      <c r="Y476" s="457"/>
      <c r="Z476" s="457"/>
    </row>
    <row r="477" spans="1:26" ht="18" customHeight="1">
      <c r="A477" s="464"/>
      <c r="B477" s="458"/>
      <c r="C477" s="483"/>
      <c r="D477" s="464"/>
      <c r="E477" s="464"/>
      <c r="F477" s="484"/>
      <c r="G477" s="460"/>
      <c r="H477" s="485"/>
      <c r="I477" s="164"/>
      <c r="J477" s="462"/>
      <c r="K477" s="481"/>
      <c r="L477" s="464"/>
      <c r="M477" s="164"/>
      <c r="N477" s="465"/>
      <c r="O477" s="462"/>
      <c r="P477" s="486"/>
      <c r="Q477" s="487"/>
      <c r="R477" s="164"/>
      <c r="S477" s="467"/>
      <c r="T477" s="468"/>
      <c r="U477" s="469"/>
      <c r="V477" s="457"/>
      <c r="W477" s="457"/>
      <c r="X477" s="457"/>
      <c r="Y477" s="457"/>
      <c r="Z477" s="457"/>
    </row>
    <row r="478" spans="1:26" ht="18" customHeight="1">
      <c r="A478" s="464"/>
      <c r="B478" s="458"/>
      <c r="C478" s="483"/>
      <c r="D478" s="464"/>
      <c r="E478" s="464"/>
      <c r="F478" s="484"/>
      <c r="G478" s="460"/>
      <c r="H478" s="485"/>
      <c r="I478" s="164"/>
      <c r="J478" s="462"/>
      <c r="K478" s="481"/>
      <c r="L478" s="464"/>
      <c r="M478" s="164"/>
      <c r="N478" s="465"/>
      <c r="O478" s="462"/>
      <c r="P478" s="486"/>
      <c r="Q478" s="487"/>
      <c r="R478" s="164"/>
      <c r="S478" s="467"/>
      <c r="T478" s="468"/>
      <c r="U478" s="469"/>
      <c r="V478" s="457"/>
      <c r="W478" s="457"/>
      <c r="X478" s="457"/>
      <c r="Y478" s="457"/>
      <c r="Z478" s="457"/>
    </row>
    <row r="479" spans="1:26" ht="18" customHeight="1">
      <c r="A479" s="464"/>
      <c r="B479" s="458"/>
      <c r="C479" s="483"/>
      <c r="D479" s="464"/>
      <c r="E479" s="464"/>
      <c r="F479" s="484"/>
      <c r="G479" s="460"/>
      <c r="H479" s="485"/>
      <c r="I479" s="164"/>
      <c r="J479" s="462"/>
      <c r="K479" s="481"/>
      <c r="L479" s="464"/>
      <c r="M479" s="164"/>
      <c r="N479" s="465"/>
      <c r="O479" s="462"/>
      <c r="P479" s="486"/>
      <c r="Q479" s="487"/>
      <c r="R479" s="164"/>
      <c r="S479" s="467"/>
      <c r="T479" s="468"/>
      <c r="U479" s="469"/>
      <c r="V479" s="457"/>
      <c r="W479" s="457"/>
      <c r="X479" s="457"/>
      <c r="Y479" s="457"/>
      <c r="Z479" s="457"/>
    </row>
    <row r="480" spans="1:26" ht="18" customHeight="1">
      <c r="A480" s="464"/>
      <c r="B480" s="458"/>
      <c r="C480" s="483"/>
      <c r="D480" s="464"/>
      <c r="E480" s="464"/>
      <c r="F480" s="484"/>
      <c r="G480" s="460"/>
      <c r="H480" s="485"/>
      <c r="I480" s="164"/>
      <c r="J480" s="462"/>
      <c r="K480" s="481"/>
      <c r="L480" s="464"/>
      <c r="M480" s="164"/>
      <c r="N480" s="465"/>
      <c r="O480" s="462"/>
      <c r="P480" s="486"/>
      <c r="Q480" s="487"/>
      <c r="R480" s="164"/>
      <c r="S480" s="467"/>
      <c r="T480" s="468"/>
      <c r="U480" s="469"/>
      <c r="V480" s="457"/>
      <c r="W480" s="457"/>
      <c r="X480" s="457"/>
      <c r="Y480" s="457"/>
      <c r="Z480" s="457"/>
    </row>
    <row r="481" spans="1:26" ht="18" customHeight="1">
      <c r="A481" s="464"/>
      <c r="B481" s="458"/>
      <c r="C481" s="483"/>
      <c r="D481" s="464"/>
      <c r="E481" s="464"/>
      <c r="F481" s="484"/>
      <c r="G481" s="460"/>
      <c r="H481" s="485"/>
      <c r="I481" s="164"/>
      <c r="J481" s="462"/>
      <c r="K481" s="481"/>
      <c r="L481" s="464"/>
      <c r="M481" s="164"/>
      <c r="N481" s="465"/>
      <c r="O481" s="462"/>
      <c r="P481" s="486"/>
      <c r="Q481" s="487"/>
      <c r="R481" s="164"/>
      <c r="S481" s="467"/>
      <c r="T481" s="468"/>
      <c r="U481" s="469"/>
      <c r="V481" s="457"/>
      <c r="W481" s="457"/>
      <c r="X481" s="457"/>
      <c r="Y481" s="457"/>
      <c r="Z481" s="457"/>
    </row>
    <row r="482" spans="1:26" ht="18" customHeight="1">
      <c r="A482" s="464"/>
      <c r="B482" s="458"/>
      <c r="C482" s="483"/>
      <c r="D482" s="464"/>
      <c r="E482" s="464"/>
      <c r="F482" s="484"/>
      <c r="G482" s="460"/>
      <c r="H482" s="485"/>
      <c r="I482" s="164"/>
      <c r="J482" s="462"/>
      <c r="K482" s="481"/>
      <c r="L482" s="464"/>
      <c r="M482" s="164"/>
      <c r="N482" s="465"/>
      <c r="O482" s="462"/>
      <c r="P482" s="486"/>
      <c r="Q482" s="487"/>
      <c r="R482" s="164"/>
      <c r="S482" s="467"/>
      <c r="T482" s="468"/>
      <c r="U482" s="469"/>
      <c r="V482" s="457"/>
      <c r="W482" s="457"/>
      <c r="X482" s="457"/>
      <c r="Y482" s="457"/>
      <c r="Z482" s="457"/>
    </row>
    <row r="483" spans="1:26" ht="18" customHeight="1">
      <c r="A483" s="464"/>
      <c r="B483" s="458"/>
      <c r="C483" s="483"/>
      <c r="D483" s="464"/>
      <c r="E483" s="464"/>
      <c r="F483" s="484"/>
      <c r="G483" s="460"/>
      <c r="H483" s="485"/>
      <c r="I483" s="164"/>
      <c r="J483" s="462"/>
      <c r="K483" s="481"/>
      <c r="L483" s="464"/>
      <c r="M483" s="164"/>
      <c r="N483" s="465"/>
      <c r="O483" s="462"/>
      <c r="P483" s="486"/>
      <c r="Q483" s="487"/>
      <c r="R483" s="164"/>
      <c r="S483" s="467"/>
      <c r="T483" s="468"/>
      <c r="U483" s="469"/>
      <c r="V483" s="457"/>
      <c r="W483" s="457"/>
      <c r="X483" s="457"/>
      <c r="Y483" s="457"/>
      <c r="Z483" s="457"/>
    </row>
    <row r="484" spans="1:26" ht="18" customHeight="1">
      <c r="A484" s="464"/>
      <c r="B484" s="458"/>
      <c r="C484" s="483"/>
      <c r="D484" s="464"/>
      <c r="E484" s="464"/>
      <c r="F484" s="484"/>
      <c r="G484" s="460"/>
      <c r="H484" s="485"/>
      <c r="I484" s="164"/>
      <c r="J484" s="462"/>
      <c r="K484" s="481"/>
      <c r="L484" s="464"/>
      <c r="M484" s="164"/>
      <c r="N484" s="465"/>
      <c r="O484" s="462"/>
      <c r="P484" s="486"/>
      <c r="Q484" s="487"/>
      <c r="R484" s="164"/>
      <c r="S484" s="467"/>
      <c r="T484" s="468"/>
      <c r="U484" s="469"/>
      <c r="V484" s="457"/>
      <c r="W484" s="457"/>
      <c r="X484" s="457"/>
      <c r="Y484" s="457"/>
      <c r="Z484" s="457"/>
    </row>
    <row r="485" spans="1:26" ht="18" customHeight="1">
      <c r="A485" s="464"/>
      <c r="B485" s="458"/>
      <c r="C485" s="483"/>
      <c r="D485" s="464"/>
      <c r="E485" s="464"/>
      <c r="F485" s="484"/>
      <c r="G485" s="460"/>
      <c r="H485" s="485"/>
      <c r="I485" s="164"/>
      <c r="J485" s="462"/>
      <c r="K485" s="481"/>
      <c r="L485" s="464"/>
      <c r="M485" s="164"/>
      <c r="N485" s="465"/>
      <c r="O485" s="462"/>
      <c r="P485" s="486"/>
      <c r="Q485" s="487"/>
      <c r="R485" s="164"/>
      <c r="S485" s="467"/>
      <c r="T485" s="468"/>
      <c r="U485" s="469"/>
      <c r="V485" s="457"/>
      <c r="W485" s="457"/>
      <c r="X485" s="457"/>
      <c r="Y485" s="457"/>
      <c r="Z485" s="457"/>
    </row>
    <row r="486" spans="1:26" ht="18" customHeight="1">
      <c r="A486" s="464"/>
      <c r="B486" s="458"/>
      <c r="C486" s="483"/>
      <c r="D486" s="464"/>
      <c r="E486" s="464"/>
      <c r="F486" s="484"/>
      <c r="G486" s="460"/>
      <c r="H486" s="485"/>
      <c r="I486" s="164"/>
      <c r="J486" s="462"/>
      <c r="K486" s="481"/>
      <c r="L486" s="464"/>
      <c r="M486" s="164"/>
      <c r="N486" s="465"/>
      <c r="O486" s="462"/>
      <c r="P486" s="486"/>
      <c r="Q486" s="487"/>
      <c r="R486" s="164"/>
      <c r="S486" s="467"/>
      <c r="T486" s="468"/>
      <c r="U486" s="469"/>
      <c r="V486" s="457"/>
      <c r="W486" s="457"/>
      <c r="X486" s="457"/>
      <c r="Y486" s="457"/>
      <c r="Z486" s="457"/>
    </row>
    <row r="487" spans="1:26" ht="18" customHeight="1">
      <c r="A487" s="464"/>
      <c r="B487" s="458"/>
      <c r="C487" s="483"/>
      <c r="D487" s="464"/>
      <c r="E487" s="464"/>
      <c r="F487" s="484"/>
      <c r="G487" s="460"/>
      <c r="H487" s="485"/>
      <c r="I487" s="164"/>
      <c r="J487" s="462"/>
      <c r="K487" s="481"/>
      <c r="L487" s="464"/>
      <c r="M487" s="164"/>
      <c r="N487" s="465"/>
      <c r="O487" s="462"/>
      <c r="P487" s="486"/>
      <c r="Q487" s="487"/>
      <c r="R487" s="164"/>
      <c r="S487" s="467"/>
      <c r="T487" s="468"/>
      <c r="U487" s="469"/>
      <c r="V487" s="457"/>
      <c r="W487" s="457"/>
      <c r="X487" s="457"/>
      <c r="Y487" s="457"/>
      <c r="Z487" s="457"/>
    </row>
    <row r="488" spans="1:26" ht="18" customHeight="1">
      <c r="A488" s="464"/>
      <c r="B488" s="458"/>
      <c r="C488" s="483"/>
      <c r="D488" s="464"/>
      <c r="E488" s="464"/>
      <c r="F488" s="484"/>
      <c r="G488" s="460"/>
      <c r="H488" s="485"/>
      <c r="I488" s="164"/>
      <c r="J488" s="462"/>
      <c r="K488" s="481"/>
      <c r="L488" s="464"/>
      <c r="M488" s="164"/>
      <c r="N488" s="465"/>
      <c r="O488" s="462"/>
      <c r="P488" s="486"/>
      <c r="Q488" s="487"/>
      <c r="R488" s="164"/>
      <c r="S488" s="467"/>
      <c r="T488" s="468"/>
      <c r="U488" s="469"/>
      <c r="V488" s="457"/>
      <c r="W488" s="457"/>
      <c r="X488" s="457"/>
      <c r="Y488" s="457"/>
      <c r="Z488" s="457"/>
    </row>
    <row r="489" spans="1:26" ht="18" customHeight="1">
      <c r="A489" s="464"/>
      <c r="B489" s="458"/>
      <c r="C489" s="483"/>
      <c r="D489" s="464"/>
      <c r="E489" s="464"/>
      <c r="F489" s="484"/>
      <c r="G489" s="460"/>
      <c r="H489" s="485"/>
      <c r="I489" s="164"/>
      <c r="J489" s="462"/>
      <c r="K489" s="481"/>
      <c r="L489" s="464"/>
      <c r="M489" s="164"/>
      <c r="N489" s="465"/>
      <c r="O489" s="462"/>
      <c r="P489" s="486"/>
      <c r="Q489" s="487"/>
      <c r="R489" s="164"/>
      <c r="S489" s="467"/>
      <c r="T489" s="468"/>
      <c r="U489" s="469"/>
      <c r="V489" s="457"/>
      <c r="W489" s="457"/>
      <c r="X489" s="457"/>
      <c r="Y489" s="457"/>
      <c r="Z489" s="457"/>
    </row>
    <row r="490" spans="1:26" ht="18" customHeight="1">
      <c r="A490" s="464"/>
      <c r="B490" s="458"/>
      <c r="C490" s="483"/>
      <c r="D490" s="464"/>
      <c r="E490" s="464"/>
      <c r="F490" s="484"/>
      <c r="G490" s="460"/>
      <c r="H490" s="485"/>
      <c r="I490" s="164"/>
      <c r="J490" s="462"/>
      <c r="K490" s="481"/>
      <c r="L490" s="464"/>
      <c r="M490" s="164"/>
      <c r="N490" s="465"/>
      <c r="O490" s="462"/>
      <c r="P490" s="486"/>
      <c r="Q490" s="487"/>
      <c r="R490" s="164"/>
      <c r="S490" s="467"/>
      <c r="T490" s="468"/>
      <c r="U490" s="469"/>
      <c r="V490" s="457"/>
      <c r="W490" s="457"/>
      <c r="X490" s="457"/>
      <c r="Y490" s="457"/>
      <c r="Z490" s="457"/>
    </row>
    <row r="491" spans="1:26" ht="18" customHeight="1">
      <c r="A491" s="464"/>
      <c r="B491" s="458"/>
      <c r="C491" s="483"/>
      <c r="D491" s="464"/>
      <c r="E491" s="464"/>
      <c r="F491" s="484"/>
      <c r="G491" s="460"/>
      <c r="H491" s="485"/>
      <c r="I491" s="164"/>
      <c r="J491" s="462"/>
      <c r="K491" s="481"/>
      <c r="L491" s="464"/>
      <c r="M491" s="164"/>
      <c r="N491" s="465"/>
      <c r="O491" s="462"/>
      <c r="P491" s="486"/>
      <c r="Q491" s="487"/>
      <c r="R491" s="164"/>
      <c r="S491" s="467"/>
      <c r="T491" s="468"/>
      <c r="U491" s="469"/>
      <c r="V491" s="457"/>
      <c r="W491" s="457"/>
      <c r="X491" s="457"/>
      <c r="Y491" s="457"/>
      <c r="Z491" s="457"/>
    </row>
    <row r="492" spans="1:26" ht="18" customHeight="1">
      <c r="A492" s="464"/>
      <c r="B492" s="458"/>
      <c r="C492" s="483"/>
      <c r="D492" s="464"/>
      <c r="E492" s="464"/>
      <c r="F492" s="484"/>
      <c r="G492" s="460"/>
      <c r="H492" s="485"/>
      <c r="I492" s="164"/>
      <c r="J492" s="462"/>
      <c r="K492" s="481"/>
      <c r="L492" s="464"/>
      <c r="M492" s="164"/>
      <c r="N492" s="465"/>
      <c r="O492" s="462"/>
      <c r="P492" s="486"/>
      <c r="Q492" s="487"/>
      <c r="R492" s="164"/>
      <c r="S492" s="467"/>
      <c r="T492" s="468"/>
      <c r="U492" s="469"/>
      <c r="V492" s="457"/>
      <c r="W492" s="457"/>
      <c r="X492" s="457"/>
      <c r="Y492" s="457"/>
      <c r="Z492" s="457"/>
    </row>
    <row r="493" spans="1:26" ht="18" customHeight="1">
      <c r="A493" s="464"/>
      <c r="B493" s="458"/>
      <c r="C493" s="483"/>
      <c r="D493" s="464"/>
      <c r="E493" s="464"/>
      <c r="F493" s="484"/>
      <c r="G493" s="460"/>
      <c r="H493" s="485"/>
      <c r="I493" s="164"/>
      <c r="J493" s="462"/>
      <c r="K493" s="481"/>
      <c r="L493" s="464"/>
      <c r="M493" s="164"/>
      <c r="N493" s="465"/>
      <c r="O493" s="462"/>
      <c r="P493" s="486"/>
      <c r="Q493" s="487"/>
      <c r="R493" s="164"/>
      <c r="S493" s="467"/>
      <c r="T493" s="468"/>
      <c r="U493" s="469"/>
      <c r="V493" s="457"/>
      <c r="W493" s="457"/>
      <c r="X493" s="457"/>
      <c r="Y493" s="457"/>
      <c r="Z493" s="457"/>
    </row>
    <row r="494" spans="1:26" ht="18" customHeight="1">
      <c r="A494" s="464"/>
      <c r="B494" s="458"/>
      <c r="C494" s="483"/>
      <c r="D494" s="464"/>
      <c r="E494" s="464"/>
      <c r="F494" s="484"/>
      <c r="G494" s="460"/>
      <c r="H494" s="485"/>
      <c r="I494" s="164"/>
      <c r="J494" s="462"/>
      <c r="K494" s="481"/>
      <c r="L494" s="464"/>
      <c r="M494" s="164"/>
      <c r="N494" s="465"/>
      <c r="O494" s="462"/>
      <c r="P494" s="486"/>
      <c r="Q494" s="487"/>
      <c r="R494" s="164"/>
      <c r="S494" s="467"/>
      <c r="T494" s="468"/>
      <c r="U494" s="469"/>
      <c r="V494" s="457"/>
      <c r="W494" s="457"/>
      <c r="X494" s="457"/>
      <c r="Y494" s="457"/>
      <c r="Z494" s="457"/>
    </row>
    <row r="495" spans="1:26" ht="18" customHeight="1">
      <c r="A495" s="464"/>
      <c r="B495" s="458"/>
      <c r="C495" s="483"/>
      <c r="D495" s="464"/>
      <c r="E495" s="464"/>
      <c r="F495" s="484"/>
      <c r="G495" s="460"/>
      <c r="H495" s="485"/>
      <c r="I495" s="164"/>
      <c r="J495" s="462"/>
      <c r="K495" s="481"/>
      <c r="L495" s="464"/>
      <c r="M495" s="164"/>
      <c r="N495" s="465"/>
      <c r="O495" s="462"/>
      <c r="P495" s="486"/>
      <c r="Q495" s="487"/>
      <c r="R495" s="164"/>
      <c r="S495" s="467"/>
      <c r="T495" s="468"/>
      <c r="U495" s="469"/>
      <c r="V495" s="457"/>
      <c r="W495" s="457"/>
      <c r="X495" s="457"/>
      <c r="Y495" s="457"/>
      <c r="Z495" s="457"/>
    </row>
    <row r="496" spans="1:26" ht="18" customHeight="1">
      <c r="A496" s="464"/>
      <c r="B496" s="458"/>
      <c r="C496" s="483"/>
      <c r="D496" s="464"/>
      <c r="E496" s="464"/>
      <c r="F496" s="484"/>
      <c r="G496" s="460"/>
      <c r="H496" s="485"/>
      <c r="I496" s="164"/>
      <c r="J496" s="462"/>
      <c r="K496" s="481"/>
      <c r="L496" s="464"/>
      <c r="M496" s="164"/>
      <c r="N496" s="465"/>
      <c r="O496" s="462"/>
      <c r="P496" s="486"/>
      <c r="Q496" s="487"/>
      <c r="R496" s="164"/>
      <c r="S496" s="467"/>
      <c r="T496" s="468"/>
      <c r="U496" s="469"/>
      <c r="V496" s="457"/>
      <c r="W496" s="457"/>
      <c r="X496" s="457"/>
      <c r="Y496" s="457"/>
      <c r="Z496" s="457"/>
    </row>
    <row r="497" spans="1:26" ht="18" customHeight="1">
      <c r="A497" s="464"/>
      <c r="B497" s="458"/>
      <c r="C497" s="483"/>
      <c r="D497" s="464"/>
      <c r="E497" s="464"/>
      <c r="F497" s="484"/>
      <c r="G497" s="460"/>
      <c r="H497" s="485"/>
      <c r="I497" s="164"/>
      <c r="J497" s="462"/>
      <c r="K497" s="481"/>
      <c r="L497" s="464"/>
      <c r="M497" s="164"/>
      <c r="N497" s="465"/>
      <c r="O497" s="462"/>
      <c r="P497" s="486"/>
      <c r="Q497" s="487"/>
      <c r="R497" s="164"/>
      <c r="S497" s="467"/>
      <c r="T497" s="468"/>
      <c r="U497" s="469"/>
      <c r="V497" s="457"/>
      <c r="W497" s="457"/>
      <c r="X497" s="457"/>
      <c r="Y497" s="457"/>
      <c r="Z497" s="457"/>
    </row>
    <row r="498" spans="1:26" ht="18" customHeight="1">
      <c r="A498" s="464"/>
      <c r="B498" s="458"/>
      <c r="C498" s="483"/>
      <c r="D498" s="464"/>
      <c r="E498" s="464"/>
      <c r="F498" s="484"/>
      <c r="G498" s="460"/>
      <c r="H498" s="485"/>
      <c r="I498" s="164"/>
      <c r="J498" s="462"/>
      <c r="K498" s="481"/>
      <c r="L498" s="464"/>
      <c r="M498" s="164"/>
      <c r="N498" s="465"/>
      <c r="O498" s="462"/>
      <c r="P498" s="486"/>
      <c r="Q498" s="487"/>
      <c r="R498" s="164"/>
      <c r="S498" s="467"/>
      <c r="T498" s="468"/>
      <c r="U498" s="469"/>
      <c r="V498" s="457"/>
      <c r="W498" s="457"/>
      <c r="X498" s="457"/>
      <c r="Y498" s="457"/>
      <c r="Z498" s="457"/>
    </row>
    <row r="499" spans="1:26" ht="18" customHeight="1">
      <c r="A499" s="464"/>
      <c r="B499" s="458"/>
      <c r="C499" s="483"/>
      <c r="D499" s="464"/>
      <c r="E499" s="464"/>
      <c r="F499" s="484"/>
      <c r="G499" s="460"/>
      <c r="H499" s="485"/>
      <c r="I499" s="164"/>
      <c r="J499" s="462"/>
      <c r="K499" s="481"/>
      <c r="L499" s="464"/>
      <c r="M499" s="164"/>
      <c r="N499" s="465"/>
      <c r="O499" s="462"/>
      <c r="P499" s="486"/>
      <c r="Q499" s="487"/>
      <c r="R499" s="164"/>
      <c r="S499" s="467"/>
      <c r="T499" s="468"/>
      <c r="U499" s="469"/>
      <c r="V499" s="457"/>
      <c r="W499" s="457"/>
      <c r="X499" s="457"/>
      <c r="Y499" s="457"/>
      <c r="Z499" s="457"/>
    </row>
    <row r="500" spans="1:26" ht="18" customHeight="1">
      <c r="A500" s="464"/>
      <c r="B500" s="458"/>
      <c r="C500" s="483"/>
      <c r="D500" s="464"/>
      <c r="E500" s="464"/>
      <c r="F500" s="484"/>
      <c r="G500" s="460"/>
      <c r="H500" s="485"/>
      <c r="I500" s="164"/>
      <c r="J500" s="462"/>
      <c r="K500" s="481"/>
      <c r="L500" s="464"/>
      <c r="M500" s="164"/>
      <c r="N500" s="465"/>
      <c r="O500" s="462"/>
      <c r="P500" s="486"/>
      <c r="Q500" s="487"/>
      <c r="R500" s="164"/>
      <c r="S500" s="467"/>
      <c r="T500" s="468"/>
      <c r="U500" s="469"/>
      <c r="V500" s="457"/>
      <c r="W500" s="457"/>
      <c r="X500" s="457"/>
      <c r="Y500" s="457"/>
      <c r="Z500" s="457"/>
    </row>
    <row r="501" spans="1:26" ht="18" customHeight="1">
      <c r="A501" s="464"/>
      <c r="B501" s="458"/>
      <c r="C501" s="483"/>
      <c r="D501" s="464"/>
      <c r="E501" s="464"/>
      <c r="F501" s="484"/>
      <c r="G501" s="460"/>
      <c r="H501" s="485"/>
      <c r="I501" s="164"/>
      <c r="J501" s="462"/>
      <c r="K501" s="481"/>
      <c r="L501" s="464"/>
      <c r="M501" s="164"/>
      <c r="N501" s="465"/>
      <c r="O501" s="462"/>
      <c r="P501" s="486"/>
      <c r="Q501" s="487"/>
      <c r="R501" s="164"/>
      <c r="S501" s="467"/>
      <c r="T501" s="468"/>
      <c r="U501" s="469"/>
      <c r="V501" s="457"/>
      <c r="W501" s="457"/>
      <c r="X501" s="457"/>
      <c r="Y501" s="457"/>
      <c r="Z501" s="457"/>
    </row>
    <row r="502" spans="1:26" ht="18" customHeight="1">
      <c r="A502" s="464"/>
      <c r="B502" s="458"/>
      <c r="C502" s="483"/>
      <c r="D502" s="464"/>
      <c r="E502" s="464"/>
      <c r="F502" s="484"/>
      <c r="G502" s="460"/>
      <c r="H502" s="485"/>
      <c r="I502" s="164"/>
      <c r="J502" s="462"/>
      <c r="K502" s="481"/>
      <c r="L502" s="464"/>
      <c r="M502" s="164"/>
      <c r="N502" s="465"/>
      <c r="O502" s="462"/>
      <c r="P502" s="486"/>
      <c r="Q502" s="487"/>
      <c r="R502" s="164"/>
      <c r="S502" s="467"/>
      <c r="T502" s="468"/>
      <c r="U502" s="469"/>
      <c r="V502" s="457"/>
      <c r="W502" s="457"/>
      <c r="X502" s="457"/>
      <c r="Y502" s="457"/>
      <c r="Z502" s="457"/>
    </row>
    <row r="503" spans="1:26" ht="18" customHeight="1">
      <c r="A503" s="464"/>
      <c r="B503" s="458"/>
      <c r="C503" s="483"/>
      <c r="D503" s="464"/>
      <c r="E503" s="464"/>
      <c r="F503" s="484"/>
      <c r="G503" s="460"/>
      <c r="H503" s="485"/>
      <c r="I503" s="164"/>
      <c r="J503" s="462"/>
      <c r="K503" s="481"/>
      <c r="L503" s="464"/>
      <c r="M503" s="164"/>
      <c r="N503" s="465"/>
      <c r="O503" s="462"/>
      <c r="P503" s="486"/>
      <c r="Q503" s="487"/>
      <c r="R503" s="164"/>
      <c r="S503" s="467"/>
      <c r="T503" s="468"/>
      <c r="U503" s="469"/>
      <c r="V503" s="457"/>
      <c r="W503" s="457"/>
      <c r="X503" s="457"/>
      <c r="Y503" s="457"/>
      <c r="Z503" s="457"/>
    </row>
    <row r="504" spans="1:26" ht="18" customHeight="1">
      <c r="A504" s="464"/>
      <c r="B504" s="458"/>
      <c r="C504" s="483"/>
      <c r="D504" s="464"/>
      <c r="E504" s="464"/>
      <c r="F504" s="484"/>
      <c r="G504" s="460"/>
      <c r="H504" s="485"/>
      <c r="I504" s="164"/>
      <c r="J504" s="462"/>
      <c r="K504" s="481"/>
      <c r="L504" s="464"/>
      <c r="M504" s="164"/>
      <c r="N504" s="465"/>
      <c r="O504" s="462"/>
      <c r="P504" s="486"/>
      <c r="Q504" s="487"/>
      <c r="R504" s="164"/>
      <c r="S504" s="467"/>
      <c r="T504" s="468"/>
      <c r="U504" s="469"/>
      <c r="V504" s="457"/>
      <c r="W504" s="457"/>
      <c r="X504" s="457"/>
      <c r="Y504" s="457"/>
      <c r="Z504" s="457"/>
    </row>
    <row r="505" spans="1:26" ht="18" customHeight="1">
      <c r="A505" s="464"/>
      <c r="B505" s="458"/>
      <c r="C505" s="483"/>
      <c r="D505" s="464"/>
      <c r="E505" s="464"/>
      <c r="F505" s="484"/>
      <c r="G505" s="460"/>
      <c r="H505" s="485"/>
      <c r="I505" s="164"/>
      <c r="J505" s="462"/>
      <c r="K505" s="481"/>
      <c r="L505" s="464"/>
      <c r="M505" s="164"/>
      <c r="N505" s="465"/>
      <c r="O505" s="462"/>
      <c r="P505" s="486"/>
      <c r="Q505" s="487"/>
      <c r="R505" s="164"/>
      <c r="S505" s="467"/>
      <c r="T505" s="468"/>
      <c r="U505" s="469"/>
      <c r="V505" s="457"/>
      <c r="W505" s="457"/>
      <c r="X505" s="457"/>
      <c r="Y505" s="457"/>
      <c r="Z505" s="457"/>
    </row>
    <row r="506" spans="1:26" ht="18" customHeight="1">
      <c r="A506" s="464"/>
      <c r="B506" s="458"/>
      <c r="C506" s="483"/>
      <c r="D506" s="464"/>
      <c r="E506" s="464"/>
      <c r="F506" s="484"/>
      <c r="G506" s="460"/>
      <c r="H506" s="485"/>
      <c r="I506" s="164"/>
      <c r="J506" s="462"/>
      <c r="K506" s="481"/>
      <c r="L506" s="464"/>
      <c r="M506" s="164"/>
      <c r="N506" s="465"/>
      <c r="O506" s="462"/>
      <c r="P506" s="486"/>
      <c r="Q506" s="487"/>
      <c r="R506" s="164"/>
      <c r="S506" s="467"/>
      <c r="T506" s="468"/>
      <c r="U506" s="469"/>
      <c r="V506" s="457"/>
      <c r="W506" s="457"/>
      <c r="X506" s="457"/>
      <c r="Y506" s="457"/>
      <c r="Z506" s="457"/>
    </row>
    <row r="507" spans="1:26" ht="18" customHeight="1">
      <c r="A507" s="464"/>
      <c r="B507" s="458"/>
      <c r="C507" s="483"/>
      <c r="D507" s="464"/>
      <c r="E507" s="464"/>
      <c r="F507" s="484"/>
      <c r="G507" s="460"/>
      <c r="H507" s="485"/>
      <c r="I507" s="164"/>
      <c r="J507" s="462"/>
      <c r="K507" s="481"/>
      <c r="L507" s="464"/>
      <c r="M507" s="164"/>
      <c r="N507" s="465"/>
      <c r="O507" s="462"/>
      <c r="P507" s="486"/>
      <c r="Q507" s="487"/>
      <c r="R507" s="164"/>
      <c r="S507" s="467"/>
      <c r="T507" s="468"/>
      <c r="U507" s="469"/>
      <c r="V507" s="457"/>
      <c r="W507" s="457"/>
      <c r="X507" s="457"/>
      <c r="Y507" s="457"/>
      <c r="Z507" s="457"/>
    </row>
    <row r="508" spans="1:26" ht="18" customHeight="1">
      <c r="A508" s="464"/>
      <c r="B508" s="458"/>
      <c r="C508" s="483"/>
      <c r="D508" s="464"/>
      <c r="E508" s="464"/>
      <c r="F508" s="484"/>
      <c r="G508" s="460"/>
      <c r="H508" s="485"/>
      <c r="I508" s="164"/>
      <c r="J508" s="462"/>
      <c r="K508" s="481"/>
      <c r="L508" s="464"/>
      <c r="M508" s="164"/>
      <c r="N508" s="465"/>
      <c r="O508" s="462"/>
      <c r="P508" s="486"/>
      <c r="Q508" s="487"/>
      <c r="R508" s="164"/>
      <c r="S508" s="467"/>
      <c r="T508" s="468"/>
      <c r="U508" s="469"/>
      <c r="V508" s="457"/>
      <c r="W508" s="457"/>
      <c r="X508" s="457"/>
      <c r="Y508" s="457"/>
      <c r="Z508" s="457"/>
    </row>
    <row r="509" spans="1:26" ht="18" customHeight="1">
      <c r="A509" s="464"/>
      <c r="B509" s="458"/>
      <c r="C509" s="483"/>
      <c r="D509" s="464"/>
      <c r="E509" s="464"/>
      <c r="F509" s="484"/>
      <c r="G509" s="460"/>
      <c r="H509" s="485"/>
      <c r="I509" s="164"/>
      <c r="J509" s="462"/>
      <c r="K509" s="481"/>
      <c r="L509" s="464"/>
      <c r="M509" s="164"/>
      <c r="N509" s="465"/>
      <c r="O509" s="462"/>
      <c r="P509" s="486"/>
      <c r="Q509" s="487"/>
      <c r="R509" s="164"/>
      <c r="S509" s="467"/>
      <c r="T509" s="468"/>
      <c r="U509" s="469"/>
      <c r="V509" s="457"/>
      <c r="W509" s="457"/>
      <c r="X509" s="457"/>
      <c r="Y509" s="457"/>
      <c r="Z509" s="457"/>
    </row>
    <row r="510" spans="1:26" ht="18" customHeight="1">
      <c r="A510" s="464"/>
      <c r="B510" s="458"/>
      <c r="C510" s="483"/>
      <c r="D510" s="464"/>
      <c r="E510" s="464"/>
      <c r="F510" s="484"/>
      <c r="G510" s="460"/>
      <c r="H510" s="485"/>
      <c r="I510" s="164"/>
      <c r="J510" s="462"/>
      <c r="K510" s="481"/>
      <c r="L510" s="464"/>
      <c r="M510" s="164"/>
      <c r="N510" s="465"/>
      <c r="O510" s="462"/>
      <c r="P510" s="486"/>
      <c r="Q510" s="487"/>
      <c r="R510" s="164"/>
      <c r="S510" s="467"/>
      <c r="T510" s="468"/>
      <c r="U510" s="469"/>
      <c r="V510" s="457"/>
      <c r="W510" s="457"/>
      <c r="X510" s="457"/>
      <c r="Y510" s="457"/>
      <c r="Z510" s="457"/>
    </row>
    <row r="511" spans="1:26" ht="18" customHeight="1">
      <c r="A511" s="464"/>
      <c r="B511" s="458"/>
      <c r="C511" s="483"/>
      <c r="D511" s="464"/>
      <c r="E511" s="464"/>
      <c r="F511" s="484"/>
      <c r="G511" s="460"/>
      <c r="H511" s="485"/>
      <c r="I511" s="164"/>
      <c r="J511" s="462"/>
      <c r="K511" s="481"/>
      <c r="L511" s="464"/>
      <c r="M511" s="164"/>
      <c r="N511" s="465"/>
      <c r="O511" s="462"/>
      <c r="P511" s="486"/>
      <c r="Q511" s="487"/>
      <c r="R511" s="164"/>
      <c r="S511" s="467"/>
      <c r="T511" s="468"/>
      <c r="U511" s="469"/>
      <c r="V511" s="457"/>
      <c r="W511" s="457"/>
      <c r="X511" s="457"/>
      <c r="Y511" s="457"/>
      <c r="Z511" s="457"/>
    </row>
    <row r="512" spans="1:26" ht="18" customHeight="1">
      <c r="A512" s="464"/>
      <c r="B512" s="458"/>
      <c r="C512" s="483"/>
      <c r="D512" s="464"/>
      <c r="E512" s="464"/>
      <c r="F512" s="484"/>
      <c r="G512" s="460"/>
      <c r="H512" s="485"/>
      <c r="I512" s="164"/>
      <c r="J512" s="462"/>
      <c r="K512" s="481"/>
      <c r="L512" s="464"/>
      <c r="M512" s="164"/>
      <c r="N512" s="465"/>
      <c r="O512" s="462"/>
      <c r="P512" s="486"/>
      <c r="Q512" s="487"/>
      <c r="R512" s="164"/>
      <c r="S512" s="467"/>
      <c r="T512" s="468"/>
      <c r="U512" s="469"/>
      <c r="V512" s="457"/>
      <c r="W512" s="457"/>
      <c r="X512" s="457"/>
      <c r="Y512" s="457"/>
      <c r="Z512" s="457"/>
    </row>
    <row r="513" spans="1:26" ht="18" customHeight="1">
      <c r="A513" s="464"/>
      <c r="B513" s="458"/>
      <c r="C513" s="483"/>
      <c r="D513" s="464"/>
      <c r="E513" s="464"/>
      <c r="F513" s="484"/>
      <c r="G513" s="460"/>
      <c r="H513" s="485"/>
      <c r="I513" s="164"/>
      <c r="J513" s="462"/>
      <c r="K513" s="481"/>
      <c r="L513" s="464"/>
      <c r="M513" s="164"/>
      <c r="N513" s="465"/>
      <c r="O513" s="462"/>
      <c r="P513" s="486"/>
      <c r="Q513" s="487"/>
      <c r="R513" s="164"/>
      <c r="S513" s="467"/>
      <c r="T513" s="468"/>
      <c r="U513" s="469"/>
      <c r="V513" s="457"/>
      <c r="W513" s="457"/>
      <c r="X513" s="457"/>
      <c r="Y513" s="457"/>
      <c r="Z513" s="457"/>
    </row>
    <row r="514" spans="1:26" ht="18" customHeight="1">
      <c r="A514" s="464"/>
      <c r="B514" s="458"/>
      <c r="C514" s="483"/>
      <c r="D514" s="464"/>
      <c r="E514" s="464"/>
      <c r="F514" s="484"/>
      <c r="G514" s="460"/>
      <c r="H514" s="485"/>
      <c r="I514" s="164"/>
      <c r="J514" s="462"/>
      <c r="K514" s="481"/>
      <c r="L514" s="464"/>
      <c r="M514" s="164"/>
      <c r="N514" s="465"/>
      <c r="O514" s="462"/>
      <c r="P514" s="486"/>
      <c r="Q514" s="487"/>
      <c r="R514" s="164"/>
      <c r="S514" s="467"/>
      <c r="T514" s="468"/>
      <c r="U514" s="469"/>
      <c r="V514" s="457"/>
      <c r="W514" s="457"/>
      <c r="X514" s="457"/>
      <c r="Y514" s="457"/>
      <c r="Z514" s="457"/>
    </row>
    <row r="515" spans="1:26" ht="18" customHeight="1">
      <c r="A515" s="464"/>
      <c r="B515" s="458"/>
      <c r="C515" s="483"/>
      <c r="D515" s="464"/>
      <c r="E515" s="464"/>
      <c r="F515" s="484"/>
      <c r="G515" s="460"/>
      <c r="H515" s="485"/>
      <c r="I515" s="164"/>
      <c r="J515" s="462"/>
      <c r="K515" s="481"/>
      <c r="L515" s="464"/>
      <c r="M515" s="164"/>
      <c r="N515" s="465"/>
      <c r="O515" s="462"/>
      <c r="P515" s="486"/>
      <c r="Q515" s="487"/>
      <c r="R515" s="164"/>
      <c r="S515" s="467"/>
      <c r="T515" s="468"/>
      <c r="U515" s="469"/>
      <c r="V515" s="457"/>
      <c r="W515" s="457"/>
      <c r="X515" s="457"/>
      <c r="Y515" s="457"/>
      <c r="Z515" s="457"/>
    </row>
    <row r="516" spans="1:26" ht="18" customHeight="1">
      <c r="A516" s="464"/>
      <c r="B516" s="458"/>
      <c r="C516" s="483"/>
      <c r="D516" s="464"/>
      <c r="E516" s="464"/>
      <c r="F516" s="484"/>
      <c r="G516" s="460"/>
      <c r="H516" s="485"/>
      <c r="I516" s="164"/>
      <c r="J516" s="462"/>
      <c r="K516" s="481"/>
      <c r="L516" s="464"/>
      <c r="M516" s="164"/>
      <c r="N516" s="465"/>
      <c r="O516" s="462"/>
      <c r="P516" s="486"/>
      <c r="Q516" s="487"/>
      <c r="R516" s="164"/>
      <c r="S516" s="467"/>
      <c r="T516" s="468"/>
      <c r="U516" s="469"/>
      <c r="V516" s="457"/>
      <c r="W516" s="457"/>
      <c r="X516" s="457"/>
      <c r="Y516" s="457"/>
      <c r="Z516" s="457"/>
    </row>
    <row r="517" spans="1:26" ht="18" customHeight="1">
      <c r="A517" s="464"/>
      <c r="B517" s="458"/>
      <c r="C517" s="483"/>
      <c r="D517" s="464"/>
      <c r="E517" s="464"/>
      <c r="F517" s="484"/>
      <c r="G517" s="460"/>
      <c r="H517" s="485"/>
      <c r="I517" s="164"/>
      <c r="J517" s="462"/>
      <c r="K517" s="481"/>
      <c r="L517" s="464"/>
      <c r="M517" s="164"/>
      <c r="N517" s="465"/>
      <c r="O517" s="462"/>
      <c r="P517" s="486"/>
      <c r="Q517" s="487"/>
      <c r="R517" s="164"/>
      <c r="S517" s="467"/>
      <c r="T517" s="468"/>
      <c r="U517" s="469"/>
      <c r="V517" s="457"/>
      <c r="W517" s="457"/>
      <c r="X517" s="457"/>
      <c r="Y517" s="457"/>
      <c r="Z517" s="457"/>
    </row>
    <row r="518" spans="1:26" ht="18" customHeight="1">
      <c r="A518" s="464"/>
      <c r="B518" s="458"/>
      <c r="C518" s="483"/>
      <c r="D518" s="464"/>
      <c r="E518" s="464"/>
      <c r="F518" s="484"/>
      <c r="G518" s="460"/>
      <c r="H518" s="485"/>
      <c r="I518" s="164"/>
      <c r="J518" s="462"/>
      <c r="K518" s="481"/>
      <c r="L518" s="464"/>
      <c r="M518" s="164"/>
      <c r="N518" s="465"/>
      <c r="O518" s="462"/>
      <c r="P518" s="486"/>
      <c r="Q518" s="487"/>
      <c r="R518" s="164"/>
      <c r="S518" s="467"/>
      <c r="T518" s="468"/>
      <c r="U518" s="469"/>
      <c r="V518" s="457"/>
      <c r="W518" s="457"/>
      <c r="X518" s="457"/>
      <c r="Y518" s="457"/>
      <c r="Z518" s="457"/>
    </row>
    <row r="519" spans="1:26" ht="18" customHeight="1">
      <c r="A519" s="464"/>
      <c r="B519" s="458"/>
      <c r="C519" s="483"/>
      <c r="D519" s="464"/>
      <c r="E519" s="464"/>
      <c r="F519" s="484"/>
      <c r="G519" s="460"/>
      <c r="H519" s="485"/>
      <c r="I519" s="164"/>
      <c r="J519" s="462"/>
      <c r="K519" s="481"/>
      <c r="L519" s="464"/>
      <c r="M519" s="164"/>
      <c r="N519" s="465"/>
      <c r="O519" s="462"/>
      <c r="P519" s="486"/>
      <c r="Q519" s="487"/>
      <c r="R519" s="164"/>
      <c r="S519" s="467"/>
      <c r="T519" s="468"/>
      <c r="U519" s="469"/>
      <c r="V519" s="457"/>
      <c r="W519" s="457"/>
      <c r="X519" s="457"/>
      <c r="Y519" s="457"/>
      <c r="Z519" s="457"/>
    </row>
    <row r="520" spans="1:26" ht="18" customHeight="1">
      <c r="A520" s="464"/>
      <c r="B520" s="458"/>
      <c r="C520" s="483"/>
      <c r="D520" s="464"/>
      <c r="E520" s="464"/>
      <c r="F520" s="484"/>
      <c r="G520" s="460"/>
      <c r="H520" s="485"/>
      <c r="I520" s="164"/>
      <c r="J520" s="462"/>
      <c r="K520" s="481"/>
      <c r="L520" s="464"/>
      <c r="M520" s="164"/>
      <c r="N520" s="465"/>
      <c r="O520" s="462"/>
      <c r="P520" s="486"/>
      <c r="Q520" s="487"/>
      <c r="R520" s="164"/>
      <c r="S520" s="467"/>
      <c r="T520" s="468"/>
      <c r="U520" s="469"/>
      <c r="V520" s="457"/>
      <c r="W520" s="457"/>
      <c r="X520" s="457"/>
      <c r="Y520" s="457"/>
      <c r="Z520" s="457"/>
    </row>
    <row r="521" spans="1:26" ht="18" customHeight="1">
      <c r="A521" s="464"/>
      <c r="B521" s="458"/>
      <c r="C521" s="483"/>
      <c r="D521" s="464"/>
      <c r="E521" s="464"/>
      <c r="F521" s="484"/>
      <c r="G521" s="460"/>
      <c r="H521" s="485"/>
      <c r="I521" s="164"/>
      <c r="J521" s="462"/>
      <c r="K521" s="481"/>
      <c r="L521" s="464"/>
      <c r="M521" s="164"/>
      <c r="N521" s="465"/>
      <c r="O521" s="462"/>
      <c r="P521" s="486"/>
      <c r="Q521" s="487"/>
      <c r="R521" s="164"/>
      <c r="S521" s="467"/>
      <c r="T521" s="468"/>
      <c r="U521" s="469"/>
      <c r="V521" s="457"/>
      <c r="W521" s="457"/>
      <c r="X521" s="457"/>
      <c r="Y521" s="457"/>
      <c r="Z521" s="457"/>
    </row>
    <row r="522" spans="1:26" ht="18" customHeight="1">
      <c r="A522" s="464"/>
      <c r="B522" s="458"/>
      <c r="C522" s="483"/>
      <c r="D522" s="464"/>
      <c r="E522" s="464"/>
      <c r="F522" s="484"/>
      <c r="G522" s="460"/>
      <c r="H522" s="485"/>
      <c r="I522" s="164"/>
      <c r="J522" s="462"/>
      <c r="K522" s="481"/>
      <c r="L522" s="464"/>
      <c r="M522" s="164"/>
      <c r="N522" s="465"/>
      <c r="O522" s="462"/>
      <c r="P522" s="486"/>
      <c r="Q522" s="487"/>
      <c r="R522" s="164"/>
      <c r="S522" s="467"/>
      <c r="T522" s="468"/>
      <c r="U522" s="469"/>
      <c r="V522" s="457"/>
      <c r="W522" s="457"/>
      <c r="X522" s="457"/>
      <c r="Y522" s="457"/>
      <c r="Z522" s="457"/>
    </row>
    <row r="523" spans="1:26" ht="18" customHeight="1">
      <c r="A523" s="464"/>
      <c r="B523" s="458"/>
      <c r="C523" s="483"/>
      <c r="D523" s="464"/>
      <c r="E523" s="464"/>
      <c r="F523" s="484"/>
      <c r="G523" s="460"/>
      <c r="H523" s="485"/>
      <c r="I523" s="164"/>
      <c r="J523" s="462"/>
      <c r="K523" s="481"/>
      <c r="L523" s="464"/>
      <c r="M523" s="164"/>
      <c r="N523" s="465"/>
      <c r="O523" s="462"/>
      <c r="P523" s="486"/>
      <c r="Q523" s="487"/>
      <c r="R523" s="164"/>
      <c r="S523" s="467"/>
      <c r="T523" s="468"/>
      <c r="U523" s="469"/>
      <c r="V523" s="457"/>
      <c r="W523" s="457"/>
      <c r="X523" s="457"/>
      <c r="Y523" s="457"/>
      <c r="Z523" s="457"/>
    </row>
    <row r="524" spans="1:26" ht="18" customHeight="1">
      <c r="A524" s="464"/>
      <c r="B524" s="458"/>
      <c r="C524" s="483"/>
      <c r="D524" s="464"/>
      <c r="E524" s="464"/>
      <c r="F524" s="484"/>
      <c r="G524" s="460"/>
      <c r="H524" s="485"/>
      <c r="I524" s="164"/>
      <c r="J524" s="462"/>
      <c r="K524" s="481"/>
      <c r="L524" s="464"/>
      <c r="M524" s="164"/>
      <c r="N524" s="465"/>
      <c r="O524" s="462"/>
      <c r="P524" s="486"/>
      <c r="Q524" s="487"/>
      <c r="R524" s="164"/>
      <c r="S524" s="467"/>
      <c r="T524" s="468"/>
      <c r="U524" s="469"/>
      <c r="V524" s="457"/>
      <c r="W524" s="457"/>
      <c r="X524" s="457"/>
      <c r="Y524" s="457"/>
      <c r="Z524" s="457"/>
    </row>
    <row r="525" spans="1:26" ht="18" customHeight="1">
      <c r="A525" s="464"/>
      <c r="B525" s="458"/>
      <c r="C525" s="483"/>
      <c r="D525" s="464"/>
      <c r="E525" s="464"/>
      <c r="F525" s="484"/>
      <c r="G525" s="460"/>
      <c r="H525" s="485"/>
      <c r="I525" s="164"/>
      <c r="J525" s="462"/>
      <c r="K525" s="481"/>
      <c r="L525" s="464"/>
      <c r="M525" s="164"/>
      <c r="N525" s="465"/>
      <c r="O525" s="462"/>
      <c r="P525" s="486"/>
      <c r="Q525" s="487"/>
      <c r="R525" s="164"/>
      <c r="S525" s="467"/>
      <c r="T525" s="468"/>
      <c r="U525" s="469"/>
      <c r="V525" s="457"/>
      <c r="W525" s="457"/>
      <c r="X525" s="457"/>
      <c r="Y525" s="457"/>
      <c r="Z525" s="457"/>
    </row>
    <row r="526" spans="1:26" ht="18" customHeight="1">
      <c r="A526" s="464"/>
      <c r="B526" s="458"/>
      <c r="C526" s="483"/>
      <c r="D526" s="464"/>
      <c r="E526" s="464"/>
      <c r="F526" s="484"/>
      <c r="G526" s="460"/>
      <c r="H526" s="485"/>
      <c r="I526" s="164"/>
      <c r="J526" s="462"/>
      <c r="K526" s="481"/>
      <c r="L526" s="464"/>
      <c r="M526" s="164"/>
      <c r="N526" s="465"/>
      <c r="O526" s="462"/>
      <c r="P526" s="486"/>
      <c r="Q526" s="487"/>
      <c r="R526" s="164"/>
      <c r="S526" s="467"/>
      <c r="T526" s="468"/>
      <c r="U526" s="469"/>
      <c r="V526" s="457"/>
      <c r="W526" s="457"/>
      <c r="X526" s="457"/>
      <c r="Y526" s="457"/>
      <c r="Z526" s="457"/>
    </row>
    <row r="527" spans="1:26" ht="18" customHeight="1">
      <c r="A527" s="464"/>
      <c r="B527" s="458"/>
      <c r="C527" s="483"/>
      <c r="D527" s="464"/>
      <c r="E527" s="464"/>
      <c r="F527" s="484"/>
      <c r="G527" s="460"/>
      <c r="H527" s="485"/>
      <c r="I527" s="164"/>
      <c r="J527" s="462"/>
      <c r="K527" s="481"/>
      <c r="L527" s="464"/>
      <c r="M527" s="164"/>
      <c r="N527" s="465"/>
      <c r="O527" s="462"/>
      <c r="P527" s="486"/>
      <c r="Q527" s="487"/>
      <c r="R527" s="164"/>
      <c r="S527" s="467"/>
      <c r="T527" s="468"/>
      <c r="U527" s="469"/>
      <c r="V527" s="457"/>
      <c r="W527" s="457"/>
      <c r="X527" s="457"/>
      <c r="Y527" s="457"/>
      <c r="Z527" s="457"/>
    </row>
    <row r="528" spans="1:26" ht="18" customHeight="1">
      <c r="A528" s="464"/>
      <c r="B528" s="458"/>
      <c r="C528" s="483"/>
      <c r="D528" s="464"/>
      <c r="E528" s="464"/>
      <c r="F528" s="484"/>
      <c r="G528" s="460"/>
      <c r="H528" s="485"/>
      <c r="I528" s="164"/>
      <c r="J528" s="462"/>
      <c r="K528" s="481"/>
      <c r="L528" s="464"/>
      <c r="M528" s="164"/>
      <c r="N528" s="465"/>
      <c r="O528" s="462"/>
      <c r="P528" s="486"/>
      <c r="Q528" s="487"/>
      <c r="R528" s="164"/>
      <c r="S528" s="467"/>
      <c r="T528" s="468"/>
      <c r="U528" s="469"/>
      <c r="V528" s="457"/>
      <c r="W528" s="457"/>
      <c r="X528" s="457"/>
      <c r="Y528" s="457"/>
      <c r="Z528" s="457"/>
    </row>
    <row r="529" spans="1:26" ht="18" customHeight="1">
      <c r="A529" s="464"/>
      <c r="B529" s="458"/>
      <c r="C529" s="483"/>
      <c r="D529" s="464"/>
      <c r="E529" s="464"/>
      <c r="F529" s="484"/>
      <c r="G529" s="460"/>
      <c r="H529" s="485"/>
      <c r="I529" s="164"/>
      <c r="J529" s="462"/>
      <c r="K529" s="481"/>
      <c r="L529" s="464"/>
      <c r="M529" s="164"/>
      <c r="N529" s="465"/>
      <c r="O529" s="462"/>
      <c r="P529" s="486"/>
      <c r="Q529" s="487"/>
      <c r="R529" s="164"/>
      <c r="S529" s="467"/>
      <c r="T529" s="468"/>
      <c r="U529" s="469"/>
      <c r="V529" s="457"/>
      <c r="W529" s="457"/>
      <c r="X529" s="457"/>
      <c r="Y529" s="457"/>
      <c r="Z529" s="457"/>
    </row>
    <row r="530" spans="1:26" ht="18" customHeight="1">
      <c r="A530" s="464"/>
      <c r="B530" s="458"/>
      <c r="C530" s="483"/>
      <c r="D530" s="464"/>
      <c r="E530" s="464"/>
      <c r="F530" s="484"/>
      <c r="G530" s="460"/>
      <c r="H530" s="485"/>
      <c r="I530" s="164"/>
      <c r="J530" s="462"/>
      <c r="K530" s="481"/>
      <c r="L530" s="464"/>
      <c r="M530" s="164"/>
      <c r="N530" s="465"/>
      <c r="O530" s="462"/>
      <c r="P530" s="486"/>
      <c r="Q530" s="487"/>
      <c r="R530" s="164"/>
      <c r="S530" s="467"/>
      <c r="T530" s="468"/>
      <c r="U530" s="469"/>
      <c r="V530" s="457"/>
      <c r="W530" s="457"/>
      <c r="X530" s="457"/>
      <c r="Y530" s="457"/>
      <c r="Z530" s="457"/>
    </row>
    <row r="531" spans="1:26" ht="18" customHeight="1">
      <c r="A531" s="464"/>
      <c r="B531" s="458"/>
      <c r="C531" s="483"/>
      <c r="D531" s="464"/>
      <c r="E531" s="464"/>
      <c r="F531" s="484"/>
      <c r="G531" s="460"/>
      <c r="H531" s="485"/>
      <c r="I531" s="164"/>
      <c r="J531" s="462"/>
      <c r="K531" s="481"/>
      <c r="L531" s="464"/>
      <c r="M531" s="164"/>
      <c r="N531" s="465"/>
      <c r="O531" s="462"/>
      <c r="P531" s="486"/>
      <c r="Q531" s="487"/>
      <c r="R531" s="164"/>
      <c r="S531" s="467"/>
      <c r="T531" s="468"/>
      <c r="U531" s="469"/>
      <c r="V531" s="457"/>
      <c r="W531" s="457"/>
      <c r="X531" s="457"/>
      <c r="Y531" s="457"/>
      <c r="Z531" s="457"/>
    </row>
    <row r="532" spans="1:26" ht="18" customHeight="1">
      <c r="A532" s="464"/>
      <c r="B532" s="458"/>
      <c r="C532" s="483"/>
      <c r="D532" s="464"/>
      <c r="E532" s="464"/>
      <c r="F532" s="484"/>
      <c r="G532" s="460"/>
      <c r="H532" s="485"/>
      <c r="I532" s="164"/>
      <c r="J532" s="462"/>
      <c r="K532" s="481"/>
      <c r="L532" s="464"/>
      <c r="M532" s="164"/>
      <c r="N532" s="465"/>
      <c r="O532" s="462"/>
      <c r="P532" s="486"/>
      <c r="Q532" s="487"/>
      <c r="R532" s="164"/>
      <c r="S532" s="467"/>
      <c r="T532" s="468"/>
      <c r="U532" s="469"/>
      <c r="V532" s="457"/>
      <c r="W532" s="457"/>
      <c r="X532" s="457"/>
      <c r="Y532" s="457"/>
      <c r="Z532" s="457"/>
    </row>
    <row r="533" spans="1:26" ht="18" customHeight="1">
      <c r="A533" s="464"/>
      <c r="B533" s="458"/>
      <c r="C533" s="483"/>
      <c r="D533" s="464"/>
      <c r="E533" s="464"/>
      <c r="F533" s="484"/>
      <c r="G533" s="460"/>
      <c r="H533" s="485"/>
      <c r="I533" s="164"/>
      <c r="J533" s="462"/>
      <c r="K533" s="481"/>
      <c r="L533" s="464"/>
      <c r="M533" s="164"/>
      <c r="N533" s="465"/>
      <c r="O533" s="462"/>
      <c r="P533" s="486"/>
      <c r="Q533" s="487"/>
      <c r="R533" s="164"/>
      <c r="S533" s="467"/>
      <c r="T533" s="468"/>
      <c r="U533" s="469"/>
      <c r="V533" s="457"/>
      <c r="W533" s="457"/>
      <c r="X533" s="457"/>
      <c r="Y533" s="457"/>
      <c r="Z533" s="457"/>
    </row>
    <row r="534" spans="1:26" ht="18" customHeight="1">
      <c r="A534" s="464"/>
      <c r="B534" s="458"/>
      <c r="C534" s="483"/>
      <c r="D534" s="464"/>
      <c r="E534" s="464"/>
      <c r="F534" s="484"/>
      <c r="G534" s="460"/>
      <c r="H534" s="485"/>
      <c r="I534" s="164"/>
      <c r="J534" s="462"/>
      <c r="K534" s="481"/>
      <c r="L534" s="464"/>
      <c r="M534" s="164"/>
      <c r="N534" s="465"/>
      <c r="O534" s="462"/>
      <c r="P534" s="486"/>
      <c r="Q534" s="487"/>
      <c r="R534" s="164"/>
      <c r="S534" s="467"/>
      <c r="T534" s="468"/>
      <c r="U534" s="469"/>
      <c r="V534" s="457"/>
      <c r="W534" s="457"/>
      <c r="X534" s="457"/>
      <c r="Y534" s="457"/>
      <c r="Z534" s="457"/>
    </row>
    <row r="535" spans="1:26" ht="18" customHeight="1">
      <c r="A535" s="464"/>
      <c r="B535" s="458"/>
      <c r="C535" s="483"/>
      <c r="D535" s="464"/>
      <c r="E535" s="464"/>
      <c r="F535" s="484"/>
      <c r="G535" s="460"/>
      <c r="H535" s="485"/>
      <c r="I535" s="164"/>
      <c r="J535" s="462"/>
      <c r="K535" s="481"/>
      <c r="L535" s="464"/>
      <c r="M535" s="164"/>
      <c r="N535" s="465"/>
      <c r="O535" s="462"/>
      <c r="P535" s="486"/>
      <c r="Q535" s="487"/>
      <c r="R535" s="164"/>
      <c r="S535" s="467"/>
      <c r="T535" s="468"/>
      <c r="U535" s="469"/>
      <c r="V535" s="457"/>
      <c r="W535" s="457"/>
      <c r="X535" s="457"/>
      <c r="Y535" s="457"/>
      <c r="Z535" s="457"/>
    </row>
    <row r="536" spans="1:26" ht="18" customHeight="1">
      <c r="A536" s="464"/>
      <c r="B536" s="458"/>
      <c r="C536" s="483"/>
      <c r="D536" s="464"/>
      <c r="E536" s="464"/>
      <c r="F536" s="484"/>
      <c r="G536" s="460"/>
      <c r="H536" s="485"/>
      <c r="I536" s="164"/>
      <c r="J536" s="462"/>
      <c r="K536" s="481"/>
      <c r="L536" s="464"/>
      <c r="M536" s="164"/>
      <c r="N536" s="465"/>
      <c r="O536" s="462"/>
      <c r="P536" s="486"/>
      <c r="Q536" s="487"/>
      <c r="R536" s="164"/>
      <c r="S536" s="467"/>
      <c r="T536" s="468"/>
      <c r="U536" s="469"/>
      <c r="V536" s="457"/>
      <c r="W536" s="457"/>
      <c r="X536" s="457"/>
      <c r="Y536" s="457"/>
      <c r="Z536" s="457"/>
    </row>
    <row r="537" spans="1:26" ht="18" customHeight="1">
      <c r="A537" s="464"/>
      <c r="B537" s="458"/>
      <c r="C537" s="483"/>
      <c r="D537" s="464"/>
      <c r="E537" s="464"/>
      <c r="F537" s="484"/>
      <c r="G537" s="460"/>
      <c r="H537" s="485"/>
      <c r="I537" s="164"/>
      <c r="J537" s="462"/>
      <c r="K537" s="481"/>
      <c r="L537" s="464"/>
      <c r="M537" s="164"/>
      <c r="N537" s="465"/>
      <c r="O537" s="462"/>
      <c r="P537" s="486"/>
      <c r="Q537" s="487"/>
      <c r="R537" s="164"/>
      <c r="S537" s="467"/>
      <c r="T537" s="468"/>
      <c r="U537" s="469"/>
      <c r="V537" s="457"/>
      <c r="W537" s="457"/>
      <c r="X537" s="457"/>
      <c r="Y537" s="457"/>
      <c r="Z537" s="457"/>
    </row>
    <row r="538" spans="1:26" ht="18" customHeight="1">
      <c r="A538" s="464"/>
      <c r="B538" s="458"/>
      <c r="C538" s="483"/>
      <c r="D538" s="464"/>
      <c r="E538" s="464"/>
      <c r="F538" s="484"/>
      <c r="G538" s="460"/>
      <c r="H538" s="485"/>
      <c r="I538" s="164"/>
      <c r="J538" s="462"/>
      <c r="K538" s="481"/>
      <c r="L538" s="464"/>
      <c r="M538" s="164"/>
      <c r="N538" s="465"/>
      <c r="O538" s="462"/>
      <c r="P538" s="486"/>
      <c r="Q538" s="487"/>
      <c r="R538" s="164"/>
      <c r="S538" s="467"/>
      <c r="T538" s="468"/>
      <c r="U538" s="469"/>
      <c r="V538" s="457"/>
      <c r="W538" s="457"/>
      <c r="X538" s="457"/>
      <c r="Y538" s="457"/>
      <c r="Z538" s="457"/>
    </row>
    <row r="539" spans="1:26" ht="18" customHeight="1">
      <c r="A539" s="464"/>
      <c r="B539" s="458"/>
      <c r="C539" s="483"/>
      <c r="D539" s="464"/>
      <c r="E539" s="464"/>
      <c r="F539" s="484"/>
      <c r="G539" s="460"/>
      <c r="H539" s="485"/>
      <c r="I539" s="164"/>
      <c r="J539" s="462"/>
      <c r="K539" s="481"/>
      <c r="L539" s="464"/>
      <c r="M539" s="164"/>
      <c r="N539" s="465"/>
      <c r="O539" s="462"/>
      <c r="P539" s="486"/>
      <c r="Q539" s="487"/>
      <c r="R539" s="164"/>
      <c r="S539" s="467"/>
      <c r="T539" s="468"/>
      <c r="U539" s="469"/>
      <c r="V539" s="457"/>
      <c r="W539" s="457"/>
      <c r="X539" s="457"/>
      <c r="Y539" s="457"/>
      <c r="Z539" s="457"/>
    </row>
    <row r="540" spans="1:26" ht="18" customHeight="1">
      <c r="A540" s="464"/>
      <c r="B540" s="458"/>
      <c r="C540" s="483"/>
      <c r="D540" s="464"/>
      <c r="E540" s="464"/>
      <c r="F540" s="484"/>
      <c r="G540" s="460"/>
      <c r="H540" s="485"/>
      <c r="I540" s="164"/>
      <c r="J540" s="462"/>
      <c r="K540" s="481"/>
      <c r="L540" s="464"/>
      <c r="M540" s="164"/>
      <c r="N540" s="465"/>
      <c r="O540" s="462"/>
      <c r="P540" s="486"/>
      <c r="Q540" s="487"/>
      <c r="R540" s="164"/>
      <c r="S540" s="467"/>
      <c r="T540" s="468"/>
      <c r="U540" s="469"/>
      <c r="V540" s="457"/>
      <c r="W540" s="457"/>
      <c r="X540" s="457"/>
      <c r="Y540" s="457"/>
      <c r="Z540" s="457"/>
    </row>
    <row r="541" spans="1:26" ht="18" customHeight="1">
      <c r="A541" s="464"/>
      <c r="B541" s="458"/>
      <c r="C541" s="483"/>
      <c r="D541" s="464"/>
      <c r="E541" s="464"/>
      <c r="F541" s="484"/>
      <c r="G541" s="460"/>
      <c r="H541" s="485"/>
      <c r="I541" s="164"/>
      <c r="J541" s="462"/>
      <c r="K541" s="481"/>
      <c r="L541" s="464"/>
      <c r="M541" s="164"/>
      <c r="N541" s="465"/>
      <c r="O541" s="462"/>
      <c r="P541" s="486"/>
      <c r="Q541" s="487"/>
      <c r="R541" s="164"/>
      <c r="S541" s="467"/>
      <c r="T541" s="468"/>
      <c r="U541" s="469"/>
      <c r="V541" s="457"/>
      <c r="W541" s="457"/>
      <c r="X541" s="457"/>
      <c r="Y541" s="457"/>
      <c r="Z541" s="457"/>
    </row>
    <row r="542" spans="1:26" ht="18" customHeight="1">
      <c r="A542" s="464"/>
      <c r="B542" s="458"/>
      <c r="C542" s="483"/>
      <c r="D542" s="464"/>
      <c r="E542" s="464"/>
      <c r="F542" s="484"/>
      <c r="G542" s="460"/>
      <c r="H542" s="485"/>
      <c r="I542" s="164"/>
      <c r="J542" s="462"/>
      <c r="K542" s="481"/>
      <c r="L542" s="464"/>
      <c r="M542" s="164"/>
      <c r="N542" s="465"/>
      <c r="O542" s="462"/>
      <c r="P542" s="486"/>
      <c r="Q542" s="487"/>
      <c r="R542" s="164"/>
      <c r="S542" s="467"/>
      <c r="T542" s="468"/>
      <c r="U542" s="469"/>
      <c r="V542" s="457"/>
      <c r="W542" s="457"/>
      <c r="X542" s="457"/>
      <c r="Y542" s="457"/>
      <c r="Z542" s="457"/>
    </row>
    <row r="543" spans="1:26" ht="18" customHeight="1">
      <c r="A543" s="464"/>
      <c r="B543" s="458"/>
      <c r="C543" s="483"/>
      <c r="D543" s="464"/>
      <c r="E543" s="464"/>
      <c r="F543" s="484"/>
      <c r="G543" s="460"/>
      <c r="H543" s="485"/>
      <c r="I543" s="164"/>
      <c r="J543" s="462"/>
      <c r="K543" s="481"/>
      <c r="L543" s="464"/>
      <c r="M543" s="164"/>
      <c r="N543" s="465"/>
      <c r="O543" s="462"/>
      <c r="P543" s="486"/>
      <c r="Q543" s="487"/>
      <c r="R543" s="164"/>
      <c r="S543" s="467"/>
      <c r="T543" s="468"/>
      <c r="U543" s="469"/>
      <c r="V543" s="457"/>
      <c r="W543" s="457"/>
      <c r="X543" s="457"/>
      <c r="Y543" s="457"/>
      <c r="Z543" s="457"/>
    </row>
    <row r="544" spans="1:26" ht="18" customHeight="1">
      <c r="A544" s="464"/>
      <c r="B544" s="458"/>
      <c r="C544" s="483"/>
      <c r="D544" s="464"/>
      <c r="E544" s="464"/>
      <c r="F544" s="484"/>
      <c r="G544" s="460"/>
      <c r="H544" s="485"/>
      <c r="I544" s="164"/>
      <c r="J544" s="462"/>
      <c r="K544" s="481"/>
      <c r="L544" s="464"/>
      <c r="M544" s="164"/>
      <c r="N544" s="465"/>
      <c r="O544" s="462"/>
      <c r="P544" s="486"/>
      <c r="Q544" s="487"/>
      <c r="R544" s="164"/>
      <c r="S544" s="467"/>
      <c r="T544" s="468"/>
      <c r="U544" s="469"/>
      <c r="V544" s="457"/>
      <c r="W544" s="457"/>
      <c r="X544" s="457"/>
      <c r="Y544" s="457"/>
      <c r="Z544" s="457"/>
    </row>
    <row r="545" spans="1:26" ht="18" customHeight="1">
      <c r="A545" s="464"/>
      <c r="B545" s="458"/>
      <c r="C545" s="483"/>
      <c r="D545" s="464"/>
      <c r="E545" s="464"/>
      <c r="F545" s="484"/>
      <c r="G545" s="460"/>
      <c r="H545" s="485"/>
      <c r="I545" s="164"/>
      <c r="J545" s="462"/>
      <c r="K545" s="481"/>
      <c r="L545" s="464"/>
      <c r="M545" s="164"/>
      <c r="N545" s="465"/>
      <c r="O545" s="462"/>
      <c r="P545" s="486"/>
      <c r="Q545" s="487"/>
      <c r="R545" s="164"/>
      <c r="S545" s="467"/>
      <c r="T545" s="468"/>
      <c r="U545" s="469"/>
      <c r="V545" s="457"/>
      <c r="W545" s="457"/>
      <c r="X545" s="457"/>
      <c r="Y545" s="457"/>
      <c r="Z545" s="457"/>
    </row>
    <row r="546" spans="1:26" ht="18" customHeight="1">
      <c r="A546" s="464"/>
      <c r="B546" s="458"/>
      <c r="C546" s="483"/>
      <c r="D546" s="464"/>
      <c r="E546" s="464"/>
      <c r="F546" s="484"/>
      <c r="G546" s="460"/>
      <c r="H546" s="485"/>
      <c r="I546" s="164"/>
      <c r="J546" s="462"/>
      <c r="K546" s="481"/>
      <c r="L546" s="464"/>
      <c r="M546" s="164"/>
      <c r="N546" s="465"/>
      <c r="O546" s="462"/>
      <c r="P546" s="486"/>
      <c r="Q546" s="487"/>
      <c r="R546" s="164"/>
      <c r="S546" s="467"/>
      <c r="T546" s="468"/>
      <c r="U546" s="469"/>
      <c r="V546" s="457"/>
      <c r="W546" s="457"/>
      <c r="X546" s="457"/>
      <c r="Y546" s="457"/>
      <c r="Z546" s="457"/>
    </row>
    <row r="547" spans="1:26" ht="18" customHeight="1">
      <c r="A547" s="464"/>
      <c r="B547" s="458"/>
      <c r="C547" s="483"/>
      <c r="D547" s="464"/>
      <c r="E547" s="464"/>
      <c r="F547" s="484"/>
      <c r="G547" s="460"/>
      <c r="H547" s="485"/>
      <c r="I547" s="164"/>
      <c r="J547" s="462"/>
      <c r="K547" s="481"/>
      <c r="L547" s="464"/>
      <c r="M547" s="164"/>
      <c r="N547" s="465"/>
      <c r="O547" s="462"/>
      <c r="P547" s="486"/>
      <c r="Q547" s="487"/>
      <c r="R547" s="164"/>
      <c r="S547" s="467"/>
      <c r="T547" s="468"/>
      <c r="U547" s="469"/>
      <c r="V547" s="457"/>
      <c r="W547" s="457"/>
      <c r="X547" s="457"/>
      <c r="Y547" s="457"/>
      <c r="Z547" s="457"/>
    </row>
    <row r="548" spans="1:26" ht="18" customHeight="1">
      <c r="A548" s="464"/>
      <c r="B548" s="458"/>
      <c r="C548" s="483"/>
      <c r="D548" s="464"/>
      <c r="E548" s="464"/>
      <c r="F548" s="484"/>
      <c r="G548" s="460"/>
      <c r="H548" s="485"/>
      <c r="I548" s="164"/>
      <c r="J548" s="462"/>
      <c r="K548" s="481"/>
      <c r="L548" s="464"/>
      <c r="M548" s="164"/>
      <c r="N548" s="465"/>
      <c r="O548" s="462"/>
      <c r="P548" s="486"/>
      <c r="Q548" s="487"/>
      <c r="R548" s="164"/>
      <c r="S548" s="467"/>
      <c r="T548" s="468"/>
      <c r="U548" s="469"/>
      <c r="V548" s="457"/>
      <c r="W548" s="457"/>
      <c r="X548" s="457"/>
      <c r="Y548" s="457"/>
      <c r="Z548" s="457"/>
    </row>
    <row r="549" spans="1:26" ht="18" customHeight="1">
      <c r="A549" s="464"/>
      <c r="B549" s="458"/>
      <c r="C549" s="483"/>
      <c r="D549" s="464"/>
      <c r="E549" s="464"/>
      <c r="F549" s="484"/>
      <c r="G549" s="460"/>
      <c r="H549" s="485"/>
      <c r="I549" s="164"/>
      <c r="J549" s="462"/>
      <c r="K549" s="481"/>
      <c r="L549" s="464"/>
      <c r="M549" s="164"/>
      <c r="N549" s="465"/>
      <c r="O549" s="462"/>
      <c r="P549" s="486"/>
      <c r="Q549" s="487"/>
      <c r="R549" s="164"/>
      <c r="S549" s="467"/>
      <c r="T549" s="468"/>
      <c r="U549" s="469"/>
      <c r="V549" s="457"/>
      <c r="W549" s="457"/>
      <c r="X549" s="457"/>
      <c r="Y549" s="457"/>
      <c r="Z549" s="457"/>
    </row>
    <row r="550" spans="1:26" ht="18" customHeight="1">
      <c r="A550" s="464"/>
      <c r="B550" s="458"/>
      <c r="C550" s="483"/>
      <c r="D550" s="464"/>
      <c r="E550" s="464"/>
      <c r="F550" s="484"/>
      <c r="G550" s="460"/>
      <c r="H550" s="485"/>
      <c r="I550" s="164"/>
      <c r="J550" s="462"/>
      <c r="K550" s="481"/>
      <c r="L550" s="464"/>
      <c r="M550" s="164"/>
      <c r="N550" s="465"/>
      <c r="O550" s="462"/>
      <c r="P550" s="486"/>
      <c r="Q550" s="487"/>
      <c r="R550" s="164"/>
      <c r="S550" s="467"/>
      <c r="T550" s="468"/>
      <c r="U550" s="469"/>
      <c r="V550" s="457"/>
      <c r="W550" s="457"/>
      <c r="X550" s="457"/>
      <c r="Y550" s="457"/>
      <c r="Z550" s="457"/>
    </row>
    <row r="551" spans="1:26" ht="18" customHeight="1">
      <c r="A551" s="464"/>
      <c r="B551" s="458"/>
      <c r="C551" s="483"/>
      <c r="D551" s="464"/>
      <c r="E551" s="464"/>
      <c r="F551" s="484"/>
      <c r="G551" s="460"/>
      <c r="H551" s="485"/>
      <c r="I551" s="164"/>
      <c r="J551" s="462"/>
      <c r="K551" s="481"/>
      <c r="L551" s="464"/>
      <c r="M551" s="164"/>
      <c r="N551" s="465"/>
      <c r="O551" s="462"/>
      <c r="P551" s="486"/>
      <c r="Q551" s="487"/>
      <c r="R551" s="164"/>
      <c r="S551" s="467"/>
      <c r="T551" s="468"/>
      <c r="U551" s="469"/>
      <c r="V551" s="457"/>
      <c r="W551" s="457"/>
      <c r="X551" s="457"/>
      <c r="Y551" s="457"/>
      <c r="Z551" s="457"/>
    </row>
    <row r="552" spans="1:26" ht="18" customHeight="1">
      <c r="A552" s="464"/>
      <c r="B552" s="458"/>
      <c r="C552" s="483"/>
      <c r="D552" s="464"/>
      <c r="E552" s="464"/>
      <c r="F552" s="484"/>
      <c r="G552" s="460"/>
      <c r="H552" s="485"/>
      <c r="I552" s="164"/>
      <c r="J552" s="462"/>
      <c r="K552" s="481"/>
      <c r="L552" s="464"/>
      <c r="M552" s="164"/>
      <c r="N552" s="465"/>
      <c r="O552" s="462"/>
      <c r="P552" s="486"/>
      <c r="Q552" s="487"/>
      <c r="R552" s="164"/>
      <c r="S552" s="467"/>
      <c r="T552" s="468"/>
      <c r="U552" s="469"/>
      <c r="V552" s="457"/>
      <c r="W552" s="457"/>
      <c r="X552" s="457"/>
      <c r="Y552" s="457"/>
      <c r="Z552" s="457"/>
    </row>
    <row r="553" spans="1:26" ht="18" customHeight="1">
      <c r="A553" s="464"/>
      <c r="B553" s="458"/>
      <c r="C553" s="483"/>
      <c r="D553" s="464"/>
      <c r="E553" s="464"/>
      <c r="F553" s="484"/>
      <c r="G553" s="460"/>
      <c r="H553" s="485"/>
      <c r="I553" s="164"/>
      <c r="J553" s="462"/>
      <c r="K553" s="481"/>
      <c r="L553" s="464"/>
      <c r="M553" s="164"/>
      <c r="N553" s="465"/>
      <c r="O553" s="462"/>
      <c r="P553" s="486"/>
      <c r="Q553" s="487"/>
      <c r="R553" s="164"/>
      <c r="S553" s="467"/>
      <c r="T553" s="468"/>
      <c r="U553" s="469"/>
      <c r="V553" s="457"/>
      <c r="W553" s="457"/>
      <c r="X553" s="457"/>
      <c r="Y553" s="457"/>
      <c r="Z553" s="457"/>
    </row>
    <row r="554" spans="1:26" ht="18" customHeight="1">
      <c r="A554" s="464"/>
      <c r="B554" s="458"/>
      <c r="C554" s="483"/>
      <c r="D554" s="464"/>
      <c r="E554" s="464"/>
      <c r="F554" s="484"/>
      <c r="G554" s="460"/>
      <c r="H554" s="485"/>
      <c r="I554" s="164"/>
      <c r="J554" s="462"/>
      <c r="K554" s="481"/>
      <c r="L554" s="464"/>
      <c r="M554" s="164"/>
      <c r="N554" s="465"/>
      <c r="O554" s="462"/>
      <c r="P554" s="486"/>
      <c r="Q554" s="487"/>
      <c r="R554" s="164"/>
      <c r="S554" s="467"/>
      <c r="T554" s="468"/>
      <c r="U554" s="469"/>
      <c r="V554" s="457"/>
      <c r="W554" s="457"/>
      <c r="X554" s="457"/>
      <c r="Y554" s="457"/>
      <c r="Z554" s="457"/>
    </row>
    <row r="555" spans="1:26" ht="18" customHeight="1">
      <c r="A555" s="464"/>
      <c r="B555" s="458"/>
      <c r="C555" s="483"/>
      <c r="D555" s="464"/>
      <c r="E555" s="464"/>
      <c r="F555" s="484"/>
      <c r="G555" s="460"/>
      <c r="H555" s="485"/>
      <c r="I555" s="164"/>
      <c r="J555" s="462"/>
      <c r="K555" s="481"/>
      <c r="L555" s="464"/>
      <c r="M555" s="164"/>
      <c r="N555" s="465"/>
      <c r="O555" s="462"/>
      <c r="P555" s="486"/>
      <c r="Q555" s="487"/>
      <c r="R555" s="164"/>
      <c r="S555" s="467"/>
      <c r="T555" s="468"/>
      <c r="U555" s="469"/>
      <c r="V555" s="457"/>
      <c r="W555" s="457"/>
      <c r="X555" s="457"/>
      <c r="Y555" s="457"/>
      <c r="Z555" s="457"/>
    </row>
    <row r="556" spans="1:26" ht="18" customHeight="1">
      <c r="A556" s="464"/>
      <c r="B556" s="458"/>
      <c r="C556" s="483"/>
      <c r="D556" s="464"/>
      <c r="E556" s="464"/>
      <c r="F556" s="484"/>
      <c r="G556" s="460"/>
      <c r="H556" s="485"/>
      <c r="I556" s="164"/>
      <c r="J556" s="462"/>
      <c r="K556" s="481"/>
      <c r="L556" s="464"/>
      <c r="M556" s="164"/>
      <c r="N556" s="465"/>
      <c r="O556" s="462"/>
      <c r="P556" s="486"/>
      <c r="Q556" s="487"/>
      <c r="R556" s="164"/>
      <c r="S556" s="467"/>
      <c r="T556" s="468"/>
      <c r="U556" s="469"/>
      <c r="V556" s="457"/>
      <c r="W556" s="457"/>
      <c r="X556" s="457"/>
      <c r="Y556" s="457"/>
      <c r="Z556" s="457"/>
    </row>
    <row r="557" spans="1:26" ht="18" customHeight="1">
      <c r="A557" s="464"/>
      <c r="B557" s="458"/>
      <c r="C557" s="483"/>
      <c r="D557" s="464"/>
      <c r="E557" s="464"/>
      <c r="F557" s="484"/>
      <c r="G557" s="460"/>
      <c r="H557" s="485"/>
      <c r="I557" s="164"/>
      <c r="J557" s="462"/>
      <c r="K557" s="481"/>
      <c r="L557" s="464"/>
      <c r="M557" s="164"/>
      <c r="N557" s="465"/>
      <c r="O557" s="462"/>
      <c r="P557" s="486"/>
      <c r="Q557" s="487"/>
      <c r="R557" s="164"/>
      <c r="S557" s="467"/>
      <c r="T557" s="468"/>
      <c r="U557" s="469"/>
      <c r="V557" s="457"/>
      <c r="W557" s="457"/>
      <c r="X557" s="457"/>
      <c r="Y557" s="457"/>
      <c r="Z557" s="457"/>
    </row>
    <row r="558" spans="1:26" ht="18" customHeight="1">
      <c r="A558" s="464"/>
      <c r="B558" s="458"/>
      <c r="C558" s="483"/>
      <c r="D558" s="464"/>
      <c r="E558" s="464"/>
      <c r="F558" s="484"/>
      <c r="G558" s="460"/>
      <c r="H558" s="485"/>
      <c r="I558" s="164"/>
      <c r="J558" s="462"/>
      <c r="K558" s="481"/>
      <c r="L558" s="464"/>
      <c r="M558" s="164"/>
      <c r="N558" s="465"/>
      <c r="O558" s="462"/>
      <c r="P558" s="486"/>
      <c r="Q558" s="487"/>
      <c r="R558" s="164"/>
      <c r="S558" s="467"/>
      <c r="T558" s="468"/>
      <c r="U558" s="469"/>
      <c r="V558" s="457"/>
      <c r="W558" s="457"/>
      <c r="X558" s="457"/>
      <c r="Y558" s="457"/>
      <c r="Z558" s="457"/>
    </row>
    <row r="559" spans="1:26" ht="18" customHeight="1">
      <c r="A559" s="464"/>
      <c r="B559" s="458"/>
      <c r="C559" s="483"/>
      <c r="D559" s="464"/>
      <c r="E559" s="464"/>
      <c r="F559" s="484"/>
      <c r="G559" s="460"/>
      <c r="H559" s="485"/>
      <c r="I559" s="164"/>
      <c r="J559" s="462"/>
      <c r="K559" s="481"/>
      <c r="L559" s="464"/>
      <c r="M559" s="164"/>
      <c r="N559" s="465"/>
      <c r="O559" s="462"/>
      <c r="P559" s="486"/>
      <c r="Q559" s="487"/>
      <c r="R559" s="164"/>
      <c r="S559" s="467"/>
      <c r="T559" s="468"/>
      <c r="U559" s="469"/>
      <c r="V559" s="457"/>
      <c r="W559" s="457"/>
      <c r="X559" s="457"/>
      <c r="Y559" s="457"/>
      <c r="Z559" s="457"/>
    </row>
    <row r="560" spans="1:26" ht="18" customHeight="1">
      <c r="A560" s="464"/>
      <c r="B560" s="458"/>
      <c r="C560" s="483"/>
      <c r="D560" s="464"/>
      <c r="E560" s="464"/>
      <c r="F560" s="484"/>
      <c r="G560" s="460"/>
      <c r="H560" s="485"/>
      <c r="I560" s="164"/>
      <c r="J560" s="462"/>
      <c r="K560" s="481"/>
      <c r="L560" s="464"/>
      <c r="M560" s="164"/>
      <c r="N560" s="465"/>
      <c r="O560" s="462"/>
      <c r="P560" s="486"/>
      <c r="Q560" s="487"/>
      <c r="R560" s="164"/>
      <c r="S560" s="467"/>
      <c r="T560" s="468"/>
      <c r="U560" s="469"/>
      <c r="V560" s="457"/>
      <c r="W560" s="457"/>
      <c r="X560" s="457"/>
      <c r="Y560" s="457"/>
      <c r="Z560" s="457"/>
    </row>
    <row r="561" spans="1:26" ht="18" customHeight="1">
      <c r="A561" s="464"/>
      <c r="B561" s="458"/>
      <c r="C561" s="483"/>
      <c r="D561" s="464"/>
      <c r="E561" s="464"/>
      <c r="F561" s="484"/>
      <c r="G561" s="460"/>
      <c r="H561" s="485"/>
      <c r="I561" s="164"/>
      <c r="J561" s="462"/>
      <c r="K561" s="481"/>
      <c r="L561" s="464"/>
      <c r="M561" s="164"/>
      <c r="N561" s="465"/>
      <c r="O561" s="462"/>
      <c r="P561" s="486"/>
      <c r="Q561" s="487"/>
      <c r="R561" s="164"/>
      <c r="S561" s="467"/>
      <c r="T561" s="468"/>
      <c r="U561" s="469"/>
      <c r="V561" s="457"/>
      <c r="W561" s="457"/>
      <c r="X561" s="457"/>
      <c r="Y561" s="457"/>
      <c r="Z561" s="457"/>
    </row>
    <row r="562" spans="1:26" ht="18" customHeight="1">
      <c r="A562" s="464"/>
      <c r="B562" s="458"/>
      <c r="C562" s="483"/>
      <c r="D562" s="464"/>
      <c r="E562" s="464"/>
      <c r="F562" s="484"/>
      <c r="G562" s="460"/>
      <c r="H562" s="485"/>
      <c r="I562" s="164"/>
      <c r="J562" s="462"/>
      <c r="K562" s="481"/>
      <c r="L562" s="464"/>
      <c r="M562" s="164"/>
      <c r="N562" s="465"/>
      <c r="O562" s="462"/>
      <c r="P562" s="486"/>
      <c r="Q562" s="487"/>
      <c r="R562" s="164"/>
      <c r="S562" s="467"/>
      <c r="T562" s="468"/>
      <c r="U562" s="469"/>
      <c r="V562" s="457"/>
      <c r="W562" s="457"/>
      <c r="X562" s="457"/>
      <c r="Y562" s="457"/>
      <c r="Z562" s="457"/>
    </row>
    <row r="563" spans="1:26" ht="18" customHeight="1">
      <c r="A563" s="464"/>
      <c r="B563" s="458"/>
      <c r="C563" s="483"/>
      <c r="D563" s="464"/>
      <c r="E563" s="464"/>
      <c r="F563" s="484"/>
      <c r="G563" s="460"/>
      <c r="H563" s="485"/>
      <c r="I563" s="164"/>
      <c r="J563" s="462"/>
      <c r="K563" s="481"/>
      <c r="L563" s="464"/>
      <c r="M563" s="164"/>
      <c r="N563" s="465"/>
      <c r="O563" s="462"/>
      <c r="P563" s="486"/>
      <c r="Q563" s="487"/>
      <c r="R563" s="164"/>
      <c r="S563" s="467"/>
      <c r="T563" s="468"/>
      <c r="U563" s="469"/>
      <c r="V563" s="457"/>
      <c r="W563" s="457"/>
      <c r="X563" s="457"/>
      <c r="Y563" s="457"/>
      <c r="Z563" s="457"/>
    </row>
    <row r="564" spans="1:26" ht="18" customHeight="1">
      <c r="A564" s="464"/>
      <c r="B564" s="458"/>
      <c r="C564" s="483"/>
      <c r="D564" s="464"/>
      <c r="E564" s="464"/>
      <c r="F564" s="484"/>
      <c r="G564" s="460"/>
      <c r="H564" s="485"/>
      <c r="I564" s="164"/>
      <c r="J564" s="462"/>
      <c r="K564" s="481"/>
      <c r="L564" s="464"/>
      <c r="M564" s="164"/>
      <c r="N564" s="465"/>
      <c r="O564" s="462"/>
      <c r="P564" s="486"/>
      <c r="Q564" s="487"/>
      <c r="R564" s="164"/>
      <c r="S564" s="467"/>
      <c r="T564" s="468"/>
      <c r="U564" s="469"/>
      <c r="V564" s="457"/>
      <c r="W564" s="457"/>
      <c r="X564" s="457"/>
      <c r="Y564" s="457"/>
      <c r="Z564" s="457"/>
    </row>
    <row r="565" spans="1:26" ht="18" customHeight="1">
      <c r="A565" s="464"/>
      <c r="B565" s="458"/>
      <c r="C565" s="483"/>
      <c r="D565" s="464"/>
      <c r="E565" s="464"/>
      <c r="F565" s="484"/>
      <c r="G565" s="460"/>
      <c r="H565" s="485"/>
      <c r="I565" s="164"/>
      <c r="J565" s="462"/>
      <c r="K565" s="481"/>
      <c r="L565" s="464"/>
      <c r="M565" s="164"/>
      <c r="N565" s="465"/>
      <c r="O565" s="462"/>
      <c r="P565" s="486"/>
      <c r="Q565" s="487"/>
      <c r="R565" s="164"/>
      <c r="S565" s="467"/>
      <c r="T565" s="468"/>
      <c r="U565" s="469"/>
      <c r="V565" s="457"/>
      <c r="W565" s="457"/>
      <c r="X565" s="457"/>
      <c r="Y565" s="457"/>
      <c r="Z565" s="457"/>
    </row>
    <row r="566" spans="1:26" ht="18" customHeight="1">
      <c r="A566" s="464"/>
      <c r="B566" s="458"/>
      <c r="C566" s="483"/>
      <c r="D566" s="464"/>
      <c r="E566" s="464"/>
      <c r="F566" s="484"/>
      <c r="G566" s="460"/>
      <c r="H566" s="485"/>
      <c r="I566" s="164"/>
      <c r="J566" s="462"/>
      <c r="K566" s="481"/>
      <c r="L566" s="464"/>
      <c r="M566" s="164"/>
      <c r="N566" s="465"/>
      <c r="O566" s="462"/>
      <c r="P566" s="486"/>
      <c r="Q566" s="487"/>
      <c r="R566" s="164"/>
      <c r="S566" s="467"/>
      <c r="T566" s="468"/>
      <c r="U566" s="469"/>
      <c r="V566" s="457"/>
      <c r="W566" s="457"/>
      <c r="X566" s="457"/>
      <c r="Y566" s="457"/>
      <c r="Z566" s="457"/>
    </row>
    <row r="567" spans="1:26" ht="18" customHeight="1">
      <c r="A567" s="464"/>
      <c r="B567" s="458"/>
      <c r="C567" s="483"/>
      <c r="D567" s="464"/>
      <c r="E567" s="464"/>
      <c r="F567" s="484"/>
      <c r="G567" s="460"/>
      <c r="H567" s="485"/>
      <c r="I567" s="164"/>
      <c r="J567" s="462"/>
      <c r="K567" s="481"/>
      <c r="L567" s="464"/>
      <c r="M567" s="164"/>
      <c r="N567" s="465"/>
      <c r="O567" s="462"/>
      <c r="P567" s="486"/>
      <c r="Q567" s="487"/>
      <c r="R567" s="164"/>
      <c r="S567" s="467"/>
      <c r="T567" s="468"/>
      <c r="U567" s="469"/>
      <c r="V567" s="457"/>
      <c r="W567" s="457"/>
      <c r="X567" s="457"/>
      <c r="Y567" s="457"/>
      <c r="Z567" s="457"/>
    </row>
    <row r="568" spans="1:26" ht="18" customHeight="1">
      <c r="A568" s="464"/>
      <c r="B568" s="458"/>
      <c r="C568" s="483"/>
      <c r="D568" s="464"/>
      <c r="E568" s="464"/>
      <c r="F568" s="484"/>
      <c r="G568" s="460"/>
      <c r="H568" s="485"/>
      <c r="I568" s="164"/>
      <c r="J568" s="462"/>
      <c r="K568" s="481"/>
      <c r="L568" s="464"/>
      <c r="M568" s="164"/>
      <c r="N568" s="465"/>
      <c r="O568" s="462"/>
      <c r="P568" s="486"/>
      <c r="Q568" s="487"/>
      <c r="R568" s="164"/>
      <c r="S568" s="467"/>
      <c r="T568" s="468"/>
      <c r="U568" s="469"/>
      <c r="V568" s="457"/>
      <c r="W568" s="457"/>
      <c r="X568" s="457"/>
      <c r="Y568" s="457"/>
      <c r="Z568" s="457"/>
    </row>
    <row r="569" spans="1:26" ht="18" customHeight="1">
      <c r="A569" s="464"/>
      <c r="B569" s="458"/>
      <c r="C569" s="483"/>
      <c r="D569" s="464"/>
      <c r="E569" s="464"/>
      <c r="F569" s="484"/>
      <c r="G569" s="460"/>
      <c r="H569" s="485"/>
      <c r="I569" s="164"/>
      <c r="J569" s="462"/>
      <c r="K569" s="481"/>
      <c r="L569" s="464"/>
      <c r="M569" s="164"/>
      <c r="N569" s="465"/>
      <c r="O569" s="462"/>
      <c r="P569" s="486"/>
      <c r="Q569" s="487"/>
      <c r="R569" s="164"/>
      <c r="S569" s="467"/>
      <c r="T569" s="468"/>
      <c r="U569" s="469"/>
      <c r="V569" s="457"/>
      <c r="W569" s="457"/>
      <c r="X569" s="457"/>
      <c r="Y569" s="457"/>
      <c r="Z569" s="457"/>
    </row>
    <row r="570" spans="1:26" ht="18" customHeight="1">
      <c r="A570" s="464"/>
      <c r="B570" s="458"/>
      <c r="C570" s="483"/>
      <c r="D570" s="464"/>
      <c r="E570" s="464"/>
      <c r="F570" s="484"/>
      <c r="G570" s="460"/>
      <c r="H570" s="485"/>
      <c r="I570" s="164"/>
      <c r="J570" s="462"/>
      <c r="K570" s="481"/>
      <c r="L570" s="464"/>
      <c r="M570" s="164"/>
      <c r="N570" s="465"/>
      <c r="O570" s="462"/>
      <c r="P570" s="486"/>
      <c r="Q570" s="487"/>
      <c r="R570" s="164"/>
      <c r="S570" s="467"/>
      <c r="T570" s="468"/>
      <c r="U570" s="469"/>
      <c r="V570" s="457"/>
      <c r="W570" s="457"/>
      <c r="X570" s="457"/>
      <c r="Y570" s="457"/>
      <c r="Z570" s="457"/>
    </row>
    <row r="571" spans="1:26" ht="18" customHeight="1">
      <c r="A571" s="464"/>
      <c r="B571" s="458"/>
      <c r="C571" s="483"/>
      <c r="D571" s="464"/>
      <c r="E571" s="464"/>
      <c r="F571" s="484"/>
      <c r="G571" s="460"/>
      <c r="H571" s="485"/>
      <c r="I571" s="164"/>
      <c r="J571" s="462"/>
      <c r="K571" s="481"/>
      <c r="L571" s="464"/>
      <c r="M571" s="164"/>
      <c r="N571" s="465"/>
      <c r="O571" s="462"/>
      <c r="P571" s="486"/>
      <c r="Q571" s="487"/>
      <c r="R571" s="164"/>
      <c r="S571" s="467"/>
      <c r="T571" s="468"/>
      <c r="U571" s="469"/>
      <c r="V571" s="457"/>
      <c r="W571" s="457"/>
      <c r="X571" s="457"/>
      <c r="Y571" s="457"/>
      <c r="Z571" s="457"/>
    </row>
    <row r="572" spans="1:26" ht="18" customHeight="1">
      <c r="A572" s="464"/>
      <c r="B572" s="458"/>
      <c r="C572" s="483"/>
      <c r="D572" s="464"/>
      <c r="E572" s="464"/>
      <c r="F572" s="484"/>
      <c r="G572" s="460"/>
      <c r="H572" s="485"/>
      <c r="I572" s="164"/>
      <c r="J572" s="462"/>
      <c r="K572" s="481"/>
      <c r="L572" s="464"/>
      <c r="M572" s="164"/>
      <c r="N572" s="465"/>
      <c r="O572" s="462"/>
      <c r="P572" s="486"/>
      <c r="Q572" s="487"/>
      <c r="R572" s="164"/>
      <c r="S572" s="467"/>
      <c r="T572" s="468"/>
      <c r="U572" s="469"/>
      <c r="V572" s="457"/>
      <c r="W572" s="457"/>
      <c r="X572" s="457"/>
      <c r="Y572" s="457"/>
      <c r="Z572" s="457"/>
    </row>
    <row r="573" spans="1:26" ht="18" customHeight="1">
      <c r="A573" s="464"/>
      <c r="B573" s="458"/>
      <c r="C573" s="483"/>
      <c r="D573" s="464"/>
      <c r="E573" s="464"/>
      <c r="F573" s="484"/>
      <c r="G573" s="460"/>
      <c r="H573" s="485"/>
      <c r="I573" s="164"/>
      <c r="J573" s="462"/>
      <c r="K573" s="481"/>
      <c r="L573" s="464"/>
      <c r="M573" s="164"/>
      <c r="N573" s="465"/>
      <c r="O573" s="462"/>
      <c r="P573" s="486"/>
      <c r="Q573" s="487"/>
      <c r="R573" s="164"/>
      <c r="S573" s="467"/>
      <c r="T573" s="468"/>
      <c r="U573" s="469"/>
      <c r="V573" s="457"/>
      <c r="W573" s="457"/>
      <c r="X573" s="457"/>
      <c r="Y573" s="457"/>
      <c r="Z573" s="457"/>
    </row>
    <row r="574" spans="1:26" ht="18" customHeight="1">
      <c r="A574" s="464"/>
      <c r="B574" s="458"/>
      <c r="C574" s="483"/>
      <c r="D574" s="464"/>
      <c r="E574" s="464"/>
      <c r="F574" s="484"/>
      <c r="G574" s="460"/>
      <c r="H574" s="485"/>
      <c r="I574" s="164"/>
      <c r="J574" s="462"/>
      <c r="K574" s="481"/>
      <c r="L574" s="464"/>
      <c r="M574" s="164"/>
      <c r="N574" s="465"/>
      <c r="O574" s="462"/>
      <c r="P574" s="486"/>
      <c r="Q574" s="487"/>
      <c r="R574" s="164"/>
      <c r="S574" s="467"/>
      <c r="T574" s="468"/>
      <c r="U574" s="469"/>
      <c r="V574" s="457"/>
      <c r="W574" s="457"/>
      <c r="X574" s="457"/>
      <c r="Y574" s="457"/>
      <c r="Z574" s="457"/>
    </row>
    <row r="575" spans="1:26" ht="18" customHeight="1">
      <c r="A575" s="464"/>
      <c r="B575" s="458"/>
      <c r="C575" s="483"/>
      <c r="D575" s="464"/>
      <c r="E575" s="464"/>
      <c r="F575" s="484"/>
      <c r="G575" s="460"/>
      <c r="H575" s="485"/>
      <c r="I575" s="164"/>
      <c r="J575" s="462"/>
      <c r="K575" s="481"/>
      <c r="L575" s="464"/>
      <c r="M575" s="164"/>
      <c r="N575" s="465"/>
      <c r="O575" s="462"/>
      <c r="P575" s="486"/>
      <c r="Q575" s="487"/>
      <c r="R575" s="164"/>
      <c r="S575" s="467"/>
      <c r="T575" s="468"/>
      <c r="U575" s="469"/>
      <c r="V575" s="457"/>
      <c r="W575" s="457"/>
      <c r="X575" s="457"/>
      <c r="Y575" s="457"/>
      <c r="Z575" s="457"/>
    </row>
    <row r="576" spans="1:26" ht="18" customHeight="1">
      <c r="A576" s="464"/>
      <c r="B576" s="458"/>
      <c r="C576" s="483"/>
      <c r="D576" s="464"/>
      <c r="E576" s="464"/>
      <c r="F576" s="484"/>
      <c r="G576" s="460"/>
      <c r="H576" s="485"/>
      <c r="I576" s="164"/>
      <c r="J576" s="462"/>
      <c r="K576" s="481"/>
      <c r="L576" s="464"/>
      <c r="M576" s="164"/>
      <c r="N576" s="465"/>
      <c r="O576" s="462"/>
      <c r="P576" s="486"/>
      <c r="Q576" s="487"/>
      <c r="R576" s="164"/>
      <c r="S576" s="467"/>
      <c r="T576" s="468"/>
      <c r="U576" s="469"/>
      <c r="V576" s="457"/>
      <c r="W576" s="457"/>
      <c r="X576" s="457"/>
      <c r="Y576" s="457"/>
      <c r="Z576" s="457"/>
    </row>
    <row r="577" spans="1:26" ht="18" customHeight="1">
      <c r="A577" s="464"/>
      <c r="B577" s="458"/>
      <c r="C577" s="483"/>
      <c r="D577" s="464"/>
      <c r="E577" s="464"/>
      <c r="F577" s="484"/>
      <c r="G577" s="460"/>
      <c r="H577" s="485"/>
      <c r="I577" s="164"/>
      <c r="J577" s="462"/>
      <c r="K577" s="481"/>
      <c r="L577" s="464"/>
      <c r="M577" s="164"/>
      <c r="N577" s="465"/>
      <c r="O577" s="462"/>
      <c r="P577" s="486"/>
      <c r="Q577" s="487"/>
      <c r="R577" s="164"/>
      <c r="S577" s="467"/>
      <c r="T577" s="468"/>
      <c r="U577" s="469"/>
      <c r="V577" s="457"/>
      <c r="W577" s="457"/>
      <c r="X577" s="457"/>
      <c r="Y577" s="457"/>
      <c r="Z577" s="457"/>
    </row>
    <row r="578" spans="1:26" ht="18" customHeight="1">
      <c r="A578" s="464"/>
      <c r="B578" s="458"/>
      <c r="C578" s="483"/>
      <c r="D578" s="464"/>
      <c r="E578" s="464"/>
      <c r="F578" s="484"/>
      <c r="G578" s="460"/>
      <c r="H578" s="485"/>
      <c r="I578" s="164"/>
      <c r="J578" s="462"/>
      <c r="K578" s="481"/>
      <c r="L578" s="464"/>
      <c r="M578" s="164"/>
      <c r="N578" s="465"/>
      <c r="O578" s="462"/>
      <c r="P578" s="486"/>
      <c r="Q578" s="487"/>
      <c r="R578" s="164"/>
      <c r="S578" s="467"/>
      <c r="T578" s="468"/>
      <c r="U578" s="469"/>
      <c r="V578" s="457"/>
      <c r="W578" s="457"/>
      <c r="X578" s="457"/>
      <c r="Y578" s="457"/>
      <c r="Z578" s="457"/>
    </row>
    <row r="579" spans="1:26" ht="18" customHeight="1">
      <c r="A579" s="464"/>
      <c r="B579" s="458"/>
      <c r="C579" s="483"/>
      <c r="D579" s="464"/>
      <c r="E579" s="464"/>
      <c r="F579" s="484"/>
      <c r="G579" s="460"/>
      <c r="H579" s="485"/>
      <c r="I579" s="164"/>
      <c r="J579" s="462"/>
      <c r="K579" s="481"/>
      <c r="L579" s="464"/>
      <c r="M579" s="164"/>
      <c r="N579" s="465"/>
      <c r="O579" s="462"/>
      <c r="P579" s="486"/>
      <c r="Q579" s="487"/>
      <c r="R579" s="164"/>
      <c r="S579" s="467"/>
      <c r="T579" s="468"/>
      <c r="U579" s="469"/>
      <c r="V579" s="457"/>
      <c r="W579" s="457"/>
      <c r="X579" s="457"/>
      <c r="Y579" s="457"/>
      <c r="Z579" s="457"/>
    </row>
    <row r="580" spans="1:26" ht="18" customHeight="1">
      <c r="A580" s="464"/>
      <c r="B580" s="458"/>
      <c r="C580" s="483"/>
      <c r="D580" s="464"/>
      <c r="E580" s="464"/>
      <c r="F580" s="484"/>
      <c r="G580" s="460"/>
      <c r="H580" s="485"/>
      <c r="I580" s="164"/>
      <c r="J580" s="462"/>
      <c r="K580" s="481"/>
      <c r="L580" s="464"/>
      <c r="M580" s="164"/>
      <c r="N580" s="465"/>
      <c r="O580" s="462"/>
      <c r="P580" s="486"/>
      <c r="Q580" s="487"/>
      <c r="R580" s="164"/>
      <c r="S580" s="467"/>
      <c r="T580" s="468"/>
      <c r="U580" s="469"/>
      <c r="V580" s="457"/>
      <c r="W580" s="457"/>
      <c r="X580" s="457"/>
      <c r="Y580" s="457"/>
      <c r="Z580" s="457"/>
    </row>
    <row r="581" spans="1:26" ht="18" customHeight="1">
      <c r="A581" s="464"/>
      <c r="B581" s="458"/>
      <c r="C581" s="483"/>
      <c r="D581" s="464"/>
      <c r="E581" s="464"/>
      <c r="F581" s="484"/>
      <c r="G581" s="460"/>
      <c r="H581" s="485"/>
      <c r="I581" s="164"/>
      <c r="J581" s="462"/>
      <c r="K581" s="481"/>
      <c r="L581" s="464"/>
      <c r="M581" s="164"/>
      <c r="N581" s="465"/>
      <c r="O581" s="462"/>
      <c r="P581" s="486"/>
      <c r="Q581" s="487"/>
      <c r="R581" s="164"/>
      <c r="S581" s="467"/>
      <c r="T581" s="468"/>
      <c r="U581" s="469"/>
      <c r="V581" s="457"/>
      <c r="W581" s="457"/>
      <c r="X581" s="457"/>
      <c r="Y581" s="457"/>
      <c r="Z581" s="457"/>
    </row>
    <row r="582" spans="1:26" ht="18" customHeight="1">
      <c r="A582" s="464"/>
      <c r="B582" s="458"/>
      <c r="C582" s="483"/>
      <c r="D582" s="464"/>
      <c r="E582" s="464"/>
      <c r="F582" s="484"/>
      <c r="G582" s="460"/>
      <c r="H582" s="485"/>
      <c r="I582" s="164"/>
      <c r="J582" s="462"/>
      <c r="K582" s="481"/>
      <c r="L582" s="464"/>
      <c r="M582" s="164"/>
      <c r="N582" s="465"/>
      <c r="O582" s="462"/>
      <c r="P582" s="486"/>
      <c r="Q582" s="487"/>
      <c r="R582" s="164"/>
      <c r="S582" s="467"/>
      <c r="T582" s="468"/>
      <c r="U582" s="469"/>
      <c r="V582" s="457"/>
      <c r="W582" s="457"/>
      <c r="X582" s="457"/>
      <c r="Y582" s="457"/>
      <c r="Z582" s="457"/>
    </row>
    <row r="583" spans="1:26" ht="18" customHeight="1">
      <c r="A583" s="464"/>
      <c r="B583" s="458"/>
      <c r="C583" s="483"/>
      <c r="D583" s="464"/>
      <c r="E583" s="464"/>
      <c r="F583" s="484"/>
      <c r="G583" s="460"/>
      <c r="H583" s="485"/>
      <c r="I583" s="164"/>
      <c r="J583" s="462"/>
      <c r="K583" s="481"/>
      <c r="L583" s="464"/>
      <c r="M583" s="164"/>
      <c r="N583" s="465"/>
      <c r="O583" s="462"/>
      <c r="P583" s="486"/>
      <c r="Q583" s="487"/>
      <c r="R583" s="164"/>
      <c r="S583" s="467"/>
      <c r="T583" s="468"/>
      <c r="U583" s="469"/>
      <c r="V583" s="457"/>
      <c r="W583" s="457"/>
      <c r="X583" s="457"/>
      <c r="Y583" s="457"/>
      <c r="Z583" s="457"/>
    </row>
    <row r="584" spans="1:26" ht="18" customHeight="1">
      <c r="A584" s="464"/>
      <c r="B584" s="458"/>
      <c r="C584" s="483"/>
      <c r="D584" s="464"/>
      <c r="E584" s="464"/>
      <c r="F584" s="484"/>
      <c r="G584" s="460"/>
      <c r="H584" s="485"/>
      <c r="I584" s="164"/>
      <c r="J584" s="462"/>
      <c r="K584" s="481"/>
      <c r="L584" s="464"/>
      <c r="M584" s="164"/>
      <c r="N584" s="465"/>
      <c r="O584" s="462"/>
      <c r="P584" s="486"/>
      <c r="Q584" s="487"/>
      <c r="R584" s="164"/>
      <c r="S584" s="467"/>
      <c r="T584" s="468"/>
      <c r="U584" s="469"/>
      <c r="V584" s="457"/>
      <c r="W584" s="457"/>
      <c r="X584" s="457"/>
      <c r="Y584" s="457"/>
      <c r="Z584" s="457"/>
    </row>
    <row r="585" spans="1:26" ht="18" customHeight="1">
      <c r="A585" s="464"/>
      <c r="B585" s="458"/>
      <c r="C585" s="483"/>
      <c r="D585" s="464"/>
      <c r="E585" s="464"/>
      <c r="F585" s="484"/>
      <c r="G585" s="460"/>
      <c r="H585" s="485"/>
      <c r="I585" s="164"/>
      <c r="J585" s="462"/>
      <c r="K585" s="481"/>
      <c r="L585" s="464"/>
      <c r="M585" s="164"/>
      <c r="N585" s="465"/>
      <c r="O585" s="462"/>
      <c r="P585" s="486"/>
      <c r="Q585" s="487"/>
      <c r="R585" s="164"/>
      <c r="S585" s="467"/>
      <c r="T585" s="468"/>
      <c r="U585" s="469"/>
      <c r="V585" s="457"/>
      <c r="W585" s="457"/>
      <c r="X585" s="457"/>
      <c r="Y585" s="457"/>
      <c r="Z585" s="457"/>
    </row>
    <row r="586" spans="1:26" ht="18" customHeight="1">
      <c r="A586" s="464"/>
      <c r="B586" s="458"/>
      <c r="C586" s="483"/>
      <c r="D586" s="464"/>
      <c r="E586" s="464"/>
      <c r="F586" s="484"/>
      <c r="G586" s="460"/>
      <c r="H586" s="485"/>
      <c r="I586" s="164"/>
      <c r="J586" s="462"/>
      <c r="K586" s="481"/>
      <c r="L586" s="464"/>
      <c r="M586" s="164"/>
      <c r="N586" s="465"/>
      <c r="O586" s="462"/>
      <c r="P586" s="486"/>
      <c r="Q586" s="487"/>
      <c r="R586" s="164"/>
      <c r="S586" s="467"/>
      <c r="T586" s="468"/>
      <c r="U586" s="469"/>
      <c r="V586" s="457"/>
      <c r="W586" s="457"/>
      <c r="X586" s="457"/>
      <c r="Y586" s="457"/>
      <c r="Z586" s="457"/>
    </row>
    <row r="587" spans="1:26" ht="18" customHeight="1">
      <c r="A587" s="464"/>
      <c r="B587" s="458"/>
      <c r="C587" s="483"/>
      <c r="D587" s="464"/>
      <c r="E587" s="464"/>
      <c r="F587" s="484"/>
      <c r="G587" s="460"/>
      <c r="H587" s="485"/>
      <c r="I587" s="164"/>
      <c r="J587" s="462"/>
      <c r="K587" s="481"/>
      <c r="L587" s="464"/>
      <c r="M587" s="164"/>
      <c r="N587" s="465"/>
      <c r="O587" s="462"/>
      <c r="P587" s="486"/>
      <c r="Q587" s="487"/>
      <c r="R587" s="164"/>
      <c r="S587" s="467"/>
      <c r="T587" s="468"/>
      <c r="U587" s="469"/>
      <c r="V587" s="457"/>
      <c r="W587" s="457"/>
      <c r="X587" s="457"/>
      <c r="Y587" s="457"/>
      <c r="Z587" s="457"/>
    </row>
    <row r="588" spans="1:26" ht="18" customHeight="1">
      <c r="A588" s="464"/>
      <c r="B588" s="458"/>
      <c r="C588" s="483"/>
      <c r="D588" s="464"/>
      <c r="E588" s="464"/>
      <c r="F588" s="484"/>
      <c r="G588" s="460"/>
      <c r="H588" s="485"/>
      <c r="I588" s="164"/>
      <c r="J588" s="462"/>
      <c r="K588" s="481"/>
      <c r="L588" s="464"/>
      <c r="M588" s="164"/>
      <c r="N588" s="465"/>
      <c r="O588" s="462"/>
      <c r="P588" s="486"/>
      <c r="Q588" s="487"/>
      <c r="R588" s="164"/>
      <c r="S588" s="467"/>
      <c r="T588" s="468"/>
      <c r="U588" s="469"/>
      <c r="V588" s="457"/>
      <c r="W588" s="457"/>
      <c r="X588" s="457"/>
      <c r="Y588" s="457"/>
      <c r="Z588" s="457"/>
    </row>
    <row r="589" spans="1:26" ht="18" customHeight="1">
      <c r="A589" s="464"/>
      <c r="B589" s="458"/>
      <c r="C589" s="483"/>
      <c r="D589" s="464"/>
      <c r="E589" s="464"/>
      <c r="F589" s="484"/>
      <c r="G589" s="460"/>
      <c r="H589" s="485"/>
      <c r="I589" s="164"/>
      <c r="J589" s="462"/>
      <c r="K589" s="481"/>
      <c r="L589" s="464"/>
      <c r="M589" s="164"/>
      <c r="N589" s="465"/>
      <c r="O589" s="462"/>
      <c r="P589" s="486"/>
      <c r="Q589" s="487"/>
      <c r="R589" s="164"/>
      <c r="S589" s="467"/>
      <c r="T589" s="468"/>
      <c r="U589" s="469"/>
      <c r="V589" s="457"/>
      <c r="W589" s="457"/>
      <c r="X589" s="457"/>
      <c r="Y589" s="457"/>
      <c r="Z589" s="457"/>
    </row>
    <row r="590" spans="1:26" ht="18" customHeight="1">
      <c r="A590" s="464"/>
      <c r="B590" s="458"/>
      <c r="C590" s="483"/>
      <c r="D590" s="464"/>
      <c r="E590" s="464"/>
      <c r="F590" s="484"/>
      <c r="G590" s="460"/>
      <c r="H590" s="485"/>
      <c r="I590" s="164"/>
      <c r="J590" s="462"/>
      <c r="K590" s="481"/>
      <c r="L590" s="464"/>
      <c r="M590" s="164"/>
      <c r="N590" s="465"/>
      <c r="O590" s="462"/>
      <c r="P590" s="486"/>
      <c r="Q590" s="487"/>
      <c r="R590" s="164"/>
      <c r="S590" s="467"/>
      <c r="T590" s="468"/>
      <c r="U590" s="469"/>
      <c r="V590" s="457"/>
      <c r="W590" s="457"/>
      <c r="X590" s="457"/>
      <c r="Y590" s="457"/>
      <c r="Z590" s="457"/>
    </row>
    <row r="591" spans="1:26" ht="18" customHeight="1">
      <c r="A591" s="464"/>
      <c r="B591" s="458"/>
      <c r="C591" s="483"/>
      <c r="D591" s="464"/>
      <c r="E591" s="464"/>
      <c r="F591" s="484"/>
      <c r="G591" s="460"/>
      <c r="H591" s="485"/>
      <c r="I591" s="164"/>
      <c r="J591" s="462"/>
      <c r="K591" s="481"/>
      <c r="L591" s="464"/>
      <c r="M591" s="164"/>
      <c r="N591" s="465"/>
      <c r="O591" s="462"/>
      <c r="P591" s="486"/>
      <c r="Q591" s="487"/>
      <c r="R591" s="164"/>
      <c r="S591" s="467"/>
      <c r="T591" s="468"/>
      <c r="U591" s="469"/>
      <c r="V591" s="457"/>
      <c r="W591" s="457"/>
      <c r="X591" s="457"/>
      <c r="Y591" s="457"/>
      <c r="Z591" s="457"/>
    </row>
    <row r="592" spans="1:26" ht="18" customHeight="1">
      <c r="A592" s="464"/>
      <c r="B592" s="458"/>
      <c r="C592" s="483"/>
      <c r="D592" s="464"/>
      <c r="E592" s="464"/>
      <c r="F592" s="484"/>
      <c r="G592" s="460"/>
      <c r="H592" s="485"/>
      <c r="I592" s="164"/>
      <c r="J592" s="462"/>
      <c r="K592" s="481"/>
      <c r="L592" s="464"/>
      <c r="M592" s="164"/>
      <c r="N592" s="465"/>
      <c r="O592" s="462"/>
      <c r="P592" s="486"/>
      <c r="Q592" s="487"/>
      <c r="R592" s="164"/>
      <c r="S592" s="467"/>
      <c r="T592" s="468"/>
      <c r="U592" s="469"/>
      <c r="V592" s="457"/>
      <c r="W592" s="457"/>
      <c r="X592" s="457"/>
      <c r="Y592" s="457"/>
      <c r="Z592" s="457"/>
    </row>
    <row r="593" spans="1:26" ht="18" customHeight="1">
      <c r="A593" s="464"/>
      <c r="B593" s="458"/>
      <c r="C593" s="483"/>
      <c r="D593" s="464"/>
      <c r="E593" s="464"/>
      <c r="F593" s="484"/>
      <c r="G593" s="460"/>
      <c r="H593" s="485"/>
      <c r="I593" s="164"/>
      <c r="J593" s="462"/>
      <c r="K593" s="481"/>
      <c r="L593" s="464"/>
      <c r="M593" s="164"/>
      <c r="N593" s="465"/>
      <c r="O593" s="462"/>
      <c r="P593" s="486"/>
      <c r="Q593" s="487"/>
      <c r="R593" s="164"/>
      <c r="S593" s="467"/>
      <c r="T593" s="468"/>
      <c r="U593" s="469"/>
      <c r="V593" s="457"/>
      <c r="W593" s="457"/>
      <c r="X593" s="457"/>
      <c r="Y593" s="457"/>
      <c r="Z593" s="457"/>
    </row>
    <row r="594" spans="1:26" ht="18" customHeight="1">
      <c r="A594" s="464"/>
      <c r="B594" s="458"/>
      <c r="C594" s="483"/>
      <c r="D594" s="464"/>
      <c r="E594" s="464"/>
      <c r="F594" s="484"/>
      <c r="G594" s="460"/>
      <c r="H594" s="485"/>
      <c r="I594" s="164"/>
      <c r="J594" s="462"/>
      <c r="K594" s="481"/>
      <c r="L594" s="464"/>
      <c r="M594" s="164"/>
      <c r="N594" s="465"/>
      <c r="O594" s="462"/>
      <c r="P594" s="486"/>
      <c r="Q594" s="487"/>
      <c r="R594" s="164"/>
      <c r="S594" s="467"/>
      <c r="T594" s="468"/>
      <c r="U594" s="469"/>
      <c r="V594" s="457"/>
      <c r="W594" s="457"/>
      <c r="X594" s="457"/>
      <c r="Y594" s="457"/>
      <c r="Z594" s="457"/>
    </row>
    <row r="595" spans="1:26" ht="18" customHeight="1">
      <c r="A595" s="464"/>
      <c r="B595" s="458"/>
      <c r="C595" s="483"/>
      <c r="D595" s="464"/>
      <c r="E595" s="464"/>
      <c r="F595" s="484"/>
      <c r="G595" s="460"/>
      <c r="H595" s="485"/>
      <c r="I595" s="164"/>
      <c r="J595" s="462"/>
      <c r="K595" s="481"/>
      <c r="L595" s="464"/>
      <c r="M595" s="164"/>
      <c r="N595" s="465"/>
      <c r="O595" s="462"/>
      <c r="P595" s="486"/>
      <c r="Q595" s="487"/>
      <c r="R595" s="164"/>
      <c r="S595" s="467"/>
      <c r="T595" s="468"/>
      <c r="U595" s="469"/>
      <c r="V595" s="457"/>
      <c r="W595" s="457"/>
      <c r="X595" s="457"/>
      <c r="Y595" s="457"/>
      <c r="Z595" s="457"/>
    </row>
    <row r="596" spans="1:26" ht="18" customHeight="1">
      <c r="A596" s="464"/>
      <c r="B596" s="458"/>
      <c r="C596" s="483"/>
      <c r="D596" s="464"/>
      <c r="E596" s="464"/>
      <c r="F596" s="484"/>
      <c r="G596" s="460"/>
      <c r="H596" s="485"/>
      <c r="I596" s="164"/>
      <c r="J596" s="462"/>
      <c r="K596" s="481"/>
      <c r="L596" s="464"/>
      <c r="M596" s="164"/>
      <c r="N596" s="465"/>
      <c r="O596" s="462"/>
      <c r="P596" s="486"/>
      <c r="Q596" s="487"/>
      <c r="R596" s="164"/>
      <c r="S596" s="467"/>
      <c r="T596" s="468"/>
      <c r="U596" s="469"/>
      <c r="V596" s="457"/>
      <c r="W596" s="457"/>
      <c r="X596" s="457"/>
      <c r="Y596" s="457"/>
      <c r="Z596" s="457"/>
    </row>
    <row r="597" spans="1:26" ht="18" customHeight="1">
      <c r="A597" s="464"/>
      <c r="B597" s="458"/>
      <c r="C597" s="483"/>
      <c r="D597" s="464"/>
      <c r="E597" s="464"/>
      <c r="F597" s="484"/>
      <c r="G597" s="460"/>
      <c r="H597" s="485"/>
      <c r="I597" s="164"/>
      <c r="J597" s="462"/>
      <c r="K597" s="481"/>
      <c r="L597" s="464"/>
      <c r="M597" s="164"/>
      <c r="N597" s="465"/>
      <c r="O597" s="462"/>
      <c r="P597" s="486"/>
      <c r="Q597" s="487"/>
      <c r="R597" s="164"/>
      <c r="S597" s="467"/>
      <c r="T597" s="468"/>
      <c r="U597" s="469"/>
      <c r="V597" s="457"/>
      <c r="W597" s="457"/>
      <c r="X597" s="457"/>
      <c r="Y597" s="457"/>
      <c r="Z597" s="457"/>
    </row>
    <row r="598" spans="1:26" ht="18" customHeight="1">
      <c r="A598" s="464"/>
      <c r="B598" s="458"/>
      <c r="C598" s="483"/>
      <c r="D598" s="464"/>
      <c r="E598" s="464"/>
      <c r="F598" s="484"/>
      <c r="G598" s="460"/>
      <c r="H598" s="485"/>
      <c r="I598" s="164"/>
      <c r="J598" s="462"/>
      <c r="K598" s="481"/>
      <c r="L598" s="464"/>
      <c r="M598" s="164"/>
      <c r="N598" s="465"/>
      <c r="O598" s="462"/>
      <c r="P598" s="486"/>
      <c r="Q598" s="487"/>
      <c r="R598" s="164"/>
      <c r="S598" s="467"/>
      <c r="T598" s="468"/>
      <c r="U598" s="469"/>
      <c r="V598" s="457"/>
      <c r="W598" s="457"/>
      <c r="X598" s="457"/>
      <c r="Y598" s="457"/>
      <c r="Z598" s="457"/>
    </row>
    <row r="599" spans="1:26" ht="18" customHeight="1">
      <c r="A599" s="464"/>
      <c r="B599" s="458"/>
      <c r="C599" s="483"/>
      <c r="D599" s="464"/>
      <c r="E599" s="464"/>
      <c r="F599" s="484"/>
      <c r="G599" s="460"/>
      <c r="H599" s="485"/>
      <c r="I599" s="164"/>
      <c r="J599" s="462"/>
      <c r="K599" s="481"/>
      <c r="L599" s="464"/>
      <c r="M599" s="164"/>
      <c r="N599" s="465"/>
      <c r="O599" s="462"/>
      <c r="P599" s="486"/>
      <c r="Q599" s="487"/>
      <c r="R599" s="164"/>
      <c r="S599" s="467"/>
      <c r="T599" s="468"/>
      <c r="U599" s="469"/>
      <c r="V599" s="457"/>
      <c r="W599" s="457"/>
      <c r="X599" s="457"/>
      <c r="Y599" s="457"/>
      <c r="Z599" s="457"/>
    </row>
    <row r="600" spans="1:26" ht="18" customHeight="1">
      <c r="A600" s="464"/>
      <c r="B600" s="458"/>
      <c r="C600" s="483"/>
      <c r="D600" s="464"/>
      <c r="E600" s="464"/>
      <c r="F600" s="484"/>
      <c r="G600" s="460"/>
      <c r="H600" s="485"/>
      <c r="I600" s="164"/>
      <c r="J600" s="462"/>
      <c r="K600" s="481"/>
      <c r="L600" s="464"/>
      <c r="M600" s="164"/>
      <c r="N600" s="465"/>
      <c r="O600" s="462"/>
      <c r="P600" s="486"/>
      <c r="Q600" s="487"/>
      <c r="R600" s="164"/>
      <c r="S600" s="467"/>
      <c r="T600" s="468"/>
      <c r="U600" s="469"/>
      <c r="V600" s="457"/>
      <c r="W600" s="457"/>
      <c r="X600" s="457"/>
      <c r="Y600" s="457"/>
      <c r="Z600" s="457"/>
    </row>
    <row r="601" spans="1:26" ht="18" customHeight="1">
      <c r="A601" s="464"/>
      <c r="B601" s="458"/>
      <c r="C601" s="483"/>
      <c r="D601" s="464"/>
      <c r="E601" s="464"/>
      <c r="F601" s="484"/>
      <c r="G601" s="460"/>
      <c r="H601" s="485"/>
      <c r="I601" s="164"/>
      <c r="J601" s="462"/>
      <c r="K601" s="481"/>
      <c r="L601" s="464"/>
      <c r="M601" s="164"/>
      <c r="N601" s="465"/>
      <c r="O601" s="462"/>
      <c r="P601" s="486"/>
      <c r="Q601" s="487"/>
      <c r="R601" s="164"/>
      <c r="S601" s="467"/>
      <c r="T601" s="468"/>
      <c r="U601" s="469"/>
      <c r="V601" s="457"/>
      <c r="W601" s="457"/>
      <c r="X601" s="457"/>
      <c r="Y601" s="457"/>
      <c r="Z601" s="457"/>
    </row>
    <row r="602" spans="1:26" ht="18" customHeight="1">
      <c r="A602" s="464"/>
      <c r="B602" s="458"/>
      <c r="C602" s="483"/>
      <c r="D602" s="464"/>
      <c r="E602" s="464"/>
      <c r="F602" s="484"/>
      <c r="G602" s="460"/>
      <c r="H602" s="485"/>
      <c r="I602" s="164"/>
      <c r="J602" s="462"/>
      <c r="K602" s="481"/>
      <c r="L602" s="464"/>
      <c r="M602" s="164"/>
      <c r="N602" s="465"/>
      <c r="O602" s="462"/>
      <c r="P602" s="486"/>
      <c r="Q602" s="487"/>
      <c r="R602" s="164"/>
      <c r="S602" s="467"/>
      <c r="T602" s="468"/>
      <c r="U602" s="469"/>
      <c r="V602" s="457"/>
      <c r="W602" s="457"/>
      <c r="X602" s="457"/>
      <c r="Y602" s="457"/>
      <c r="Z602" s="457"/>
    </row>
    <row r="603" spans="1:26" ht="18" customHeight="1">
      <c r="A603" s="464"/>
      <c r="B603" s="458"/>
      <c r="C603" s="483"/>
      <c r="D603" s="464"/>
      <c r="E603" s="464"/>
      <c r="F603" s="484"/>
      <c r="G603" s="460"/>
      <c r="H603" s="485"/>
      <c r="I603" s="164"/>
      <c r="J603" s="462"/>
      <c r="K603" s="481"/>
      <c r="L603" s="464"/>
      <c r="M603" s="164"/>
      <c r="N603" s="465"/>
      <c r="O603" s="462"/>
      <c r="P603" s="486"/>
      <c r="Q603" s="487"/>
      <c r="R603" s="164"/>
      <c r="S603" s="467"/>
      <c r="T603" s="468"/>
      <c r="U603" s="469"/>
      <c r="V603" s="457"/>
      <c r="W603" s="457"/>
      <c r="X603" s="457"/>
      <c r="Y603" s="457"/>
      <c r="Z603" s="457"/>
    </row>
    <row r="604" spans="1:26" ht="18" customHeight="1">
      <c r="A604" s="464"/>
      <c r="B604" s="458"/>
      <c r="C604" s="483"/>
      <c r="D604" s="464"/>
      <c r="E604" s="464"/>
      <c r="F604" s="484"/>
      <c r="G604" s="460"/>
      <c r="H604" s="485"/>
      <c r="I604" s="164"/>
      <c r="J604" s="462"/>
      <c r="K604" s="481"/>
      <c r="L604" s="464"/>
      <c r="M604" s="164"/>
      <c r="N604" s="465"/>
      <c r="O604" s="462"/>
      <c r="P604" s="486"/>
      <c r="Q604" s="487"/>
      <c r="R604" s="164"/>
      <c r="S604" s="467"/>
      <c r="T604" s="468"/>
      <c r="U604" s="469"/>
      <c r="V604" s="457"/>
      <c r="W604" s="457"/>
      <c r="X604" s="457"/>
      <c r="Y604" s="457"/>
      <c r="Z604" s="457"/>
    </row>
    <row r="605" spans="1:26" ht="18" customHeight="1">
      <c r="A605" s="464"/>
      <c r="B605" s="458"/>
      <c r="C605" s="483"/>
      <c r="D605" s="464"/>
      <c r="E605" s="464"/>
      <c r="F605" s="484"/>
      <c r="G605" s="460"/>
      <c r="H605" s="485"/>
      <c r="I605" s="164"/>
      <c r="J605" s="462"/>
      <c r="K605" s="481"/>
      <c r="L605" s="464"/>
      <c r="M605" s="164"/>
      <c r="N605" s="465"/>
      <c r="O605" s="462"/>
      <c r="P605" s="486"/>
      <c r="Q605" s="487"/>
      <c r="R605" s="164"/>
      <c r="S605" s="467"/>
      <c r="T605" s="468"/>
      <c r="U605" s="469"/>
      <c r="V605" s="457"/>
      <c r="W605" s="457"/>
      <c r="X605" s="457"/>
      <c r="Y605" s="457"/>
      <c r="Z605" s="457"/>
    </row>
    <row r="606" spans="1:26" ht="18" customHeight="1">
      <c r="A606" s="464"/>
      <c r="B606" s="458"/>
      <c r="C606" s="483"/>
      <c r="D606" s="464"/>
      <c r="E606" s="464"/>
      <c r="F606" s="484"/>
      <c r="G606" s="460"/>
      <c r="H606" s="485"/>
      <c r="I606" s="164"/>
      <c r="J606" s="462"/>
      <c r="K606" s="481"/>
      <c r="L606" s="464"/>
      <c r="M606" s="164"/>
      <c r="N606" s="465"/>
      <c r="O606" s="462"/>
      <c r="P606" s="486"/>
      <c r="Q606" s="487"/>
      <c r="R606" s="164"/>
      <c r="S606" s="467"/>
      <c r="T606" s="468"/>
      <c r="U606" s="469"/>
      <c r="V606" s="457"/>
      <c r="W606" s="457"/>
      <c r="X606" s="457"/>
      <c r="Y606" s="457"/>
      <c r="Z606" s="457"/>
    </row>
    <row r="607" spans="1:26" ht="18" customHeight="1">
      <c r="A607" s="464"/>
      <c r="B607" s="458"/>
      <c r="C607" s="483"/>
      <c r="D607" s="464"/>
      <c r="E607" s="464"/>
      <c r="F607" s="484"/>
      <c r="G607" s="460"/>
      <c r="H607" s="485"/>
      <c r="I607" s="164"/>
      <c r="J607" s="462"/>
      <c r="K607" s="481"/>
      <c r="L607" s="464"/>
      <c r="M607" s="164"/>
      <c r="N607" s="465"/>
      <c r="O607" s="462"/>
      <c r="P607" s="486"/>
      <c r="Q607" s="487"/>
      <c r="R607" s="164"/>
      <c r="S607" s="467"/>
      <c r="T607" s="468"/>
      <c r="U607" s="469"/>
      <c r="V607" s="457"/>
      <c r="W607" s="457"/>
      <c r="X607" s="457"/>
      <c r="Y607" s="457"/>
      <c r="Z607" s="457"/>
    </row>
    <row r="608" spans="1:26" ht="18" customHeight="1">
      <c r="A608" s="464"/>
      <c r="B608" s="458"/>
      <c r="C608" s="483"/>
      <c r="D608" s="464"/>
      <c r="E608" s="464"/>
      <c r="F608" s="484"/>
      <c r="G608" s="460"/>
      <c r="H608" s="485"/>
      <c r="I608" s="164"/>
      <c r="J608" s="462"/>
      <c r="K608" s="481"/>
      <c r="L608" s="464"/>
      <c r="M608" s="164"/>
      <c r="N608" s="465"/>
      <c r="O608" s="462"/>
      <c r="P608" s="486"/>
      <c r="Q608" s="487"/>
      <c r="R608" s="164"/>
      <c r="S608" s="467"/>
      <c r="T608" s="468"/>
      <c r="U608" s="469"/>
      <c r="V608" s="457"/>
      <c r="W608" s="457"/>
      <c r="X608" s="457"/>
      <c r="Y608" s="457"/>
      <c r="Z608" s="457"/>
    </row>
    <row r="609" spans="1:26" ht="18" customHeight="1">
      <c r="A609" s="464"/>
      <c r="B609" s="458"/>
      <c r="C609" s="483"/>
      <c r="D609" s="464"/>
      <c r="E609" s="464"/>
      <c r="F609" s="484"/>
      <c r="G609" s="460"/>
      <c r="H609" s="485"/>
      <c r="I609" s="164"/>
      <c r="J609" s="462"/>
      <c r="K609" s="481"/>
      <c r="L609" s="464"/>
      <c r="M609" s="164"/>
      <c r="N609" s="465"/>
      <c r="O609" s="462"/>
      <c r="P609" s="486"/>
      <c r="Q609" s="487"/>
      <c r="R609" s="164"/>
      <c r="S609" s="467"/>
      <c r="T609" s="468"/>
      <c r="U609" s="469"/>
      <c r="V609" s="457"/>
      <c r="W609" s="457"/>
      <c r="X609" s="457"/>
      <c r="Y609" s="457"/>
      <c r="Z609" s="457"/>
    </row>
    <row r="610" spans="1:26" ht="18" customHeight="1">
      <c r="A610" s="464"/>
      <c r="B610" s="458"/>
      <c r="C610" s="483"/>
      <c r="D610" s="464"/>
      <c r="E610" s="464"/>
      <c r="F610" s="484"/>
      <c r="G610" s="460"/>
      <c r="H610" s="485"/>
      <c r="I610" s="164"/>
      <c r="J610" s="462"/>
      <c r="K610" s="481"/>
      <c r="L610" s="464"/>
      <c r="M610" s="164"/>
      <c r="N610" s="465"/>
      <c r="O610" s="462"/>
      <c r="P610" s="486"/>
      <c r="Q610" s="487"/>
      <c r="R610" s="164"/>
      <c r="S610" s="467"/>
      <c r="T610" s="468"/>
      <c r="U610" s="469"/>
      <c r="V610" s="457"/>
      <c r="W610" s="457"/>
      <c r="X610" s="457"/>
      <c r="Y610" s="457"/>
      <c r="Z610" s="457"/>
    </row>
    <row r="611" spans="1:26" ht="18" customHeight="1">
      <c r="A611" s="464"/>
      <c r="B611" s="458"/>
      <c r="C611" s="483"/>
      <c r="D611" s="464"/>
      <c r="E611" s="464"/>
      <c r="F611" s="484"/>
      <c r="G611" s="460"/>
      <c r="H611" s="485"/>
      <c r="I611" s="164"/>
      <c r="J611" s="462"/>
      <c r="K611" s="481"/>
      <c r="L611" s="464"/>
      <c r="M611" s="164"/>
      <c r="N611" s="465"/>
      <c r="O611" s="462"/>
      <c r="P611" s="486"/>
      <c r="Q611" s="487"/>
      <c r="R611" s="164"/>
      <c r="S611" s="467"/>
      <c r="T611" s="468"/>
      <c r="U611" s="469"/>
      <c r="V611" s="457"/>
      <c r="W611" s="457"/>
      <c r="X611" s="457"/>
      <c r="Y611" s="457"/>
      <c r="Z611" s="457"/>
    </row>
    <row r="612" spans="1:26" ht="18" customHeight="1">
      <c r="A612" s="464"/>
      <c r="B612" s="458"/>
      <c r="C612" s="483"/>
      <c r="D612" s="464"/>
      <c r="E612" s="464"/>
      <c r="F612" s="484"/>
      <c r="G612" s="460"/>
      <c r="H612" s="485"/>
      <c r="I612" s="164"/>
      <c r="J612" s="462"/>
      <c r="K612" s="481"/>
      <c r="L612" s="464"/>
      <c r="M612" s="164"/>
      <c r="N612" s="465"/>
      <c r="O612" s="462"/>
      <c r="P612" s="486"/>
      <c r="Q612" s="487"/>
      <c r="R612" s="164"/>
      <c r="S612" s="467"/>
      <c r="T612" s="468"/>
      <c r="U612" s="469"/>
      <c r="V612" s="457"/>
      <c r="W612" s="457"/>
      <c r="X612" s="457"/>
      <c r="Y612" s="457"/>
      <c r="Z612" s="457"/>
    </row>
    <row r="613" spans="1:26" ht="18" customHeight="1">
      <c r="A613" s="464"/>
      <c r="B613" s="458"/>
      <c r="C613" s="483"/>
      <c r="D613" s="464"/>
      <c r="E613" s="464"/>
      <c r="F613" s="484"/>
      <c r="G613" s="460"/>
      <c r="H613" s="485"/>
      <c r="I613" s="164"/>
      <c r="J613" s="462"/>
      <c r="K613" s="481"/>
      <c r="L613" s="464"/>
      <c r="M613" s="164"/>
      <c r="N613" s="465"/>
      <c r="O613" s="462"/>
      <c r="P613" s="486"/>
      <c r="Q613" s="487"/>
      <c r="R613" s="164"/>
      <c r="S613" s="467"/>
      <c r="T613" s="468"/>
      <c r="U613" s="469"/>
      <c r="V613" s="457"/>
      <c r="W613" s="457"/>
      <c r="X613" s="457"/>
      <c r="Y613" s="457"/>
      <c r="Z613" s="457"/>
    </row>
    <row r="614" spans="1:26" ht="18" customHeight="1">
      <c r="A614" s="464"/>
      <c r="B614" s="458"/>
      <c r="C614" s="483"/>
      <c r="D614" s="464"/>
      <c r="E614" s="464"/>
      <c r="F614" s="484"/>
      <c r="G614" s="460"/>
      <c r="H614" s="485"/>
      <c r="I614" s="164"/>
      <c r="J614" s="462"/>
      <c r="K614" s="481"/>
      <c r="L614" s="464"/>
      <c r="M614" s="164"/>
      <c r="N614" s="465"/>
      <c r="O614" s="462"/>
      <c r="P614" s="486"/>
      <c r="Q614" s="487"/>
      <c r="R614" s="164"/>
      <c r="S614" s="467"/>
      <c r="T614" s="468"/>
      <c r="U614" s="469"/>
      <c r="V614" s="457"/>
      <c r="W614" s="457"/>
      <c r="X614" s="457"/>
      <c r="Y614" s="457"/>
      <c r="Z614" s="457"/>
    </row>
    <row r="615" spans="1:26" ht="18" customHeight="1">
      <c r="A615" s="464"/>
      <c r="B615" s="458"/>
      <c r="C615" s="483"/>
      <c r="D615" s="464"/>
      <c r="E615" s="464"/>
      <c r="F615" s="484"/>
      <c r="G615" s="460"/>
      <c r="H615" s="485"/>
      <c r="I615" s="164"/>
      <c r="J615" s="462"/>
      <c r="K615" s="481"/>
      <c r="L615" s="464"/>
      <c r="M615" s="164"/>
      <c r="N615" s="465"/>
      <c r="O615" s="462"/>
      <c r="P615" s="486"/>
      <c r="Q615" s="487"/>
      <c r="R615" s="164"/>
      <c r="S615" s="467"/>
      <c r="T615" s="468"/>
      <c r="U615" s="469"/>
      <c r="V615" s="457"/>
      <c r="W615" s="457"/>
      <c r="X615" s="457"/>
      <c r="Y615" s="457"/>
      <c r="Z615" s="457"/>
    </row>
    <row r="616" spans="1:26" ht="18" customHeight="1">
      <c r="A616" s="464"/>
      <c r="B616" s="458"/>
      <c r="C616" s="483"/>
      <c r="D616" s="464"/>
      <c r="E616" s="464"/>
      <c r="F616" s="484"/>
      <c r="G616" s="460"/>
      <c r="H616" s="485"/>
      <c r="I616" s="164"/>
      <c r="J616" s="462"/>
      <c r="K616" s="481"/>
      <c r="L616" s="464"/>
      <c r="M616" s="164"/>
      <c r="N616" s="465"/>
      <c r="O616" s="462"/>
      <c r="P616" s="486"/>
      <c r="Q616" s="487"/>
      <c r="R616" s="164"/>
      <c r="S616" s="467"/>
      <c r="T616" s="468"/>
      <c r="U616" s="469"/>
      <c r="V616" s="457"/>
      <c r="W616" s="457"/>
      <c r="X616" s="457"/>
      <c r="Y616" s="457"/>
      <c r="Z616" s="457"/>
    </row>
    <row r="617" spans="1:26" ht="18" customHeight="1">
      <c r="A617" s="464"/>
      <c r="B617" s="458"/>
      <c r="C617" s="483"/>
      <c r="D617" s="464"/>
      <c r="E617" s="464"/>
      <c r="F617" s="484"/>
      <c r="G617" s="460"/>
      <c r="H617" s="485"/>
      <c r="I617" s="164"/>
      <c r="J617" s="462"/>
      <c r="K617" s="481"/>
      <c r="L617" s="464"/>
      <c r="M617" s="164"/>
      <c r="N617" s="465"/>
      <c r="O617" s="462"/>
      <c r="P617" s="486"/>
      <c r="Q617" s="487"/>
      <c r="R617" s="164"/>
      <c r="S617" s="467"/>
      <c r="T617" s="468"/>
      <c r="U617" s="469"/>
      <c r="V617" s="457"/>
      <c r="W617" s="457"/>
      <c r="X617" s="457"/>
      <c r="Y617" s="457"/>
      <c r="Z617" s="457"/>
    </row>
    <row r="618" spans="1:26" ht="18" customHeight="1">
      <c r="A618" s="464"/>
      <c r="B618" s="458"/>
      <c r="C618" s="483"/>
      <c r="D618" s="464"/>
      <c r="E618" s="464"/>
      <c r="F618" s="484"/>
      <c r="G618" s="460"/>
      <c r="H618" s="485"/>
      <c r="I618" s="164"/>
      <c r="J618" s="462"/>
      <c r="K618" s="481"/>
      <c r="L618" s="464"/>
      <c r="M618" s="164"/>
      <c r="N618" s="465"/>
      <c r="O618" s="462"/>
      <c r="P618" s="486"/>
      <c r="Q618" s="487"/>
      <c r="R618" s="164"/>
      <c r="S618" s="467"/>
      <c r="T618" s="468"/>
      <c r="U618" s="469"/>
      <c r="V618" s="457"/>
      <c r="W618" s="457"/>
      <c r="X618" s="457"/>
      <c r="Y618" s="457"/>
      <c r="Z618" s="457"/>
    </row>
    <row r="619" spans="1:26" ht="18" customHeight="1">
      <c r="A619" s="464"/>
      <c r="B619" s="458"/>
      <c r="C619" s="483"/>
      <c r="D619" s="464"/>
      <c r="E619" s="464"/>
      <c r="F619" s="484"/>
      <c r="G619" s="460"/>
      <c r="H619" s="485"/>
      <c r="I619" s="164"/>
      <c r="J619" s="462"/>
      <c r="K619" s="481"/>
      <c r="L619" s="464"/>
      <c r="M619" s="164"/>
      <c r="N619" s="465"/>
      <c r="O619" s="462"/>
      <c r="P619" s="486"/>
      <c r="Q619" s="487"/>
      <c r="R619" s="164"/>
      <c r="S619" s="467"/>
      <c r="T619" s="468"/>
      <c r="U619" s="469"/>
      <c r="V619" s="457"/>
      <c r="W619" s="457"/>
      <c r="X619" s="457"/>
      <c r="Y619" s="457"/>
      <c r="Z619" s="457"/>
    </row>
    <row r="620" spans="1:26" ht="18" customHeight="1">
      <c r="A620" s="464"/>
      <c r="B620" s="458"/>
      <c r="C620" s="483"/>
      <c r="D620" s="464"/>
      <c r="E620" s="464"/>
      <c r="F620" s="484"/>
      <c r="G620" s="460"/>
      <c r="H620" s="485"/>
      <c r="I620" s="164"/>
      <c r="J620" s="462"/>
      <c r="K620" s="481"/>
      <c r="L620" s="464"/>
      <c r="M620" s="164"/>
      <c r="N620" s="465"/>
      <c r="O620" s="462"/>
      <c r="P620" s="486"/>
      <c r="Q620" s="487"/>
      <c r="R620" s="164"/>
      <c r="S620" s="467"/>
      <c r="T620" s="468"/>
      <c r="U620" s="469"/>
      <c r="V620" s="457"/>
      <c r="W620" s="457"/>
      <c r="X620" s="457"/>
      <c r="Y620" s="457"/>
      <c r="Z620" s="457"/>
    </row>
    <row r="621" spans="1:26" ht="18" customHeight="1">
      <c r="A621" s="464"/>
      <c r="B621" s="458"/>
      <c r="C621" s="483"/>
      <c r="D621" s="464"/>
      <c r="E621" s="464"/>
      <c r="F621" s="484"/>
      <c r="G621" s="460"/>
      <c r="H621" s="485"/>
      <c r="I621" s="164"/>
      <c r="J621" s="462"/>
      <c r="K621" s="481"/>
      <c r="L621" s="464"/>
      <c r="M621" s="164"/>
      <c r="N621" s="465"/>
      <c r="O621" s="462"/>
      <c r="P621" s="486"/>
      <c r="Q621" s="487"/>
      <c r="R621" s="164"/>
      <c r="S621" s="467"/>
      <c r="T621" s="468"/>
      <c r="U621" s="469"/>
      <c r="V621" s="457"/>
      <c r="W621" s="457"/>
      <c r="X621" s="457"/>
      <c r="Y621" s="457"/>
      <c r="Z621" s="457"/>
    </row>
    <row r="622" spans="1:26" ht="18" customHeight="1">
      <c r="A622" s="464"/>
      <c r="B622" s="458"/>
      <c r="C622" s="483"/>
      <c r="D622" s="464"/>
      <c r="E622" s="464"/>
      <c r="F622" s="484"/>
      <c r="G622" s="460"/>
      <c r="H622" s="485"/>
      <c r="I622" s="164"/>
      <c r="J622" s="462"/>
      <c r="K622" s="481"/>
      <c r="L622" s="464"/>
      <c r="M622" s="164"/>
      <c r="N622" s="465"/>
      <c r="O622" s="462"/>
      <c r="P622" s="486"/>
      <c r="Q622" s="487"/>
      <c r="R622" s="164"/>
      <c r="S622" s="467"/>
      <c r="T622" s="468"/>
      <c r="U622" s="469"/>
      <c r="V622" s="457"/>
      <c r="W622" s="457"/>
      <c r="X622" s="457"/>
      <c r="Y622" s="457"/>
      <c r="Z622" s="457"/>
    </row>
    <row r="623" spans="1:26" ht="18" customHeight="1">
      <c r="A623" s="464"/>
      <c r="B623" s="458"/>
      <c r="C623" s="483"/>
      <c r="D623" s="464"/>
      <c r="E623" s="464"/>
      <c r="F623" s="484"/>
      <c r="G623" s="460"/>
      <c r="H623" s="485"/>
      <c r="I623" s="164"/>
      <c r="J623" s="462"/>
      <c r="K623" s="481"/>
      <c r="L623" s="464"/>
      <c r="M623" s="164"/>
      <c r="N623" s="465"/>
      <c r="O623" s="462"/>
      <c r="P623" s="486"/>
      <c r="Q623" s="487"/>
      <c r="R623" s="164"/>
      <c r="S623" s="467"/>
      <c r="T623" s="468"/>
      <c r="U623" s="469"/>
      <c r="V623" s="457"/>
      <c r="W623" s="457"/>
      <c r="X623" s="457"/>
      <c r="Y623" s="457"/>
      <c r="Z623" s="457"/>
    </row>
    <row r="624" spans="1:26" ht="18" customHeight="1">
      <c r="A624" s="464"/>
      <c r="B624" s="458"/>
      <c r="C624" s="483"/>
      <c r="D624" s="464"/>
      <c r="E624" s="464"/>
      <c r="F624" s="484"/>
      <c r="G624" s="460"/>
      <c r="H624" s="485"/>
      <c r="I624" s="164"/>
      <c r="J624" s="462"/>
      <c r="K624" s="481"/>
      <c r="L624" s="464"/>
      <c r="M624" s="164"/>
      <c r="N624" s="465"/>
      <c r="O624" s="462"/>
      <c r="P624" s="486"/>
      <c r="Q624" s="487"/>
      <c r="R624" s="164"/>
      <c r="S624" s="467"/>
      <c r="T624" s="468"/>
      <c r="U624" s="469"/>
      <c r="V624" s="457"/>
      <c r="W624" s="457"/>
      <c r="X624" s="457"/>
      <c r="Y624" s="457"/>
      <c r="Z624" s="457"/>
    </row>
    <row r="625" spans="1:26" ht="18" customHeight="1">
      <c r="A625" s="464"/>
      <c r="B625" s="458"/>
      <c r="C625" s="483"/>
      <c r="D625" s="464"/>
      <c r="E625" s="464"/>
      <c r="F625" s="484"/>
      <c r="G625" s="460"/>
      <c r="H625" s="485"/>
      <c r="I625" s="164"/>
      <c r="J625" s="462"/>
      <c r="K625" s="481"/>
      <c r="L625" s="464"/>
      <c r="M625" s="164"/>
      <c r="N625" s="465"/>
      <c r="O625" s="462"/>
      <c r="P625" s="486"/>
      <c r="Q625" s="487"/>
      <c r="R625" s="164"/>
      <c r="S625" s="467"/>
      <c r="T625" s="468"/>
      <c r="U625" s="469"/>
      <c r="V625" s="457"/>
      <c r="W625" s="457"/>
      <c r="X625" s="457"/>
      <c r="Y625" s="457"/>
      <c r="Z625" s="457"/>
    </row>
    <row r="626" spans="1:26" ht="18" customHeight="1">
      <c r="A626" s="464"/>
      <c r="B626" s="458"/>
      <c r="C626" s="483"/>
      <c r="D626" s="464"/>
      <c r="E626" s="464"/>
      <c r="F626" s="484"/>
      <c r="G626" s="460"/>
      <c r="H626" s="485"/>
      <c r="I626" s="164"/>
      <c r="J626" s="462"/>
      <c r="K626" s="481"/>
      <c r="L626" s="464"/>
      <c r="M626" s="164"/>
      <c r="N626" s="465"/>
      <c r="O626" s="462"/>
      <c r="P626" s="486"/>
      <c r="Q626" s="487"/>
      <c r="R626" s="164"/>
      <c r="S626" s="467"/>
      <c r="T626" s="468"/>
      <c r="U626" s="469"/>
      <c r="V626" s="457"/>
      <c r="W626" s="457"/>
      <c r="X626" s="457"/>
      <c r="Y626" s="457"/>
      <c r="Z626" s="457"/>
    </row>
    <row r="627" spans="1:26" ht="18" customHeight="1">
      <c r="A627" s="464"/>
      <c r="B627" s="458"/>
      <c r="C627" s="483"/>
      <c r="D627" s="464"/>
      <c r="E627" s="464"/>
      <c r="F627" s="484"/>
      <c r="G627" s="460"/>
      <c r="H627" s="485"/>
      <c r="I627" s="164"/>
      <c r="J627" s="462"/>
      <c r="K627" s="481"/>
      <c r="L627" s="464"/>
      <c r="M627" s="164"/>
      <c r="N627" s="465"/>
      <c r="O627" s="462"/>
      <c r="P627" s="486"/>
      <c r="Q627" s="487"/>
      <c r="R627" s="164"/>
      <c r="S627" s="467"/>
      <c r="T627" s="468"/>
      <c r="U627" s="469"/>
      <c r="V627" s="457"/>
      <c r="W627" s="457"/>
      <c r="X627" s="457"/>
      <c r="Y627" s="457"/>
      <c r="Z627" s="457"/>
    </row>
    <row r="628" spans="1:26" ht="18" customHeight="1">
      <c r="A628" s="464"/>
      <c r="B628" s="458"/>
      <c r="C628" s="483"/>
      <c r="D628" s="464"/>
      <c r="E628" s="464"/>
      <c r="F628" s="484"/>
      <c r="G628" s="460"/>
      <c r="H628" s="485"/>
      <c r="I628" s="164"/>
      <c r="J628" s="462"/>
      <c r="K628" s="481"/>
      <c r="L628" s="464"/>
      <c r="M628" s="164"/>
      <c r="N628" s="465"/>
      <c r="O628" s="462"/>
      <c r="P628" s="486"/>
      <c r="Q628" s="487"/>
      <c r="R628" s="164"/>
      <c r="S628" s="467"/>
      <c r="T628" s="468"/>
      <c r="U628" s="469"/>
      <c r="V628" s="457"/>
      <c r="W628" s="457"/>
      <c r="X628" s="457"/>
      <c r="Y628" s="457"/>
      <c r="Z628" s="457"/>
    </row>
    <row r="629" spans="1:26" ht="18" customHeight="1">
      <c r="A629" s="464"/>
      <c r="B629" s="458"/>
      <c r="C629" s="483"/>
      <c r="D629" s="464"/>
      <c r="E629" s="464"/>
      <c r="F629" s="484"/>
      <c r="G629" s="460"/>
      <c r="H629" s="485"/>
      <c r="I629" s="164"/>
      <c r="J629" s="462"/>
      <c r="K629" s="481"/>
      <c r="L629" s="464"/>
      <c r="M629" s="164"/>
      <c r="N629" s="465"/>
      <c r="O629" s="462"/>
      <c r="P629" s="486"/>
      <c r="Q629" s="487"/>
      <c r="R629" s="164"/>
      <c r="S629" s="467"/>
      <c r="T629" s="468"/>
      <c r="U629" s="469"/>
      <c r="V629" s="457"/>
      <c r="W629" s="457"/>
      <c r="X629" s="457"/>
      <c r="Y629" s="457"/>
      <c r="Z629" s="457"/>
    </row>
    <row r="630" spans="1:26" ht="18" customHeight="1">
      <c r="A630" s="464"/>
      <c r="B630" s="458"/>
      <c r="C630" s="483"/>
      <c r="D630" s="464"/>
      <c r="E630" s="464"/>
      <c r="F630" s="484"/>
      <c r="G630" s="460"/>
      <c r="H630" s="485"/>
      <c r="I630" s="164"/>
      <c r="J630" s="462"/>
      <c r="K630" s="481"/>
      <c r="L630" s="464"/>
      <c r="M630" s="164"/>
      <c r="N630" s="465"/>
      <c r="O630" s="462"/>
      <c r="P630" s="486"/>
      <c r="Q630" s="487"/>
      <c r="R630" s="164"/>
      <c r="S630" s="467"/>
      <c r="T630" s="468"/>
      <c r="U630" s="469"/>
      <c r="V630" s="457"/>
      <c r="W630" s="457"/>
      <c r="X630" s="457"/>
      <c r="Y630" s="457"/>
      <c r="Z630" s="457"/>
    </row>
    <row r="631" spans="1:26" ht="18" customHeight="1">
      <c r="A631" s="464"/>
      <c r="B631" s="458"/>
      <c r="C631" s="483"/>
      <c r="D631" s="464"/>
      <c r="E631" s="464"/>
      <c r="F631" s="484"/>
      <c r="G631" s="460"/>
      <c r="H631" s="485"/>
      <c r="I631" s="164"/>
      <c r="J631" s="462"/>
      <c r="K631" s="481"/>
      <c r="L631" s="464"/>
      <c r="M631" s="164"/>
      <c r="N631" s="465"/>
      <c r="O631" s="462"/>
      <c r="P631" s="486"/>
      <c r="Q631" s="487"/>
      <c r="R631" s="164"/>
      <c r="S631" s="467"/>
      <c r="T631" s="468"/>
      <c r="U631" s="469"/>
      <c r="V631" s="457"/>
      <c r="W631" s="457"/>
      <c r="X631" s="457"/>
      <c r="Y631" s="457"/>
      <c r="Z631" s="457"/>
    </row>
    <row r="632" spans="1:26" ht="18" customHeight="1">
      <c r="A632" s="464"/>
      <c r="B632" s="458"/>
      <c r="C632" s="483"/>
      <c r="D632" s="464"/>
      <c r="E632" s="464"/>
      <c r="F632" s="484"/>
      <c r="G632" s="460"/>
      <c r="H632" s="485"/>
      <c r="I632" s="164"/>
      <c r="J632" s="462"/>
      <c r="K632" s="481"/>
      <c r="L632" s="464"/>
      <c r="M632" s="164"/>
      <c r="N632" s="465"/>
      <c r="O632" s="462"/>
      <c r="P632" s="486"/>
      <c r="Q632" s="487"/>
      <c r="R632" s="164"/>
      <c r="S632" s="467"/>
      <c r="T632" s="468"/>
      <c r="U632" s="469"/>
      <c r="V632" s="457"/>
      <c r="W632" s="457"/>
      <c r="X632" s="457"/>
      <c r="Y632" s="457"/>
      <c r="Z632" s="457"/>
    </row>
    <row r="633" spans="1:26" ht="18" customHeight="1">
      <c r="A633" s="464"/>
      <c r="B633" s="458"/>
      <c r="C633" s="483"/>
      <c r="D633" s="464"/>
      <c r="E633" s="464"/>
      <c r="F633" s="484"/>
      <c r="G633" s="460"/>
      <c r="H633" s="485"/>
      <c r="I633" s="164"/>
      <c r="J633" s="462"/>
      <c r="K633" s="481"/>
      <c r="L633" s="464"/>
      <c r="M633" s="164"/>
      <c r="N633" s="465"/>
      <c r="O633" s="462"/>
      <c r="P633" s="486"/>
      <c r="Q633" s="487"/>
      <c r="R633" s="164"/>
      <c r="S633" s="467"/>
      <c r="T633" s="468"/>
      <c r="U633" s="469"/>
      <c r="V633" s="457"/>
      <c r="W633" s="457"/>
      <c r="X633" s="457"/>
      <c r="Y633" s="457"/>
      <c r="Z633" s="457"/>
    </row>
    <row r="634" spans="1:26" ht="18" customHeight="1">
      <c r="A634" s="464"/>
      <c r="B634" s="458"/>
      <c r="C634" s="483"/>
      <c r="D634" s="464"/>
      <c r="E634" s="464"/>
      <c r="F634" s="484"/>
      <c r="G634" s="460"/>
      <c r="H634" s="485"/>
      <c r="I634" s="164"/>
      <c r="J634" s="462"/>
      <c r="K634" s="481"/>
      <c r="L634" s="464"/>
      <c r="M634" s="164"/>
      <c r="N634" s="465"/>
      <c r="O634" s="462"/>
      <c r="P634" s="486"/>
      <c r="Q634" s="487"/>
      <c r="R634" s="164"/>
      <c r="S634" s="467"/>
      <c r="T634" s="468"/>
      <c r="U634" s="469"/>
      <c r="V634" s="457"/>
      <c r="W634" s="457"/>
      <c r="X634" s="457"/>
      <c r="Y634" s="457"/>
      <c r="Z634" s="457"/>
    </row>
    <row r="635" spans="1:26" ht="18" customHeight="1">
      <c r="A635" s="464"/>
      <c r="B635" s="458"/>
      <c r="C635" s="483"/>
      <c r="D635" s="464"/>
      <c r="E635" s="464"/>
      <c r="F635" s="484"/>
      <c r="G635" s="460"/>
      <c r="H635" s="485"/>
      <c r="I635" s="164"/>
      <c r="J635" s="462"/>
      <c r="K635" s="481"/>
      <c r="L635" s="464"/>
      <c r="M635" s="164"/>
      <c r="N635" s="465"/>
      <c r="O635" s="462"/>
      <c r="P635" s="486"/>
      <c r="Q635" s="487"/>
      <c r="R635" s="164"/>
      <c r="S635" s="467"/>
      <c r="T635" s="468"/>
      <c r="U635" s="469"/>
      <c r="V635" s="457"/>
      <c r="W635" s="457"/>
      <c r="X635" s="457"/>
      <c r="Y635" s="457"/>
      <c r="Z635" s="457"/>
    </row>
    <row r="636" spans="1:26" ht="18" customHeight="1">
      <c r="A636" s="464"/>
      <c r="B636" s="458"/>
      <c r="C636" s="483"/>
      <c r="D636" s="464"/>
      <c r="E636" s="464"/>
      <c r="F636" s="484"/>
      <c r="G636" s="460"/>
      <c r="H636" s="485"/>
      <c r="I636" s="164"/>
      <c r="J636" s="462"/>
      <c r="K636" s="481"/>
      <c r="L636" s="464"/>
      <c r="M636" s="164"/>
      <c r="N636" s="465"/>
      <c r="O636" s="462"/>
      <c r="P636" s="486"/>
      <c r="Q636" s="487"/>
      <c r="R636" s="164"/>
      <c r="S636" s="467"/>
      <c r="T636" s="468"/>
      <c r="U636" s="469"/>
      <c r="V636" s="457"/>
      <c r="W636" s="457"/>
      <c r="X636" s="457"/>
      <c r="Y636" s="457"/>
      <c r="Z636" s="457"/>
    </row>
    <row r="637" spans="1:26" ht="18" customHeight="1">
      <c r="A637" s="464"/>
      <c r="B637" s="458"/>
      <c r="C637" s="483"/>
      <c r="D637" s="464"/>
      <c r="E637" s="464"/>
      <c r="F637" s="484"/>
      <c r="G637" s="460"/>
      <c r="H637" s="485"/>
      <c r="I637" s="164"/>
      <c r="J637" s="462"/>
      <c r="K637" s="481"/>
      <c r="L637" s="464"/>
      <c r="M637" s="164"/>
      <c r="N637" s="465"/>
      <c r="O637" s="462"/>
      <c r="P637" s="486"/>
      <c r="Q637" s="487"/>
      <c r="R637" s="164"/>
      <c r="S637" s="467"/>
      <c r="T637" s="468"/>
      <c r="U637" s="469"/>
      <c r="V637" s="457"/>
      <c r="W637" s="457"/>
      <c r="X637" s="457"/>
      <c r="Y637" s="457"/>
      <c r="Z637" s="457"/>
    </row>
    <row r="638" spans="1:26" ht="18" customHeight="1">
      <c r="A638" s="464"/>
      <c r="B638" s="458"/>
      <c r="C638" s="483"/>
      <c r="D638" s="464"/>
      <c r="E638" s="464"/>
      <c r="F638" s="484"/>
      <c r="G638" s="460"/>
      <c r="H638" s="485"/>
      <c r="I638" s="164"/>
      <c r="J638" s="462"/>
      <c r="K638" s="481"/>
      <c r="L638" s="464"/>
      <c r="M638" s="164"/>
      <c r="N638" s="465"/>
      <c r="O638" s="462"/>
      <c r="P638" s="486"/>
      <c r="Q638" s="487"/>
      <c r="R638" s="164"/>
      <c r="S638" s="467"/>
      <c r="T638" s="468"/>
      <c r="U638" s="469"/>
      <c r="V638" s="457"/>
      <c r="W638" s="457"/>
      <c r="X638" s="457"/>
      <c r="Y638" s="457"/>
      <c r="Z638" s="457"/>
    </row>
    <row r="639" spans="1:26" ht="18" customHeight="1">
      <c r="A639" s="464"/>
      <c r="B639" s="458"/>
      <c r="C639" s="483"/>
      <c r="D639" s="464"/>
      <c r="E639" s="464"/>
      <c r="F639" s="484"/>
      <c r="G639" s="460"/>
      <c r="H639" s="485"/>
      <c r="I639" s="164"/>
      <c r="J639" s="462"/>
      <c r="K639" s="481"/>
      <c r="L639" s="464"/>
      <c r="M639" s="164"/>
      <c r="N639" s="465"/>
      <c r="O639" s="462"/>
      <c r="P639" s="486"/>
      <c r="Q639" s="487"/>
      <c r="R639" s="164"/>
      <c r="S639" s="467"/>
      <c r="T639" s="468"/>
      <c r="U639" s="469"/>
      <c r="V639" s="457"/>
      <c r="W639" s="457"/>
      <c r="X639" s="457"/>
      <c r="Y639" s="457"/>
      <c r="Z639" s="457"/>
    </row>
    <row r="640" spans="1:26" ht="18" customHeight="1">
      <c r="A640" s="464"/>
      <c r="B640" s="458"/>
      <c r="C640" s="483"/>
      <c r="D640" s="464"/>
      <c r="E640" s="464"/>
      <c r="F640" s="484"/>
      <c r="G640" s="460"/>
      <c r="H640" s="485"/>
      <c r="I640" s="164"/>
      <c r="J640" s="462"/>
      <c r="K640" s="481"/>
      <c r="L640" s="464"/>
      <c r="M640" s="164"/>
      <c r="N640" s="465"/>
      <c r="O640" s="462"/>
      <c r="P640" s="486"/>
      <c r="Q640" s="487"/>
      <c r="R640" s="164"/>
      <c r="S640" s="467"/>
      <c r="T640" s="468"/>
      <c r="U640" s="469"/>
      <c r="V640" s="457"/>
      <c r="W640" s="457"/>
      <c r="X640" s="457"/>
      <c r="Y640" s="457"/>
      <c r="Z640" s="457"/>
    </row>
    <row r="641" spans="1:26" ht="18" customHeight="1">
      <c r="A641" s="464"/>
      <c r="B641" s="458"/>
      <c r="C641" s="483"/>
      <c r="D641" s="464"/>
      <c r="E641" s="464"/>
      <c r="F641" s="484"/>
      <c r="G641" s="460"/>
      <c r="H641" s="485"/>
      <c r="I641" s="164"/>
      <c r="J641" s="462"/>
      <c r="K641" s="481"/>
      <c r="L641" s="464"/>
      <c r="M641" s="164"/>
      <c r="N641" s="465"/>
      <c r="O641" s="462"/>
      <c r="P641" s="486"/>
      <c r="Q641" s="487"/>
      <c r="R641" s="164"/>
      <c r="S641" s="467"/>
      <c r="T641" s="468"/>
      <c r="U641" s="469"/>
      <c r="V641" s="457"/>
      <c r="W641" s="457"/>
      <c r="X641" s="457"/>
      <c r="Y641" s="457"/>
      <c r="Z641" s="457"/>
    </row>
    <row r="642" spans="1:26" ht="18" customHeight="1">
      <c r="A642" s="464"/>
      <c r="B642" s="458"/>
      <c r="C642" s="483"/>
      <c r="D642" s="464"/>
      <c r="E642" s="464"/>
      <c r="F642" s="484"/>
      <c r="G642" s="460"/>
      <c r="H642" s="485"/>
      <c r="I642" s="164"/>
      <c r="J642" s="462"/>
      <c r="K642" s="481"/>
      <c r="L642" s="464"/>
      <c r="M642" s="164"/>
      <c r="N642" s="465"/>
      <c r="O642" s="462"/>
      <c r="P642" s="486"/>
      <c r="Q642" s="487"/>
      <c r="R642" s="164"/>
      <c r="S642" s="467"/>
      <c r="T642" s="468"/>
      <c r="U642" s="469"/>
      <c r="V642" s="457"/>
      <c r="W642" s="457"/>
      <c r="X642" s="457"/>
      <c r="Y642" s="457"/>
      <c r="Z642" s="457"/>
    </row>
    <row r="643" spans="1:26" ht="18" customHeight="1">
      <c r="A643" s="464"/>
      <c r="B643" s="458"/>
      <c r="C643" s="483"/>
      <c r="D643" s="464"/>
      <c r="E643" s="464"/>
      <c r="F643" s="484"/>
      <c r="G643" s="460"/>
      <c r="H643" s="485"/>
      <c r="I643" s="164"/>
      <c r="J643" s="462"/>
      <c r="K643" s="481"/>
      <c r="L643" s="464"/>
      <c r="M643" s="164"/>
      <c r="N643" s="465"/>
      <c r="O643" s="462"/>
      <c r="P643" s="486"/>
      <c r="Q643" s="487"/>
      <c r="R643" s="164"/>
      <c r="S643" s="467"/>
      <c r="T643" s="468"/>
      <c r="U643" s="469"/>
      <c r="V643" s="457"/>
      <c r="W643" s="457"/>
      <c r="X643" s="457"/>
      <c r="Y643" s="457"/>
      <c r="Z643" s="457"/>
    </row>
    <row r="644" spans="1:26" ht="18" customHeight="1">
      <c r="A644" s="464"/>
      <c r="B644" s="458"/>
      <c r="C644" s="483"/>
      <c r="D644" s="464"/>
      <c r="E644" s="464"/>
      <c r="F644" s="484"/>
      <c r="G644" s="460"/>
      <c r="H644" s="485"/>
      <c r="I644" s="164"/>
      <c r="J644" s="462"/>
      <c r="K644" s="481"/>
      <c r="L644" s="464"/>
      <c r="M644" s="164"/>
      <c r="N644" s="465"/>
      <c r="O644" s="462"/>
      <c r="P644" s="486"/>
      <c r="Q644" s="487"/>
      <c r="R644" s="164"/>
      <c r="S644" s="467"/>
      <c r="T644" s="468"/>
      <c r="U644" s="469"/>
      <c r="V644" s="457"/>
      <c r="W644" s="457"/>
      <c r="X644" s="457"/>
      <c r="Y644" s="457"/>
      <c r="Z644" s="457"/>
    </row>
    <row r="645" spans="1:26" ht="18" customHeight="1">
      <c r="A645" s="464"/>
      <c r="B645" s="458"/>
      <c r="C645" s="483"/>
      <c r="D645" s="464"/>
      <c r="E645" s="464"/>
      <c r="F645" s="484"/>
      <c r="G645" s="460"/>
      <c r="H645" s="485"/>
      <c r="I645" s="164"/>
      <c r="J645" s="462"/>
      <c r="K645" s="481"/>
      <c r="L645" s="464"/>
      <c r="M645" s="164"/>
      <c r="N645" s="465"/>
      <c r="O645" s="462"/>
      <c r="P645" s="486"/>
      <c r="Q645" s="487"/>
      <c r="R645" s="164"/>
      <c r="S645" s="467"/>
      <c r="T645" s="468"/>
      <c r="U645" s="469"/>
      <c r="V645" s="457"/>
      <c r="W645" s="457"/>
      <c r="X645" s="457"/>
      <c r="Y645" s="457"/>
      <c r="Z645" s="457"/>
    </row>
    <row r="646" spans="1:26" ht="18" customHeight="1">
      <c r="A646" s="464"/>
      <c r="B646" s="458"/>
      <c r="C646" s="483"/>
      <c r="D646" s="464"/>
      <c r="E646" s="464"/>
      <c r="F646" s="484"/>
      <c r="G646" s="460"/>
      <c r="H646" s="485"/>
      <c r="I646" s="164"/>
      <c r="J646" s="462"/>
      <c r="K646" s="481"/>
      <c r="L646" s="464"/>
      <c r="M646" s="164"/>
      <c r="N646" s="465"/>
      <c r="O646" s="462"/>
      <c r="P646" s="486"/>
      <c r="Q646" s="487"/>
      <c r="R646" s="164"/>
      <c r="S646" s="467"/>
      <c r="T646" s="468"/>
      <c r="U646" s="469"/>
      <c r="V646" s="457"/>
      <c r="W646" s="457"/>
      <c r="X646" s="457"/>
      <c r="Y646" s="457"/>
      <c r="Z646" s="457"/>
    </row>
    <row r="647" spans="1:26" ht="18" customHeight="1">
      <c r="A647" s="464"/>
      <c r="B647" s="458"/>
      <c r="C647" s="483"/>
      <c r="D647" s="464"/>
      <c r="E647" s="464"/>
      <c r="F647" s="484"/>
      <c r="G647" s="460"/>
      <c r="H647" s="485"/>
      <c r="I647" s="164"/>
      <c r="J647" s="462"/>
      <c r="K647" s="481"/>
      <c r="L647" s="464"/>
      <c r="M647" s="164"/>
      <c r="N647" s="465"/>
      <c r="O647" s="462"/>
      <c r="P647" s="486"/>
      <c r="Q647" s="487"/>
      <c r="R647" s="164"/>
      <c r="S647" s="467"/>
      <c r="T647" s="468"/>
      <c r="U647" s="469"/>
      <c r="V647" s="457"/>
      <c r="W647" s="457"/>
      <c r="X647" s="457"/>
      <c r="Y647" s="457"/>
      <c r="Z647" s="457"/>
    </row>
    <row r="648" spans="1:26" ht="18" customHeight="1">
      <c r="A648" s="464"/>
      <c r="B648" s="458"/>
      <c r="C648" s="483"/>
      <c r="D648" s="464"/>
      <c r="E648" s="464"/>
      <c r="F648" s="484"/>
      <c r="G648" s="460"/>
      <c r="H648" s="485"/>
      <c r="I648" s="164"/>
      <c r="J648" s="462"/>
      <c r="K648" s="481"/>
      <c r="L648" s="464"/>
      <c r="M648" s="164"/>
      <c r="N648" s="465"/>
      <c r="O648" s="462"/>
      <c r="P648" s="486"/>
      <c r="Q648" s="487"/>
      <c r="R648" s="164"/>
      <c r="S648" s="467"/>
      <c r="T648" s="468"/>
      <c r="U648" s="469"/>
      <c r="V648" s="457"/>
      <c r="W648" s="457"/>
      <c r="X648" s="457"/>
      <c r="Y648" s="457"/>
      <c r="Z648" s="457"/>
    </row>
    <row r="649" spans="1:26" ht="18" customHeight="1">
      <c r="A649" s="464"/>
      <c r="B649" s="458"/>
      <c r="C649" s="483"/>
      <c r="D649" s="464"/>
      <c r="E649" s="464"/>
      <c r="F649" s="484"/>
      <c r="G649" s="460"/>
      <c r="H649" s="485"/>
      <c r="I649" s="164"/>
      <c r="J649" s="462"/>
      <c r="K649" s="481"/>
      <c r="L649" s="464"/>
      <c r="M649" s="164"/>
      <c r="N649" s="465"/>
      <c r="O649" s="462"/>
      <c r="P649" s="486"/>
      <c r="Q649" s="487"/>
      <c r="R649" s="164"/>
      <c r="S649" s="467"/>
      <c r="T649" s="468"/>
      <c r="U649" s="469"/>
      <c r="V649" s="457"/>
      <c r="W649" s="457"/>
      <c r="X649" s="457"/>
      <c r="Y649" s="457"/>
      <c r="Z649" s="457"/>
    </row>
    <row r="650" spans="1:26" ht="18" customHeight="1">
      <c r="A650" s="464"/>
      <c r="B650" s="458"/>
      <c r="C650" s="483"/>
      <c r="D650" s="464"/>
      <c r="E650" s="464"/>
      <c r="F650" s="484"/>
      <c r="G650" s="460"/>
      <c r="H650" s="485"/>
      <c r="I650" s="164"/>
      <c r="J650" s="462"/>
      <c r="K650" s="481"/>
      <c r="L650" s="464"/>
      <c r="M650" s="164"/>
      <c r="N650" s="465"/>
      <c r="O650" s="462"/>
      <c r="P650" s="486"/>
      <c r="Q650" s="487"/>
      <c r="R650" s="164"/>
      <c r="S650" s="467"/>
      <c r="T650" s="468"/>
      <c r="U650" s="469"/>
      <c r="V650" s="457"/>
      <c r="W650" s="457"/>
      <c r="X650" s="457"/>
      <c r="Y650" s="457"/>
      <c r="Z650" s="457"/>
    </row>
    <row r="651" spans="1:26" ht="18" customHeight="1">
      <c r="A651" s="464"/>
      <c r="B651" s="458"/>
      <c r="C651" s="483"/>
      <c r="D651" s="464"/>
      <c r="E651" s="464"/>
      <c r="F651" s="484"/>
      <c r="G651" s="460"/>
      <c r="H651" s="485"/>
      <c r="I651" s="164"/>
      <c r="J651" s="462"/>
      <c r="K651" s="481"/>
      <c r="L651" s="464"/>
      <c r="M651" s="164"/>
      <c r="N651" s="465"/>
      <c r="O651" s="462"/>
      <c r="P651" s="486"/>
      <c r="Q651" s="487"/>
      <c r="R651" s="164"/>
      <c r="S651" s="467"/>
      <c r="T651" s="468"/>
      <c r="U651" s="469"/>
      <c r="V651" s="457"/>
      <c r="W651" s="457"/>
      <c r="X651" s="457"/>
      <c r="Y651" s="457"/>
      <c r="Z651" s="457"/>
    </row>
    <row r="652" spans="1:26" ht="18" customHeight="1">
      <c r="A652" s="464"/>
      <c r="B652" s="458"/>
      <c r="C652" s="483"/>
      <c r="D652" s="464"/>
      <c r="E652" s="464"/>
      <c r="F652" s="484"/>
      <c r="G652" s="460"/>
      <c r="H652" s="485"/>
      <c r="I652" s="164"/>
      <c r="J652" s="462"/>
      <c r="K652" s="481"/>
      <c r="L652" s="464"/>
      <c r="M652" s="164"/>
      <c r="N652" s="465"/>
      <c r="O652" s="462"/>
      <c r="P652" s="486"/>
      <c r="Q652" s="487"/>
      <c r="R652" s="164"/>
      <c r="S652" s="467"/>
      <c r="T652" s="468"/>
      <c r="U652" s="469"/>
      <c r="V652" s="457"/>
      <c r="W652" s="457"/>
      <c r="X652" s="457"/>
      <c r="Y652" s="457"/>
      <c r="Z652" s="457"/>
    </row>
    <row r="653" spans="1:26" ht="18" customHeight="1">
      <c r="A653" s="464"/>
      <c r="B653" s="458"/>
      <c r="C653" s="483"/>
      <c r="D653" s="464"/>
      <c r="E653" s="464"/>
      <c r="F653" s="484"/>
      <c r="G653" s="460"/>
      <c r="H653" s="485"/>
      <c r="I653" s="164"/>
      <c r="J653" s="462"/>
      <c r="K653" s="481"/>
      <c r="L653" s="464"/>
      <c r="M653" s="164"/>
      <c r="N653" s="465"/>
      <c r="O653" s="462"/>
      <c r="P653" s="486"/>
      <c r="Q653" s="487"/>
      <c r="R653" s="164"/>
      <c r="S653" s="467"/>
      <c r="T653" s="468"/>
      <c r="U653" s="469"/>
      <c r="V653" s="457"/>
      <c r="W653" s="457"/>
      <c r="X653" s="457"/>
      <c r="Y653" s="457"/>
      <c r="Z653" s="457"/>
    </row>
    <row r="654" spans="1:26" ht="18" customHeight="1">
      <c r="A654" s="464"/>
      <c r="B654" s="458"/>
      <c r="C654" s="483"/>
      <c r="D654" s="464"/>
      <c r="E654" s="464"/>
      <c r="F654" s="484"/>
      <c r="G654" s="460"/>
      <c r="H654" s="485"/>
      <c r="I654" s="164"/>
      <c r="J654" s="462"/>
      <c r="K654" s="481"/>
      <c r="L654" s="464"/>
      <c r="M654" s="164"/>
      <c r="N654" s="465"/>
      <c r="O654" s="462"/>
      <c r="P654" s="486"/>
      <c r="Q654" s="487"/>
      <c r="R654" s="164"/>
      <c r="S654" s="467"/>
      <c r="T654" s="468"/>
      <c r="U654" s="469"/>
      <c r="V654" s="457"/>
      <c r="W654" s="457"/>
      <c r="X654" s="457"/>
      <c r="Y654" s="457"/>
      <c r="Z654" s="457"/>
    </row>
    <row r="655" spans="1:26" ht="18" customHeight="1">
      <c r="A655" s="464"/>
      <c r="B655" s="458"/>
      <c r="C655" s="483"/>
      <c r="D655" s="464"/>
      <c r="E655" s="464"/>
      <c r="F655" s="484"/>
      <c r="G655" s="460"/>
      <c r="H655" s="485"/>
      <c r="I655" s="164"/>
      <c r="J655" s="462"/>
      <c r="K655" s="481"/>
      <c r="L655" s="464"/>
      <c r="M655" s="164"/>
      <c r="N655" s="465"/>
      <c r="O655" s="462"/>
      <c r="P655" s="486"/>
      <c r="Q655" s="487"/>
      <c r="R655" s="164"/>
      <c r="S655" s="467"/>
      <c r="T655" s="468"/>
      <c r="U655" s="469"/>
      <c r="V655" s="457"/>
      <c r="W655" s="457"/>
      <c r="X655" s="457"/>
      <c r="Y655" s="457"/>
      <c r="Z655" s="457"/>
    </row>
    <row r="656" spans="1:26" ht="18" customHeight="1">
      <c r="A656" s="464"/>
      <c r="B656" s="458"/>
      <c r="C656" s="483"/>
      <c r="D656" s="464"/>
      <c r="E656" s="464"/>
      <c r="F656" s="484"/>
      <c r="G656" s="460"/>
      <c r="H656" s="485"/>
      <c r="I656" s="164"/>
      <c r="J656" s="462"/>
      <c r="K656" s="481"/>
      <c r="L656" s="464"/>
      <c r="M656" s="164"/>
      <c r="N656" s="465"/>
      <c r="O656" s="462"/>
      <c r="P656" s="486"/>
      <c r="Q656" s="487"/>
      <c r="R656" s="164"/>
      <c r="S656" s="467"/>
      <c r="T656" s="468"/>
      <c r="U656" s="469"/>
      <c r="V656" s="457"/>
      <c r="W656" s="457"/>
      <c r="X656" s="457"/>
      <c r="Y656" s="457"/>
      <c r="Z656" s="457"/>
    </row>
    <row r="657" spans="1:26" ht="18" customHeight="1">
      <c r="A657" s="464"/>
      <c r="B657" s="458"/>
      <c r="C657" s="483"/>
      <c r="D657" s="464"/>
      <c r="E657" s="464"/>
      <c r="F657" s="484"/>
      <c r="G657" s="460"/>
      <c r="H657" s="485"/>
      <c r="I657" s="164"/>
      <c r="J657" s="462"/>
      <c r="K657" s="481"/>
      <c r="L657" s="464"/>
      <c r="M657" s="164"/>
      <c r="N657" s="465"/>
      <c r="O657" s="462"/>
      <c r="P657" s="486"/>
      <c r="Q657" s="487"/>
      <c r="R657" s="164"/>
      <c r="S657" s="467"/>
      <c r="T657" s="468"/>
      <c r="U657" s="469"/>
      <c r="V657" s="457"/>
      <c r="W657" s="457"/>
      <c r="X657" s="457"/>
      <c r="Y657" s="457"/>
      <c r="Z657" s="457"/>
    </row>
    <row r="658" spans="1:26" ht="18" customHeight="1">
      <c r="A658" s="464"/>
      <c r="B658" s="458"/>
      <c r="C658" s="483"/>
      <c r="D658" s="464"/>
      <c r="E658" s="464"/>
      <c r="F658" s="484"/>
      <c r="G658" s="460"/>
      <c r="H658" s="485"/>
      <c r="I658" s="164"/>
      <c r="J658" s="462"/>
      <c r="K658" s="481"/>
      <c r="L658" s="464"/>
      <c r="M658" s="164"/>
      <c r="N658" s="465"/>
      <c r="O658" s="462"/>
      <c r="P658" s="486"/>
      <c r="Q658" s="487"/>
      <c r="R658" s="164"/>
      <c r="S658" s="467"/>
      <c r="T658" s="468"/>
      <c r="U658" s="469"/>
      <c r="V658" s="457"/>
      <c r="W658" s="457"/>
      <c r="X658" s="457"/>
      <c r="Y658" s="457"/>
      <c r="Z658" s="457"/>
    </row>
    <row r="659" spans="1:26" ht="18" customHeight="1">
      <c r="A659" s="464"/>
      <c r="B659" s="458"/>
      <c r="C659" s="483"/>
      <c r="D659" s="464"/>
      <c r="E659" s="464"/>
      <c r="F659" s="484"/>
      <c r="G659" s="460"/>
      <c r="H659" s="485"/>
      <c r="I659" s="164"/>
      <c r="J659" s="462"/>
      <c r="K659" s="481"/>
      <c r="L659" s="464"/>
      <c r="M659" s="164"/>
      <c r="N659" s="465"/>
      <c r="O659" s="462"/>
      <c r="P659" s="486"/>
      <c r="Q659" s="487"/>
      <c r="R659" s="164"/>
      <c r="S659" s="467"/>
      <c r="T659" s="468"/>
      <c r="U659" s="469"/>
      <c r="V659" s="457"/>
      <c r="W659" s="457"/>
      <c r="X659" s="457"/>
      <c r="Y659" s="457"/>
      <c r="Z659" s="457"/>
    </row>
    <row r="660" spans="1:26" ht="18" customHeight="1">
      <c r="A660" s="464"/>
      <c r="B660" s="458"/>
      <c r="C660" s="483"/>
      <c r="D660" s="464"/>
      <c r="E660" s="464"/>
      <c r="F660" s="484"/>
      <c r="G660" s="460"/>
      <c r="H660" s="485"/>
      <c r="I660" s="164"/>
      <c r="J660" s="462"/>
      <c r="K660" s="481"/>
      <c r="L660" s="464"/>
      <c r="M660" s="164"/>
      <c r="N660" s="465"/>
      <c r="O660" s="462"/>
      <c r="P660" s="486"/>
      <c r="Q660" s="487"/>
      <c r="R660" s="164"/>
      <c r="S660" s="467"/>
      <c r="T660" s="468"/>
      <c r="U660" s="469"/>
      <c r="V660" s="457"/>
      <c r="W660" s="457"/>
      <c r="X660" s="457"/>
      <c r="Y660" s="457"/>
      <c r="Z660" s="457"/>
    </row>
    <row r="661" spans="1:26" ht="18" customHeight="1">
      <c r="A661" s="464"/>
      <c r="B661" s="458"/>
      <c r="C661" s="483"/>
      <c r="D661" s="464"/>
      <c r="E661" s="464"/>
      <c r="F661" s="484"/>
      <c r="G661" s="460"/>
      <c r="H661" s="485"/>
      <c r="I661" s="164"/>
      <c r="J661" s="462"/>
      <c r="K661" s="481"/>
      <c r="L661" s="464"/>
      <c r="M661" s="164"/>
      <c r="N661" s="465"/>
      <c r="O661" s="462"/>
      <c r="P661" s="486"/>
      <c r="Q661" s="487"/>
      <c r="R661" s="164"/>
      <c r="S661" s="467"/>
      <c r="T661" s="468"/>
      <c r="U661" s="469"/>
      <c r="V661" s="457"/>
      <c r="W661" s="457"/>
      <c r="X661" s="457"/>
      <c r="Y661" s="457"/>
      <c r="Z661" s="457"/>
    </row>
    <row r="662" spans="1:26" ht="18" customHeight="1">
      <c r="A662" s="464"/>
      <c r="B662" s="458"/>
      <c r="C662" s="483"/>
      <c r="D662" s="464"/>
      <c r="E662" s="464"/>
      <c r="F662" s="484"/>
      <c r="G662" s="460"/>
      <c r="H662" s="485"/>
      <c r="I662" s="164"/>
      <c r="J662" s="462"/>
      <c r="K662" s="481"/>
      <c r="L662" s="464"/>
      <c r="M662" s="164"/>
      <c r="N662" s="465"/>
      <c r="O662" s="462"/>
      <c r="P662" s="486"/>
      <c r="Q662" s="487"/>
      <c r="R662" s="164"/>
      <c r="S662" s="467"/>
      <c r="T662" s="468"/>
      <c r="U662" s="469"/>
      <c r="V662" s="457"/>
      <c r="W662" s="457"/>
      <c r="X662" s="457"/>
      <c r="Y662" s="457"/>
      <c r="Z662" s="457"/>
    </row>
    <row r="663" spans="1:26" ht="18" customHeight="1">
      <c r="A663" s="464"/>
      <c r="B663" s="458"/>
      <c r="C663" s="483"/>
      <c r="D663" s="464"/>
      <c r="E663" s="464"/>
      <c r="F663" s="484"/>
      <c r="G663" s="460"/>
      <c r="H663" s="485"/>
      <c r="I663" s="164"/>
      <c r="J663" s="462"/>
      <c r="K663" s="481"/>
      <c r="L663" s="464"/>
      <c r="M663" s="164"/>
      <c r="N663" s="465"/>
      <c r="O663" s="462"/>
      <c r="P663" s="486"/>
      <c r="Q663" s="487"/>
      <c r="R663" s="164"/>
      <c r="S663" s="467"/>
      <c r="T663" s="468"/>
      <c r="U663" s="469"/>
      <c r="V663" s="457"/>
      <c r="W663" s="457"/>
      <c r="X663" s="457"/>
      <c r="Y663" s="457"/>
      <c r="Z663" s="457"/>
    </row>
    <row r="664" spans="1:26" ht="18" customHeight="1">
      <c r="A664" s="464"/>
      <c r="B664" s="458"/>
      <c r="C664" s="483"/>
      <c r="D664" s="464"/>
      <c r="E664" s="464"/>
      <c r="F664" s="484"/>
      <c r="G664" s="460"/>
      <c r="H664" s="485"/>
      <c r="I664" s="164"/>
      <c r="J664" s="462"/>
      <c r="K664" s="481"/>
      <c r="L664" s="464"/>
      <c r="M664" s="164"/>
      <c r="N664" s="465"/>
      <c r="O664" s="462"/>
      <c r="P664" s="486"/>
      <c r="Q664" s="487"/>
      <c r="R664" s="164"/>
      <c r="S664" s="467"/>
      <c r="T664" s="468"/>
      <c r="U664" s="469"/>
      <c r="V664" s="457"/>
      <c r="W664" s="457"/>
      <c r="X664" s="457"/>
      <c r="Y664" s="457"/>
      <c r="Z664" s="457"/>
    </row>
    <row r="665" spans="1:26" ht="18" customHeight="1">
      <c r="A665" s="464"/>
      <c r="B665" s="458"/>
      <c r="C665" s="483"/>
      <c r="D665" s="464"/>
      <c r="E665" s="464"/>
      <c r="F665" s="484"/>
      <c r="G665" s="460"/>
      <c r="H665" s="485"/>
      <c r="I665" s="164"/>
      <c r="J665" s="462"/>
      <c r="K665" s="481"/>
      <c r="L665" s="464"/>
      <c r="M665" s="164"/>
      <c r="N665" s="465"/>
      <c r="O665" s="462"/>
      <c r="P665" s="486"/>
      <c r="Q665" s="487"/>
      <c r="R665" s="164"/>
      <c r="S665" s="467"/>
      <c r="T665" s="468"/>
      <c r="U665" s="469"/>
      <c r="V665" s="457"/>
      <c r="W665" s="457"/>
      <c r="X665" s="457"/>
      <c r="Y665" s="457"/>
      <c r="Z665" s="457"/>
    </row>
    <row r="666" spans="1:26" ht="18" customHeight="1">
      <c r="A666" s="464"/>
      <c r="B666" s="458"/>
      <c r="C666" s="483"/>
      <c r="D666" s="464"/>
      <c r="E666" s="464"/>
      <c r="F666" s="484"/>
      <c r="G666" s="460"/>
      <c r="H666" s="485"/>
      <c r="I666" s="164"/>
      <c r="J666" s="462"/>
      <c r="K666" s="481"/>
      <c r="L666" s="464"/>
      <c r="M666" s="164"/>
      <c r="N666" s="465"/>
      <c r="O666" s="462"/>
      <c r="P666" s="486"/>
      <c r="Q666" s="487"/>
      <c r="R666" s="164"/>
      <c r="S666" s="467"/>
      <c r="T666" s="468"/>
      <c r="U666" s="469"/>
      <c r="V666" s="457"/>
      <c r="W666" s="457"/>
      <c r="X666" s="457"/>
      <c r="Y666" s="457"/>
      <c r="Z666" s="457"/>
    </row>
    <row r="667" spans="1:26" ht="18" customHeight="1">
      <c r="A667" s="464"/>
      <c r="B667" s="458"/>
      <c r="C667" s="483"/>
      <c r="D667" s="464"/>
      <c r="E667" s="464"/>
      <c r="F667" s="484"/>
      <c r="G667" s="460"/>
      <c r="H667" s="485"/>
      <c r="I667" s="164"/>
      <c r="J667" s="462"/>
      <c r="K667" s="481"/>
      <c r="L667" s="464"/>
      <c r="M667" s="164"/>
      <c r="N667" s="465"/>
      <c r="O667" s="462"/>
      <c r="P667" s="486"/>
      <c r="Q667" s="487"/>
      <c r="R667" s="164"/>
      <c r="S667" s="467"/>
      <c r="T667" s="468"/>
      <c r="U667" s="469"/>
      <c r="V667" s="457"/>
      <c r="W667" s="457"/>
      <c r="X667" s="457"/>
      <c r="Y667" s="457"/>
      <c r="Z667" s="457"/>
    </row>
    <row r="668" spans="1:26" ht="18" customHeight="1">
      <c r="A668" s="464"/>
      <c r="B668" s="458"/>
      <c r="C668" s="483"/>
      <c r="D668" s="464"/>
      <c r="E668" s="464"/>
      <c r="F668" s="484"/>
      <c r="G668" s="460"/>
      <c r="H668" s="485"/>
      <c r="I668" s="164"/>
      <c r="J668" s="462"/>
      <c r="K668" s="481"/>
      <c r="L668" s="464"/>
      <c r="M668" s="164"/>
      <c r="N668" s="465"/>
      <c r="O668" s="462"/>
      <c r="P668" s="486"/>
      <c r="Q668" s="487"/>
      <c r="R668" s="164"/>
      <c r="S668" s="467"/>
      <c r="T668" s="468"/>
      <c r="U668" s="469"/>
      <c r="V668" s="457"/>
      <c r="W668" s="457"/>
      <c r="X668" s="457"/>
      <c r="Y668" s="457"/>
      <c r="Z668" s="457"/>
    </row>
    <row r="669" spans="1:26" ht="18" customHeight="1">
      <c r="A669" s="464"/>
      <c r="B669" s="458"/>
      <c r="C669" s="483"/>
      <c r="D669" s="464"/>
      <c r="E669" s="464"/>
      <c r="F669" s="484"/>
      <c r="G669" s="460"/>
      <c r="H669" s="485"/>
      <c r="I669" s="164"/>
      <c r="J669" s="462"/>
      <c r="K669" s="481"/>
      <c r="L669" s="464"/>
      <c r="M669" s="164"/>
      <c r="N669" s="465"/>
      <c r="O669" s="462"/>
      <c r="P669" s="486"/>
      <c r="Q669" s="487"/>
      <c r="R669" s="164"/>
      <c r="S669" s="467"/>
      <c r="T669" s="468"/>
      <c r="U669" s="469"/>
      <c r="V669" s="457"/>
      <c r="W669" s="457"/>
      <c r="X669" s="457"/>
      <c r="Y669" s="457"/>
      <c r="Z669" s="457"/>
    </row>
    <row r="670" spans="1:26" ht="18" customHeight="1">
      <c r="A670" s="464"/>
      <c r="B670" s="458"/>
      <c r="C670" s="483"/>
      <c r="D670" s="464"/>
      <c r="E670" s="464"/>
      <c r="F670" s="484"/>
      <c r="G670" s="460"/>
      <c r="H670" s="485"/>
      <c r="I670" s="164"/>
      <c r="J670" s="462"/>
      <c r="K670" s="481"/>
      <c r="L670" s="464"/>
      <c r="M670" s="164"/>
      <c r="N670" s="465"/>
      <c r="O670" s="462"/>
      <c r="P670" s="486"/>
      <c r="Q670" s="487"/>
      <c r="R670" s="164"/>
      <c r="S670" s="467"/>
      <c r="T670" s="468"/>
      <c r="U670" s="469"/>
      <c r="V670" s="457"/>
      <c r="W670" s="457"/>
      <c r="X670" s="457"/>
      <c r="Y670" s="457"/>
      <c r="Z670" s="457"/>
    </row>
    <row r="671" spans="1:26" ht="18" customHeight="1">
      <c r="A671" s="464"/>
      <c r="B671" s="488"/>
      <c r="C671" s="489"/>
      <c r="D671" s="464"/>
      <c r="E671" s="464"/>
      <c r="F671" s="490"/>
      <c r="G671" s="491"/>
      <c r="H671" s="492"/>
      <c r="I671" s="164"/>
      <c r="J671" s="493"/>
      <c r="K671" s="481"/>
      <c r="L671" s="464"/>
      <c r="M671" s="164"/>
      <c r="N671" s="494"/>
      <c r="O671" s="493"/>
      <c r="P671" s="495"/>
      <c r="Q671" s="487"/>
      <c r="R671" s="164"/>
      <c r="S671" s="467"/>
      <c r="T671" s="468"/>
      <c r="U671" s="469"/>
      <c r="V671" s="429"/>
      <c r="W671" s="429"/>
      <c r="X671" s="429"/>
      <c r="Y671" s="429"/>
      <c r="Z671" s="429"/>
    </row>
    <row r="672" spans="1:26" ht="18" customHeight="1">
      <c r="A672" s="464"/>
      <c r="B672" s="488"/>
      <c r="C672" s="489"/>
      <c r="D672" s="464"/>
      <c r="E672" s="464"/>
      <c r="F672" s="490"/>
      <c r="G672" s="491"/>
      <c r="H672" s="492"/>
      <c r="I672" s="164"/>
      <c r="J672" s="493"/>
      <c r="K672" s="481"/>
      <c r="L672" s="464"/>
      <c r="M672" s="164"/>
      <c r="N672" s="494"/>
      <c r="O672" s="493"/>
      <c r="P672" s="495"/>
      <c r="Q672" s="487"/>
      <c r="R672" s="164"/>
      <c r="S672" s="467"/>
      <c r="T672" s="468"/>
      <c r="U672" s="469"/>
      <c r="V672" s="429"/>
      <c r="W672" s="429"/>
      <c r="X672" s="429"/>
      <c r="Y672" s="429"/>
      <c r="Z672" s="429"/>
    </row>
    <row r="673" spans="1:26" ht="18" customHeight="1">
      <c r="A673" s="464"/>
      <c r="B673" s="488"/>
      <c r="C673" s="489"/>
      <c r="D673" s="464"/>
      <c r="E673" s="464"/>
      <c r="F673" s="490"/>
      <c r="G673" s="491"/>
      <c r="H673" s="492"/>
      <c r="I673" s="164"/>
      <c r="J673" s="493"/>
      <c r="K673" s="481"/>
      <c r="L673" s="464"/>
      <c r="M673" s="164"/>
      <c r="N673" s="494"/>
      <c r="O673" s="493"/>
      <c r="P673" s="495"/>
      <c r="Q673" s="487"/>
      <c r="R673" s="164"/>
      <c r="S673" s="467"/>
      <c r="T673" s="468"/>
      <c r="U673" s="469"/>
      <c r="V673" s="429"/>
      <c r="W673" s="429"/>
      <c r="X673" s="429"/>
      <c r="Y673" s="429"/>
      <c r="Z673" s="429"/>
    </row>
    <row r="674" spans="1:26" ht="18" customHeight="1">
      <c r="A674" s="464"/>
      <c r="B674" s="488"/>
      <c r="C674" s="489"/>
      <c r="D674" s="464"/>
      <c r="E674" s="464"/>
      <c r="F674" s="490"/>
      <c r="G674" s="491"/>
      <c r="H674" s="492"/>
      <c r="I674" s="164"/>
      <c r="J674" s="493"/>
      <c r="K674" s="481"/>
      <c r="L674" s="464"/>
      <c r="M674" s="164"/>
      <c r="N674" s="494"/>
      <c r="O674" s="493"/>
      <c r="P674" s="495"/>
      <c r="Q674" s="487"/>
      <c r="R674" s="164"/>
      <c r="S674" s="467"/>
      <c r="T674" s="468"/>
      <c r="U674" s="469"/>
      <c r="V674" s="429"/>
      <c r="W674" s="429"/>
      <c r="X674" s="429"/>
      <c r="Y674" s="429"/>
      <c r="Z674" s="429"/>
    </row>
    <row r="675" spans="1:26" ht="18" customHeight="1">
      <c r="A675" s="464"/>
      <c r="B675" s="488"/>
      <c r="C675" s="489"/>
      <c r="D675" s="464"/>
      <c r="E675" s="464"/>
      <c r="F675" s="490"/>
      <c r="G675" s="491"/>
      <c r="H675" s="492"/>
      <c r="I675" s="164"/>
      <c r="J675" s="493"/>
      <c r="K675" s="481"/>
      <c r="L675" s="464"/>
      <c r="M675" s="164"/>
      <c r="N675" s="494"/>
      <c r="O675" s="493"/>
      <c r="P675" s="495"/>
      <c r="Q675" s="487"/>
      <c r="R675" s="164"/>
      <c r="S675" s="467"/>
      <c r="T675" s="468"/>
      <c r="U675" s="469"/>
      <c r="V675" s="429"/>
      <c r="W675" s="429"/>
      <c r="X675" s="429"/>
      <c r="Y675" s="429"/>
      <c r="Z675" s="429"/>
    </row>
    <row r="676" spans="1:26" ht="18" customHeight="1">
      <c r="A676" s="464"/>
      <c r="B676" s="488"/>
      <c r="C676" s="489"/>
      <c r="D676" s="464"/>
      <c r="E676" s="464"/>
      <c r="F676" s="490"/>
      <c r="G676" s="491"/>
      <c r="H676" s="492"/>
      <c r="I676" s="164"/>
      <c r="J676" s="493"/>
      <c r="K676" s="481"/>
      <c r="L676" s="464"/>
      <c r="M676" s="164"/>
      <c r="N676" s="494"/>
      <c r="O676" s="493"/>
      <c r="P676" s="495"/>
      <c r="Q676" s="487"/>
      <c r="R676" s="164"/>
      <c r="S676" s="467"/>
      <c r="T676" s="468"/>
      <c r="U676" s="469"/>
      <c r="V676" s="429"/>
      <c r="W676" s="429"/>
      <c r="X676" s="429"/>
      <c r="Y676" s="429"/>
      <c r="Z676" s="429"/>
    </row>
    <row r="677" spans="1:26" ht="18" customHeight="1">
      <c r="A677" s="464"/>
      <c r="B677" s="488"/>
      <c r="C677" s="489"/>
      <c r="D677" s="464"/>
      <c r="E677" s="464"/>
      <c r="F677" s="490"/>
      <c r="G677" s="491"/>
      <c r="H677" s="492"/>
      <c r="I677" s="164"/>
      <c r="J677" s="493"/>
      <c r="K677" s="481"/>
      <c r="L677" s="464"/>
      <c r="M677" s="164"/>
      <c r="N677" s="494"/>
      <c r="O677" s="493"/>
      <c r="P677" s="495"/>
      <c r="Q677" s="487"/>
      <c r="R677" s="164"/>
      <c r="S677" s="467"/>
      <c r="T677" s="468"/>
      <c r="U677" s="469"/>
      <c r="V677" s="429"/>
      <c r="W677" s="429"/>
      <c r="X677" s="429"/>
      <c r="Y677" s="429"/>
      <c r="Z677" s="429"/>
    </row>
    <row r="678" spans="1:26" ht="18" customHeight="1">
      <c r="A678" s="464"/>
      <c r="B678" s="488"/>
      <c r="C678" s="489"/>
      <c r="D678" s="464"/>
      <c r="E678" s="464"/>
      <c r="F678" s="490"/>
      <c r="G678" s="491"/>
      <c r="H678" s="492"/>
      <c r="I678" s="164"/>
      <c r="J678" s="493"/>
      <c r="K678" s="481"/>
      <c r="L678" s="464"/>
      <c r="M678" s="164"/>
      <c r="N678" s="494"/>
      <c r="O678" s="493"/>
      <c r="P678" s="495"/>
      <c r="Q678" s="487"/>
      <c r="R678" s="164"/>
      <c r="S678" s="467"/>
      <c r="T678" s="468"/>
      <c r="U678" s="469"/>
      <c r="V678" s="429"/>
      <c r="W678" s="429"/>
      <c r="X678" s="429"/>
      <c r="Y678" s="429"/>
      <c r="Z678" s="429"/>
    </row>
    <row r="679" spans="1:26" ht="18" customHeight="1">
      <c r="A679" s="464"/>
      <c r="B679" s="488"/>
      <c r="C679" s="489"/>
      <c r="D679" s="464"/>
      <c r="E679" s="464"/>
      <c r="F679" s="490"/>
      <c r="G679" s="491"/>
      <c r="H679" s="492"/>
      <c r="I679" s="164"/>
      <c r="J679" s="493"/>
      <c r="K679" s="481"/>
      <c r="L679" s="464"/>
      <c r="M679" s="164"/>
      <c r="N679" s="494"/>
      <c r="O679" s="493"/>
      <c r="P679" s="495"/>
      <c r="Q679" s="487"/>
      <c r="R679" s="164"/>
      <c r="S679" s="467"/>
      <c r="T679" s="468"/>
      <c r="U679" s="469"/>
      <c r="V679" s="429"/>
      <c r="W679" s="429"/>
      <c r="X679" s="429"/>
      <c r="Y679" s="429"/>
      <c r="Z679" s="429"/>
    </row>
    <row r="680" spans="1:26" ht="18" customHeight="1">
      <c r="A680" s="464"/>
      <c r="B680" s="488"/>
      <c r="C680" s="489"/>
      <c r="D680" s="464"/>
      <c r="E680" s="464"/>
      <c r="F680" s="490"/>
      <c r="G680" s="491"/>
      <c r="H680" s="492"/>
      <c r="I680" s="164"/>
      <c r="J680" s="493"/>
      <c r="K680" s="481"/>
      <c r="L680" s="464"/>
      <c r="M680" s="164"/>
      <c r="N680" s="494"/>
      <c r="O680" s="493"/>
      <c r="P680" s="495"/>
      <c r="Q680" s="487"/>
      <c r="R680" s="164"/>
      <c r="S680" s="467"/>
      <c r="T680" s="468"/>
      <c r="U680" s="469"/>
      <c r="V680" s="429"/>
      <c r="W680" s="429"/>
      <c r="X680" s="429"/>
      <c r="Y680" s="429"/>
      <c r="Z680" s="429"/>
    </row>
    <row r="681" spans="1:26" ht="18" customHeight="1">
      <c r="A681" s="464"/>
      <c r="B681" s="488"/>
      <c r="C681" s="489"/>
      <c r="D681" s="464"/>
      <c r="E681" s="464"/>
      <c r="F681" s="490"/>
      <c r="G681" s="491"/>
      <c r="H681" s="492"/>
      <c r="I681" s="164"/>
      <c r="J681" s="493"/>
      <c r="K681" s="481"/>
      <c r="L681" s="464"/>
      <c r="M681" s="164"/>
      <c r="N681" s="494"/>
      <c r="O681" s="493"/>
      <c r="P681" s="495"/>
      <c r="Q681" s="487"/>
      <c r="R681" s="164"/>
      <c r="S681" s="467"/>
      <c r="T681" s="468"/>
      <c r="U681" s="469"/>
      <c r="V681" s="429"/>
      <c r="W681" s="429"/>
      <c r="X681" s="429"/>
      <c r="Y681" s="429"/>
      <c r="Z681" s="429"/>
    </row>
    <row r="682" spans="1:26" ht="18" customHeight="1">
      <c r="A682" s="464"/>
      <c r="B682" s="488"/>
      <c r="C682" s="489"/>
      <c r="D682" s="464"/>
      <c r="E682" s="464"/>
      <c r="F682" s="490"/>
      <c r="G682" s="491"/>
      <c r="H682" s="492"/>
      <c r="I682" s="164"/>
      <c r="J682" s="493"/>
      <c r="K682" s="481"/>
      <c r="L682" s="464"/>
      <c r="M682" s="164"/>
      <c r="N682" s="494"/>
      <c r="O682" s="493"/>
      <c r="P682" s="495"/>
      <c r="Q682" s="487"/>
      <c r="R682" s="164"/>
      <c r="S682" s="467"/>
      <c r="T682" s="468"/>
      <c r="U682" s="469"/>
      <c r="V682" s="429"/>
      <c r="W682" s="429"/>
      <c r="X682" s="429"/>
      <c r="Y682" s="429"/>
      <c r="Z682" s="429"/>
    </row>
    <row r="683" spans="1:26" ht="18" customHeight="1">
      <c r="A683" s="464"/>
      <c r="B683" s="488"/>
      <c r="C683" s="489"/>
      <c r="D683" s="464"/>
      <c r="E683" s="464"/>
      <c r="F683" s="490"/>
      <c r="G683" s="491"/>
      <c r="H683" s="492"/>
      <c r="I683" s="164"/>
      <c r="J683" s="493"/>
      <c r="K683" s="481"/>
      <c r="L683" s="464"/>
      <c r="M683" s="164"/>
      <c r="N683" s="494"/>
      <c r="O683" s="493"/>
      <c r="P683" s="495"/>
      <c r="Q683" s="487"/>
      <c r="R683" s="164"/>
      <c r="S683" s="467"/>
      <c r="T683" s="468"/>
      <c r="U683" s="469"/>
      <c r="V683" s="429"/>
      <c r="W683" s="429"/>
      <c r="X683" s="429"/>
      <c r="Y683" s="429"/>
      <c r="Z683" s="429"/>
    </row>
    <row r="684" spans="1:26" ht="18" customHeight="1">
      <c r="A684" s="464"/>
      <c r="B684" s="488"/>
      <c r="C684" s="489"/>
      <c r="D684" s="464"/>
      <c r="E684" s="464"/>
      <c r="F684" s="490"/>
      <c r="G684" s="491"/>
      <c r="H684" s="492"/>
      <c r="I684" s="164"/>
      <c r="J684" s="493"/>
      <c r="K684" s="481"/>
      <c r="L684" s="464"/>
      <c r="M684" s="164"/>
      <c r="N684" s="494"/>
      <c r="O684" s="493"/>
      <c r="P684" s="495"/>
      <c r="Q684" s="487"/>
      <c r="R684" s="164"/>
      <c r="S684" s="467"/>
      <c r="T684" s="468"/>
      <c r="U684" s="469"/>
      <c r="V684" s="429"/>
      <c r="W684" s="429"/>
      <c r="X684" s="429"/>
      <c r="Y684" s="429"/>
      <c r="Z684" s="429"/>
    </row>
    <row r="685" spans="1:26" ht="18" customHeight="1">
      <c r="A685" s="464"/>
      <c r="B685" s="488"/>
      <c r="C685" s="489"/>
      <c r="D685" s="464"/>
      <c r="E685" s="464"/>
      <c r="F685" s="490"/>
      <c r="G685" s="491"/>
      <c r="H685" s="492"/>
      <c r="I685" s="164"/>
      <c r="J685" s="493"/>
      <c r="K685" s="481"/>
      <c r="L685" s="464"/>
      <c r="M685" s="164"/>
      <c r="N685" s="494"/>
      <c r="O685" s="493"/>
      <c r="P685" s="495"/>
      <c r="Q685" s="487"/>
      <c r="R685" s="164"/>
      <c r="S685" s="467"/>
      <c r="T685" s="468"/>
      <c r="U685" s="469"/>
      <c r="V685" s="429"/>
      <c r="W685" s="429"/>
      <c r="X685" s="429"/>
      <c r="Y685" s="429"/>
      <c r="Z685" s="429"/>
    </row>
    <row r="686" spans="1:26" ht="18" customHeight="1">
      <c r="A686" s="464"/>
      <c r="B686" s="488"/>
      <c r="C686" s="489"/>
      <c r="D686" s="464"/>
      <c r="E686" s="464"/>
      <c r="F686" s="490"/>
      <c r="G686" s="491"/>
      <c r="H686" s="492"/>
      <c r="I686" s="164"/>
      <c r="J686" s="493"/>
      <c r="K686" s="481"/>
      <c r="L686" s="464"/>
      <c r="M686" s="164"/>
      <c r="N686" s="494"/>
      <c r="O686" s="493"/>
      <c r="P686" s="495"/>
      <c r="Q686" s="487"/>
      <c r="R686" s="164"/>
      <c r="S686" s="467"/>
      <c r="T686" s="468"/>
      <c r="U686" s="469"/>
      <c r="V686" s="429"/>
      <c r="W686" s="429"/>
      <c r="X686" s="429"/>
      <c r="Y686" s="429"/>
      <c r="Z686" s="429"/>
    </row>
    <row r="687" spans="1:26" ht="18" customHeight="1">
      <c r="A687" s="464"/>
      <c r="B687" s="488"/>
      <c r="C687" s="489"/>
      <c r="D687" s="464"/>
      <c r="E687" s="464"/>
      <c r="F687" s="490"/>
      <c r="G687" s="491"/>
      <c r="H687" s="492"/>
      <c r="I687" s="164"/>
      <c r="J687" s="493"/>
      <c r="K687" s="481"/>
      <c r="L687" s="464"/>
      <c r="M687" s="164"/>
      <c r="N687" s="494"/>
      <c r="O687" s="493"/>
      <c r="P687" s="495"/>
      <c r="Q687" s="487"/>
      <c r="R687" s="164"/>
      <c r="S687" s="467"/>
      <c r="T687" s="468"/>
      <c r="U687" s="469"/>
      <c r="V687" s="429"/>
      <c r="W687" s="429"/>
      <c r="X687" s="429"/>
      <c r="Y687" s="429"/>
      <c r="Z687" s="429"/>
    </row>
    <row r="688" spans="1:26" ht="18" customHeight="1">
      <c r="A688" s="464"/>
      <c r="B688" s="488"/>
      <c r="C688" s="489"/>
      <c r="D688" s="464"/>
      <c r="E688" s="464"/>
      <c r="F688" s="490"/>
      <c r="G688" s="491"/>
      <c r="H688" s="492"/>
      <c r="I688" s="164"/>
      <c r="J688" s="493"/>
      <c r="K688" s="481"/>
      <c r="L688" s="464"/>
      <c r="M688" s="164"/>
      <c r="N688" s="494"/>
      <c r="O688" s="493"/>
      <c r="P688" s="495"/>
      <c r="Q688" s="487"/>
      <c r="R688" s="164"/>
      <c r="S688" s="467"/>
      <c r="T688" s="468"/>
      <c r="U688" s="469"/>
      <c r="V688" s="429"/>
      <c r="W688" s="429"/>
      <c r="X688" s="429"/>
      <c r="Y688" s="429"/>
      <c r="Z688" s="429"/>
    </row>
    <row r="689" spans="1:26" ht="18" customHeight="1">
      <c r="A689" s="464"/>
      <c r="B689" s="488"/>
      <c r="C689" s="489"/>
      <c r="D689" s="464"/>
      <c r="E689" s="464"/>
      <c r="F689" s="490"/>
      <c r="G689" s="491"/>
      <c r="H689" s="492"/>
      <c r="I689" s="164"/>
      <c r="J689" s="493"/>
      <c r="K689" s="481"/>
      <c r="L689" s="464"/>
      <c r="M689" s="164"/>
      <c r="N689" s="494"/>
      <c r="O689" s="493"/>
      <c r="P689" s="495"/>
      <c r="Q689" s="487"/>
      <c r="R689" s="164"/>
      <c r="S689" s="467"/>
      <c r="T689" s="468"/>
      <c r="U689" s="469"/>
      <c r="V689" s="429"/>
      <c r="W689" s="429"/>
      <c r="X689" s="429"/>
      <c r="Y689" s="429"/>
      <c r="Z689" s="429"/>
    </row>
    <row r="690" spans="1:26" ht="18" customHeight="1">
      <c r="A690" s="464"/>
      <c r="B690" s="488"/>
      <c r="C690" s="489"/>
      <c r="D690" s="464"/>
      <c r="E690" s="464"/>
      <c r="F690" s="490"/>
      <c r="G690" s="491"/>
      <c r="H690" s="492"/>
      <c r="I690" s="164"/>
      <c r="J690" s="493"/>
      <c r="K690" s="481"/>
      <c r="L690" s="464"/>
      <c r="M690" s="164"/>
      <c r="N690" s="494"/>
      <c r="O690" s="493"/>
      <c r="P690" s="495"/>
      <c r="Q690" s="487"/>
      <c r="R690" s="164"/>
      <c r="S690" s="467"/>
      <c r="T690" s="468"/>
      <c r="U690" s="469"/>
      <c r="V690" s="429"/>
      <c r="W690" s="429"/>
      <c r="X690" s="429"/>
      <c r="Y690" s="429"/>
      <c r="Z690" s="429"/>
    </row>
    <row r="691" spans="1:26" ht="18" customHeight="1">
      <c r="A691" s="464"/>
      <c r="B691" s="488"/>
      <c r="C691" s="489"/>
      <c r="D691" s="464"/>
      <c r="E691" s="464"/>
      <c r="F691" s="490"/>
      <c r="G691" s="491"/>
      <c r="H691" s="492"/>
      <c r="I691" s="164"/>
      <c r="J691" s="493"/>
      <c r="K691" s="481"/>
      <c r="L691" s="464"/>
      <c r="M691" s="164"/>
      <c r="N691" s="494"/>
      <c r="O691" s="493"/>
      <c r="P691" s="495"/>
      <c r="Q691" s="487"/>
      <c r="R691" s="164"/>
      <c r="S691" s="467"/>
      <c r="T691" s="468"/>
      <c r="U691" s="469"/>
      <c r="V691" s="429"/>
      <c r="W691" s="429"/>
      <c r="X691" s="429"/>
      <c r="Y691" s="429"/>
      <c r="Z691" s="429"/>
    </row>
    <row r="692" spans="1:26" ht="18" customHeight="1">
      <c r="A692" s="464"/>
      <c r="B692" s="488"/>
      <c r="C692" s="489"/>
      <c r="D692" s="464"/>
      <c r="E692" s="464"/>
      <c r="F692" s="490"/>
      <c r="G692" s="491"/>
      <c r="H692" s="492"/>
      <c r="I692" s="164"/>
      <c r="J692" s="493"/>
      <c r="K692" s="481"/>
      <c r="L692" s="464"/>
      <c r="M692" s="164"/>
      <c r="N692" s="494"/>
      <c r="O692" s="493"/>
      <c r="P692" s="495"/>
      <c r="Q692" s="487"/>
      <c r="R692" s="164"/>
      <c r="S692" s="467"/>
      <c r="T692" s="468"/>
      <c r="U692" s="469"/>
      <c r="V692" s="429"/>
      <c r="W692" s="429"/>
      <c r="X692" s="429"/>
      <c r="Y692" s="429"/>
      <c r="Z692" s="429"/>
    </row>
    <row r="693" spans="1:26" ht="18" customHeight="1">
      <c r="A693" s="464"/>
      <c r="B693" s="488"/>
      <c r="C693" s="489"/>
      <c r="D693" s="464"/>
      <c r="E693" s="464"/>
      <c r="F693" s="490"/>
      <c r="G693" s="491"/>
      <c r="H693" s="492"/>
      <c r="I693" s="164"/>
      <c r="J693" s="493"/>
      <c r="K693" s="481"/>
      <c r="L693" s="464"/>
      <c r="M693" s="164"/>
      <c r="N693" s="494"/>
      <c r="O693" s="493"/>
      <c r="P693" s="495"/>
      <c r="Q693" s="487"/>
      <c r="R693" s="164"/>
      <c r="S693" s="467"/>
      <c r="T693" s="468"/>
      <c r="U693" s="469"/>
      <c r="V693" s="429"/>
      <c r="W693" s="429"/>
      <c r="X693" s="429"/>
      <c r="Y693" s="429"/>
      <c r="Z693" s="429"/>
    </row>
    <row r="694" spans="1:26" ht="18" customHeight="1">
      <c r="A694" s="464"/>
      <c r="B694" s="488"/>
      <c r="C694" s="489"/>
      <c r="D694" s="464"/>
      <c r="E694" s="464"/>
      <c r="F694" s="490"/>
      <c r="G694" s="491"/>
      <c r="H694" s="492"/>
      <c r="I694" s="164"/>
      <c r="J694" s="493"/>
      <c r="K694" s="481"/>
      <c r="L694" s="464"/>
      <c r="M694" s="164"/>
      <c r="N694" s="494"/>
      <c r="O694" s="493"/>
      <c r="P694" s="495"/>
      <c r="Q694" s="487"/>
      <c r="R694" s="164"/>
      <c r="S694" s="467"/>
      <c r="T694" s="468"/>
      <c r="U694" s="469"/>
      <c r="V694" s="429"/>
      <c r="W694" s="429"/>
      <c r="X694" s="429"/>
      <c r="Y694" s="429"/>
      <c r="Z694" s="429"/>
    </row>
    <row r="695" spans="1:26" ht="18" customHeight="1">
      <c r="A695" s="464"/>
      <c r="B695" s="488"/>
      <c r="C695" s="489"/>
      <c r="D695" s="464"/>
      <c r="E695" s="464"/>
      <c r="F695" s="490"/>
      <c r="G695" s="491"/>
      <c r="H695" s="492"/>
      <c r="I695" s="164"/>
      <c r="J695" s="493"/>
      <c r="K695" s="481"/>
      <c r="L695" s="464"/>
      <c r="M695" s="164"/>
      <c r="N695" s="494"/>
      <c r="O695" s="493"/>
      <c r="P695" s="495"/>
      <c r="Q695" s="487"/>
      <c r="R695" s="164"/>
      <c r="S695" s="467"/>
      <c r="T695" s="468"/>
      <c r="U695" s="469"/>
      <c r="V695" s="429"/>
      <c r="W695" s="429"/>
      <c r="X695" s="429"/>
      <c r="Y695" s="429"/>
      <c r="Z695" s="429"/>
    </row>
    <row r="696" spans="1:26" ht="18" customHeight="1">
      <c r="A696" s="464"/>
      <c r="B696" s="488"/>
      <c r="C696" s="489"/>
      <c r="D696" s="464"/>
      <c r="E696" s="464"/>
      <c r="F696" s="490"/>
      <c r="G696" s="491"/>
      <c r="H696" s="492"/>
      <c r="I696" s="164"/>
      <c r="J696" s="493"/>
      <c r="K696" s="481"/>
      <c r="L696" s="464"/>
      <c r="M696" s="164"/>
      <c r="N696" s="494"/>
      <c r="O696" s="493"/>
      <c r="P696" s="495"/>
      <c r="Q696" s="487"/>
      <c r="R696" s="164"/>
      <c r="S696" s="467"/>
      <c r="T696" s="468"/>
      <c r="U696" s="469"/>
      <c r="V696" s="429"/>
      <c r="W696" s="429"/>
      <c r="X696" s="429"/>
      <c r="Y696" s="429"/>
      <c r="Z696" s="429"/>
    </row>
    <row r="697" spans="1:26" ht="18" customHeight="1">
      <c r="A697" s="464"/>
      <c r="B697" s="488"/>
      <c r="C697" s="489"/>
      <c r="D697" s="464"/>
      <c r="E697" s="464"/>
      <c r="F697" s="490"/>
      <c r="G697" s="491"/>
      <c r="H697" s="492"/>
      <c r="I697" s="164"/>
      <c r="J697" s="493"/>
      <c r="K697" s="481"/>
      <c r="L697" s="464"/>
      <c r="M697" s="164"/>
      <c r="N697" s="494"/>
      <c r="O697" s="493"/>
      <c r="P697" s="495"/>
      <c r="Q697" s="487"/>
      <c r="R697" s="164"/>
      <c r="S697" s="467"/>
      <c r="T697" s="468"/>
      <c r="U697" s="469"/>
      <c r="V697" s="429"/>
      <c r="W697" s="429"/>
      <c r="X697" s="429"/>
      <c r="Y697" s="429"/>
      <c r="Z697" s="429"/>
    </row>
    <row r="698" spans="1:26" ht="18" customHeight="1">
      <c r="A698" s="464"/>
      <c r="B698" s="488"/>
      <c r="C698" s="489"/>
      <c r="D698" s="464"/>
      <c r="E698" s="464"/>
      <c r="F698" s="490"/>
      <c r="G698" s="491"/>
      <c r="H698" s="492"/>
      <c r="I698" s="164"/>
      <c r="J698" s="493"/>
      <c r="K698" s="481"/>
      <c r="L698" s="464"/>
      <c r="M698" s="164"/>
      <c r="N698" s="494"/>
      <c r="O698" s="493"/>
      <c r="P698" s="495"/>
      <c r="Q698" s="487"/>
      <c r="R698" s="164"/>
      <c r="S698" s="467"/>
      <c r="T698" s="468"/>
      <c r="U698" s="469"/>
      <c r="V698" s="429"/>
      <c r="W698" s="429"/>
      <c r="X698" s="429"/>
      <c r="Y698" s="429"/>
      <c r="Z698" s="429"/>
    </row>
    <row r="699" spans="1:26" ht="18" customHeight="1">
      <c r="A699" s="464"/>
      <c r="B699" s="488"/>
      <c r="C699" s="489"/>
      <c r="D699" s="464"/>
      <c r="E699" s="464"/>
      <c r="F699" s="490"/>
      <c r="G699" s="491"/>
      <c r="H699" s="492"/>
      <c r="I699" s="164"/>
      <c r="J699" s="493"/>
      <c r="K699" s="481"/>
      <c r="L699" s="464"/>
      <c r="M699" s="164"/>
      <c r="N699" s="494"/>
      <c r="O699" s="493"/>
      <c r="P699" s="495"/>
      <c r="Q699" s="487"/>
      <c r="R699" s="164"/>
      <c r="S699" s="467"/>
      <c r="T699" s="468"/>
      <c r="U699" s="469"/>
      <c r="V699" s="429"/>
      <c r="W699" s="429"/>
      <c r="X699" s="429"/>
      <c r="Y699" s="429"/>
      <c r="Z699" s="429"/>
    </row>
    <row r="700" spans="1:26" ht="18" customHeight="1">
      <c r="A700" s="464"/>
      <c r="B700" s="488"/>
      <c r="C700" s="489"/>
      <c r="D700" s="464"/>
      <c r="E700" s="464"/>
      <c r="F700" s="490"/>
      <c r="G700" s="491"/>
      <c r="H700" s="492"/>
      <c r="I700" s="164"/>
      <c r="J700" s="493"/>
      <c r="K700" s="481"/>
      <c r="L700" s="464"/>
      <c r="M700" s="164"/>
      <c r="N700" s="494"/>
      <c r="O700" s="493"/>
      <c r="P700" s="495"/>
      <c r="Q700" s="487"/>
      <c r="R700" s="164"/>
      <c r="S700" s="467"/>
      <c r="T700" s="468"/>
      <c r="U700" s="469"/>
      <c r="V700" s="429"/>
      <c r="W700" s="429"/>
      <c r="X700" s="429"/>
      <c r="Y700" s="429"/>
      <c r="Z700" s="429"/>
    </row>
    <row r="701" spans="1:26" ht="18" customHeight="1">
      <c r="A701" s="464"/>
      <c r="B701" s="488"/>
      <c r="C701" s="489"/>
      <c r="D701" s="464"/>
      <c r="E701" s="464"/>
      <c r="F701" s="490"/>
      <c r="G701" s="491"/>
      <c r="H701" s="492"/>
      <c r="I701" s="164"/>
      <c r="J701" s="493"/>
      <c r="K701" s="481"/>
      <c r="L701" s="464"/>
      <c r="M701" s="164"/>
      <c r="N701" s="494"/>
      <c r="O701" s="493"/>
      <c r="P701" s="495"/>
      <c r="Q701" s="487"/>
      <c r="R701" s="164"/>
      <c r="S701" s="467"/>
      <c r="T701" s="468"/>
      <c r="U701" s="469"/>
      <c r="V701" s="429"/>
      <c r="W701" s="429"/>
      <c r="X701" s="429"/>
      <c r="Y701" s="429"/>
      <c r="Z701" s="429"/>
    </row>
    <row r="702" spans="1:26" ht="18" customHeight="1">
      <c r="A702" s="464"/>
      <c r="B702" s="488"/>
      <c r="C702" s="489"/>
      <c r="D702" s="464"/>
      <c r="E702" s="464"/>
      <c r="F702" s="490"/>
      <c r="G702" s="491"/>
      <c r="H702" s="492"/>
      <c r="I702" s="164"/>
      <c r="J702" s="493"/>
      <c r="K702" s="481"/>
      <c r="L702" s="464"/>
      <c r="M702" s="164"/>
      <c r="N702" s="494"/>
      <c r="O702" s="493"/>
      <c r="P702" s="495"/>
      <c r="Q702" s="487"/>
      <c r="R702" s="164"/>
      <c r="S702" s="467"/>
      <c r="T702" s="468"/>
      <c r="U702" s="469"/>
      <c r="V702" s="429"/>
      <c r="W702" s="429"/>
      <c r="X702" s="429"/>
      <c r="Y702" s="429"/>
      <c r="Z702" s="429"/>
    </row>
    <row r="703" spans="1:26" ht="18" customHeight="1">
      <c r="A703" s="464"/>
      <c r="B703" s="488"/>
      <c r="C703" s="489"/>
      <c r="D703" s="464"/>
      <c r="E703" s="464"/>
      <c r="F703" s="490"/>
      <c r="G703" s="491"/>
      <c r="H703" s="492"/>
      <c r="I703" s="164"/>
      <c r="J703" s="493"/>
      <c r="K703" s="481"/>
      <c r="L703" s="464"/>
      <c r="M703" s="164"/>
      <c r="N703" s="494"/>
      <c r="O703" s="493"/>
      <c r="P703" s="495"/>
      <c r="Q703" s="487"/>
      <c r="R703" s="164"/>
      <c r="S703" s="467"/>
      <c r="T703" s="468"/>
      <c r="U703" s="469"/>
      <c r="V703" s="429"/>
      <c r="W703" s="429"/>
      <c r="X703" s="429"/>
      <c r="Y703" s="429"/>
      <c r="Z703" s="429"/>
    </row>
    <row r="704" spans="1:26" ht="18" customHeight="1">
      <c r="A704" s="464"/>
      <c r="B704" s="488"/>
      <c r="C704" s="489"/>
      <c r="D704" s="464"/>
      <c r="E704" s="464"/>
      <c r="F704" s="490"/>
      <c r="G704" s="491"/>
      <c r="H704" s="492"/>
      <c r="I704" s="164"/>
      <c r="J704" s="493"/>
      <c r="K704" s="481"/>
      <c r="L704" s="464"/>
      <c r="M704" s="164"/>
      <c r="N704" s="494"/>
      <c r="O704" s="493"/>
      <c r="P704" s="495"/>
      <c r="Q704" s="487"/>
      <c r="R704" s="164"/>
      <c r="S704" s="467"/>
      <c r="T704" s="468"/>
      <c r="U704" s="469"/>
      <c r="V704" s="429"/>
      <c r="W704" s="429"/>
      <c r="X704" s="429"/>
      <c r="Y704" s="429"/>
      <c r="Z704" s="429"/>
    </row>
    <row r="705" spans="1:26" ht="18" customHeight="1">
      <c r="A705" s="464"/>
      <c r="B705" s="488"/>
      <c r="C705" s="489"/>
      <c r="D705" s="464"/>
      <c r="E705" s="464"/>
      <c r="F705" s="490"/>
      <c r="G705" s="491"/>
      <c r="H705" s="492"/>
      <c r="I705" s="164"/>
      <c r="J705" s="493"/>
      <c r="K705" s="481"/>
      <c r="L705" s="464"/>
      <c r="M705" s="164"/>
      <c r="N705" s="494"/>
      <c r="O705" s="493"/>
      <c r="P705" s="495"/>
      <c r="Q705" s="487"/>
      <c r="R705" s="164"/>
      <c r="S705" s="467"/>
      <c r="T705" s="468"/>
      <c r="U705" s="469"/>
      <c r="V705" s="429"/>
      <c r="W705" s="429"/>
      <c r="X705" s="429"/>
      <c r="Y705" s="429"/>
      <c r="Z705" s="429"/>
    </row>
    <row r="706" spans="1:26" ht="18" customHeight="1">
      <c r="A706" s="464"/>
      <c r="B706" s="488"/>
      <c r="C706" s="489"/>
      <c r="D706" s="464"/>
      <c r="E706" s="464"/>
      <c r="F706" s="490"/>
      <c r="G706" s="491"/>
      <c r="H706" s="492"/>
      <c r="I706" s="164"/>
      <c r="J706" s="493"/>
      <c r="K706" s="481"/>
      <c r="L706" s="464"/>
      <c r="M706" s="164"/>
      <c r="N706" s="494"/>
      <c r="O706" s="493"/>
      <c r="P706" s="495"/>
      <c r="Q706" s="487"/>
      <c r="R706" s="164"/>
      <c r="S706" s="467"/>
      <c r="T706" s="468"/>
      <c r="U706" s="469"/>
      <c r="V706" s="429"/>
      <c r="W706" s="429"/>
      <c r="X706" s="429"/>
      <c r="Y706" s="429"/>
      <c r="Z706" s="429"/>
    </row>
    <row r="707" spans="1:26" ht="18" customHeight="1">
      <c r="A707" s="464"/>
      <c r="B707" s="488"/>
      <c r="C707" s="489"/>
      <c r="D707" s="464"/>
      <c r="E707" s="464"/>
      <c r="F707" s="490"/>
      <c r="G707" s="491"/>
      <c r="H707" s="492"/>
      <c r="I707" s="164"/>
      <c r="J707" s="493"/>
      <c r="K707" s="481"/>
      <c r="L707" s="464"/>
      <c r="M707" s="164"/>
      <c r="N707" s="494"/>
      <c r="O707" s="493"/>
      <c r="P707" s="495"/>
      <c r="Q707" s="487"/>
      <c r="R707" s="164"/>
      <c r="S707" s="467"/>
      <c r="T707" s="468"/>
      <c r="U707" s="469"/>
      <c r="V707" s="429"/>
      <c r="W707" s="429"/>
      <c r="X707" s="429"/>
      <c r="Y707" s="429"/>
      <c r="Z707" s="429"/>
    </row>
    <row r="708" spans="1:26" ht="18" customHeight="1">
      <c r="A708" s="464"/>
      <c r="B708" s="488"/>
      <c r="C708" s="489"/>
      <c r="D708" s="464"/>
      <c r="E708" s="464"/>
      <c r="F708" s="490"/>
      <c r="G708" s="491"/>
      <c r="H708" s="492"/>
      <c r="I708" s="164"/>
      <c r="J708" s="493"/>
      <c r="K708" s="481"/>
      <c r="L708" s="464"/>
      <c r="M708" s="164"/>
      <c r="N708" s="494"/>
      <c r="O708" s="493"/>
      <c r="P708" s="495"/>
      <c r="Q708" s="487"/>
      <c r="R708" s="164"/>
      <c r="S708" s="467"/>
      <c r="T708" s="468"/>
      <c r="U708" s="469"/>
      <c r="V708" s="429"/>
      <c r="W708" s="429"/>
      <c r="X708" s="429"/>
      <c r="Y708" s="429"/>
      <c r="Z708" s="429"/>
    </row>
    <row r="709" spans="1:26" ht="18" customHeight="1">
      <c r="A709" s="464"/>
      <c r="B709" s="488"/>
      <c r="C709" s="489"/>
      <c r="D709" s="464"/>
      <c r="E709" s="464"/>
      <c r="F709" s="490"/>
      <c r="G709" s="491"/>
      <c r="H709" s="492"/>
      <c r="I709" s="164"/>
      <c r="J709" s="493"/>
      <c r="K709" s="481"/>
      <c r="L709" s="464"/>
      <c r="M709" s="164"/>
      <c r="N709" s="494"/>
      <c r="O709" s="493"/>
      <c r="P709" s="495"/>
      <c r="Q709" s="487"/>
      <c r="R709" s="164"/>
      <c r="S709" s="467"/>
      <c r="T709" s="468"/>
      <c r="U709" s="469"/>
      <c r="V709" s="429"/>
      <c r="W709" s="429"/>
      <c r="X709" s="429"/>
      <c r="Y709" s="429"/>
      <c r="Z709" s="429"/>
    </row>
    <row r="710" spans="1:26" ht="18" customHeight="1">
      <c r="A710" s="464"/>
      <c r="B710" s="488"/>
      <c r="C710" s="489"/>
      <c r="D710" s="464"/>
      <c r="E710" s="464"/>
      <c r="F710" s="490"/>
      <c r="G710" s="491"/>
      <c r="H710" s="492"/>
      <c r="I710" s="164"/>
      <c r="J710" s="493"/>
      <c r="K710" s="481"/>
      <c r="L710" s="464"/>
      <c r="M710" s="164"/>
      <c r="N710" s="494"/>
      <c r="O710" s="493"/>
      <c r="P710" s="495"/>
      <c r="Q710" s="487"/>
      <c r="R710" s="164"/>
      <c r="S710" s="467"/>
      <c r="T710" s="468"/>
      <c r="U710" s="469"/>
      <c r="V710" s="429"/>
      <c r="W710" s="429"/>
      <c r="X710" s="429"/>
      <c r="Y710" s="429"/>
      <c r="Z710" s="429"/>
    </row>
    <row r="711" spans="1:26" ht="18" customHeight="1">
      <c r="A711" s="464"/>
      <c r="B711" s="488"/>
      <c r="C711" s="489"/>
      <c r="D711" s="464"/>
      <c r="E711" s="464"/>
      <c r="F711" s="490"/>
      <c r="G711" s="491"/>
      <c r="H711" s="492"/>
      <c r="I711" s="164"/>
      <c r="J711" s="493"/>
      <c r="K711" s="481"/>
      <c r="L711" s="464"/>
      <c r="M711" s="164"/>
      <c r="N711" s="494"/>
      <c r="O711" s="493"/>
      <c r="P711" s="495"/>
      <c r="Q711" s="487"/>
      <c r="R711" s="164"/>
      <c r="S711" s="467"/>
      <c r="T711" s="468"/>
      <c r="U711" s="469"/>
      <c r="V711" s="429"/>
      <c r="W711" s="429"/>
      <c r="X711" s="429"/>
      <c r="Y711" s="429"/>
      <c r="Z711" s="429"/>
    </row>
    <row r="712" spans="1:26" ht="18" customHeight="1">
      <c r="A712" s="464"/>
      <c r="B712" s="488"/>
      <c r="C712" s="489"/>
      <c r="D712" s="464"/>
      <c r="E712" s="464"/>
      <c r="F712" s="490"/>
      <c r="G712" s="491"/>
      <c r="H712" s="492"/>
      <c r="I712" s="164"/>
      <c r="J712" s="493"/>
      <c r="K712" s="481"/>
      <c r="L712" s="464"/>
      <c r="M712" s="164"/>
      <c r="N712" s="494"/>
      <c r="O712" s="493"/>
      <c r="P712" s="495"/>
      <c r="Q712" s="487"/>
      <c r="R712" s="164"/>
      <c r="S712" s="467"/>
      <c r="T712" s="468"/>
      <c r="U712" s="469"/>
      <c r="V712" s="429"/>
      <c r="W712" s="429"/>
      <c r="X712" s="429"/>
      <c r="Y712" s="429"/>
      <c r="Z712" s="429"/>
    </row>
    <row r="713" spans="1:26" ht="18" customHeight="1">
      <c r="A713" s="464"/>
      <c r="B713" s="488"/>
      <c r="C713" s="489"/>
      <c r="D713" s="464"/>
      <c r="E713" s="464"/>
      <c r="F713" s="490"/>
      <c r="G713" s="491"/>
      <c r="H713" s="492"/>
      <c r="I713" s="164"/>
      <c r="J713" s="493"/>
      <c r="K713" s="481"/>
      <c r="L713" s="464"/>
      <c r="M713" s="164"/>
      <c r="N713" s="494"/>
      <c r="O713" s="493"/>
      <c r="P713" s="495"/>
      <c r="Q713" s="487"/>
      <c r="R713" s="164"/>
      <c r="S713" s="467"/>
      <c r="T713" s="468"/>
      <c r="U713" s="469"/>
      <c r="V713" s="429"/>
      <c r="W713" s="429"/>
      <c r="X713" s="429"/>
      <c r="Y713" s="429"/>
      <c r="Z713" s="429"/>
    </row>
    <row r="714" spans="1:26" ht="18" customHeight="1">
      <c r="A714" s="464"/>
      <c r="B714" s="488"/>
      <c r="C714" s="489"/>
      <c r="D714" s="464"/>
      <c r="E714" s="464"/>
      <c r="F714" s="490"/>
      <c r="G714" s="491"/>
      <c r="H714" s="492"/>
      <c r="I714" s="164"/>
      <c r="J714" s="493"/>
      <c r="K714" s="481"/>
      <c r="L714" s="464"/>
      <c r="M714" s="164"/>
      <c r="N714" s="494"/>
      <c r="O714" s="493"/>
      <c r="P714" s="495"/>
      <c r="Q714" s="487"/>
      <c r="R714" s="164"/>
      <c r="S714" s="467"/>
      <c r="T714" s="468"/>
      <c r="U714" s="469"/>
      <c r="V714" s="429"/>
      <c r="W714" s="429"/>
      <c r="X714" s="429"/>
      <c r="Y714" s="429"/>
      <c r="Z714" s="429"/>
    </row>
    <row r="715" spans="1:26" ht="18" customHeight="1">
      <c r="A715" s="464"/>
      <c r="B715" s="488"/>
      <c r="C715" s="489"/>
      <c r="D715" s="464"/>
      <c r="E715" s="464"/>
      <c r="F715" s="490"/>
      <c r="G715" s="491"/>
      <c r="H715" s="492"/>
      <c r="I715" s="164"/>
      <c r="J715" s="493"/>
      <c r="K715" s="481"/>
      <c r="L715" s="464"/>
      <c r="M715" s="164"/>
      <c r="N715" s="494"/>
      <c r="O715" s="493"/>
      <c r="P715" s="495"/>
      <c r="Q715" s="487"/>
      <c r="R715" s="164"/>
      <c r="S715" s="467"/>
      <c r="T715" s="468"/>
      <c r="U715" s="469"/>
      <c r="V715" s="429"/>
      <c r="W715" s="429"/>
      <c r="X715" s="429"/>
      <c r="Y715" s="429"/>
      <c r="Z715" s="429"/>
    </row>
    <row r="716" spans="1:26" ht="18" customHeight="1">
      <c r="A716" s="464"/>
      <c r="B716" s="488"/>
      <c r="C716" s="489"/>
      <c r="D716" s="464"/>
      <c r="E716" s="464"/>
      <c r="F716" s="490"/>
      <c r="G716" s="491"/>
      <c r="H716" s="492"/>
      <c r="I716" s="164"/>
      <c r="J716" s="493"/>
      <c r="K716" s="481"/>
      <c r="L716" s="464"/>
      <c r="M716" s="164"/>
      <c r="N716" s="494"/>
      <c r="O716" s="493"/>
      <c r="P716" s="495"/>
      <c r="Q716" s="487"/>
      <c r="R716" s="164"/>
      <c r="S716" s="467"/>
      <c r="T716" s="468"/>
      <c r="U716" s="469"/>
      <c r="V716" s="429"/>
      <c r="W716" s="429"/>
      <c r="X716" s="429"/>
      <c r="Y716" s="429"/>
      <c r="Z716" s="429"/>
    </row>
    <row r="717" spans="1:26" ht="18" customHeight="1">
      <c r="A717" s="464"/>
      <c r="B717" s="488"/>
      <c r="C717" s="489"/>
      <c r="D717" s="464"/>
      <c r="E717" s="464"/>
      <c r="F717" s="490"/>
      <c r="G717" s="491"/>
      <c r="H717" s="492"/>
      <c r="I717" s="164"/>
      <c r="J717" s="493"/>
      <c r="K717" s="481"/>
      <c r="L717" s="464"/>
      <c r="M717" s="164"/>
      <c r="N717" s="494"/>
      <c r="O717" s="493"/>
      <c r="P717" s="495"/>
      <c r="Q717" s="487"/>
      <c r="R717" s="164"/>
      <c r="S717" s="467"/>
      <c r="T717" s="468"/>
      <c r="U717" s="469"/>
      <c r="V717" s="429"/>
      <c r="W717" s="429"/>
      <c r="X717" s="429"/>
      <c r="Y717" s="429"/>
      <c r="Z717" s="429"/>
    </row>
    <row r="718" spans="1:26" ht="18" customHeight="1">
      <c r="A718" s="464"/>
      <c r="B718" s="488"/>
      <c r="C718" s="489"/>
      <c r="D718" s="464"/>
      <c r="E718" s="464"/>
      <c r="F718" s="490"/>
      <c r="G718" s="491"/>
      <c r="H718" s="492"/>
      <c r="I718" s="164"/>
      <c r="J718" s="493"/>
      <c r="K718" s="481"/>
      <c r="L718" s="464"/>
      <c r="M718" s="164"/>
      <c r="N718" s="494"/>
      <c r="O718" s="493"/>
      <c r="P718" s="495"/>
      <c r="Q718" s="487"/>
      <c r="R718" s="164"/>
      <c r="S718" s="467"/>
      <c r="T718" s="468"/>
      <c r="U718" s="469"/>
      <c r="V718" s="429"/>
      <c r="W718" s="429"/>
      <c r="X718" s="429"/>
      <c r="Y718" s="429"/>
      <c r="Z718" s="429"/>
    </row>
    <row r="719" spans="1:26" ht="18" customHeight="1">
      <c r="A719" s="464"/>
      <c r="B719" s="488"/>
      <c r="C719" s="489"/>
      <c r="D719" s="464"/>
      <c r="E719" s="464"/>
      <c r="F719" s="490"/>
      <c r="G719" s="491"/>
      <c r="H719" s="492"/>
      <c r="I719" s="164"/>
      <c r="J719" s="493"/>
      <c r="K719" s="481"/>
      <c r="L719" s="464"/>
      <c r="M719" s="164"/>
      <c r="N719" s="494"/>
      <c r="O719" s="493"/>
      <c r="P719" s="495"/>
      <c r="Q719" s="487"/>
      <c r="R719" s="164"/>
      <c r="S719" s="467"/>
      <c r="T719" s="468"/>
      <c r="U719" s="469"/>
      <c r="V719" s="429"/>
      <c r="W719" s="429"/>
      <c r="X719" s="429"/>
      <c r="Y719" s="429"/>
      <c r="Z719" s="429"/>
    </row>
    <row r="720" spans="1:26" ht="18" customHeight="1">
      <c r="A720" s="464"/>
      <c r="B720" s="488"/>
      <c r="C720" s="489"/>
      <c r="D720" s="464"/>
      <c r="E720" s="464"/>
      <c r="F720" s="490"/>
      <c r="G720" s="491"/>
      <c r="H720" s="492"/>
      <c r="I720" s="164"/>
      <c r="J720" s="493"/>
      <c r="K720" s="481"/>
      <c r="L720" s="464"/>
      <c r="M720" s="164"/>
      <c r="N720" s="494"/>
      <c r="O720" s="493"/>
      <c r="P720" s="495"/>
      <c r="Q720" s="487"/>
      <c r="R720" s="164"/>
      <c r="S720" s="467"/>
      <c r="T720" s="468"/>
      <c r="U720" s="469"/>
      <c r="V720" s="429"/>
      <c r="W720" s="429"/>
      <c r="X720" s="429"/>
      <c r="Y720" s="429"/>
      <c r="Z720" s="429"/>
    </row>
    <row r="721" spans="1:26" ht="18" customHeight="1">
      <c r="A721" s="464"/>
      <c r="B721" s="488"/>
      <c r="C721" s="489"/>
      <c r="D721" s="464"/>
      <c r="E721" s="464"/>
      <c r="F721" s="490"/>
      <c r="G721" s="491"/>
      <c r="H721" s="492"/>
      <c r="I721" s="164"/>
      <c r="J721" s="493"/>
      <c r="K721" s="481"/>
      <c r="L721" s="464"/>
      <c r="M721" s="164"/>
      <c r="N721" s="494"/>
      <c r="O721" s="493"/>
      <c r="P721" s="495"/>
      <c r="Q721" s="487"/>
      <c r="R721" s="164"/>
      <c r="S721" s="467"/>
      <c r="T721" s="468"/>
      <c r="U721" s="469"/>
      <c r="V721" s="429"/>
      <c r="W721" s="429"/>
      <c r="X721" s="429"/>
      <c r="Y721" s="429"/>
      <c r="Z721" s="429"/>
    </row>
    <row r="722" spans="1:26" ht="18" customHeight="1">
      <c r="A722" s="464"/>
      <c r="B722" s="488"/>
      <c r="C722" s="489"/>
      <c r="D722" s="464"/>
      <c r="E722" s="464"/>
      <c r="F722" s="490"/>
      <c r="G722" s="491"/>
      <c r="H722" s="492"/>
      <c r="I722" s="164"/>
      <c r="J722" s="493"/>
      <c r="K722" s="481"/>
      <c r="L722" s="464"/>
      <c r="M722" s="164"/>
      <c r="N722" s="494"/>
      <c r="O722" s="493"/>
      <c r="P722" s="495"/>
      <c r="Q722" s="487"/>
      <c r="R722" s="164"/>
      <c r="S722" s="467"/>
      <c r="T722" s="468"/>
      <c r="U722" s="469"/>
      <c r="V722" s="429"/>
      <c r="W722" s="429"/>
      <c r="X722" s="429"/>
      <c r="Y722" s="429"/>
      <c r="Z722" s="429"/>
    </row>
    <row r="723" spans="1:26" ht="18" customHeight="1">
      <c r="A723" s="464"/>
      <c r="B723" s="488"/>
      <c r="C723" s="489"/>
      <c r="D723" s="464"/>
      <c r="E723" s="464"/>
      <c r="F723" s="490"/>
      <c r="G723" s="491"/>
      <c r="H723" s="492"/>
      <c r="I723" s="164"/>
      <c r="J723" s="493"/>
      <c r="K723" s="481"/>
      <c r="L723" s="464"/>
      <c r="M723" s="164"/>
      <c r="N723" s="494"/>
      <c r="O723" s="493"/>
      <c r="P723" s="495"/>
      <c r="Q723" s="487"/>
      <c r="R723" s="164"/>
      <c r="S723" s="467"/>
      <c r="T723" s="468"/>
      <c r="U723" s="469"/>
      <c r="V723" s="429"/>
      <c r="W723" s="429"/>
      <c r="X723" s="429"/>
      <c r="Y723" s="429"/>
      <c r="Z723" s="429"/>
    </row>
    <row r="724" spans="1:26" ht="18" customHeight="1">
      <c r="A724" s="464"/>
      <c r="B724" s="488"/>
      <c r="C724" s="489"/>
      <c r="D724" s="464"/>
      <c r="E724" s="464"/>
      <c r="F724" s="490"/>
      <c r="G724" s="491"/>
      <c r="H724" s="492"/>
      <c r="I724" s="164"/>
      <c r="J724" s="493"/>
      <c r="K724" s="481"/>
      <c r="L724" s="464"/>
      <c r="M724" s="164"/>
      <c r="N724" s="494"/>
      <c r="O724" s="493"/>
      <c r="P724" s="495"/>
      <c r="Q724" s="487"/>
      <c r="R724" s="164"/>
      <c r="S724" s="467"/>
      <c r="T724" s="468"/>
      <c r="U724" s="469"/>
      <c r="V724" s="429"/>
      <c r="W724" s="429"/>
      <c r="X724" s="429"/>
      <c r="Y724" s="429"/>
      <c r="Z724" s="429"/>
    </row>
    <row r="725" spans="1:26" ht="18" customHeight="1">
      <c r="A725" s="464"/>
      <c r="B725" s="488"/>
      <c r="C725" s="489"/>
      <c r="D725" s="464"/>
      <c r="E725" s="464"/>
      <c r="F725" s="490"/>
      <c r="G725" s="491"/>
      <c r="H725" s="492"/>
      <c r="I725" s="164"/>
      <c r="J725" s="493"/>
      <c r="K725" s="481"/>
      <c r="L725" s="464"/>
      <c r="M725" s="164"/>
      <c r="N725" s="494"/>
      <c r="O725" s="493"/>
      <c r="P725" s="495"/>
      <c r="Q725" s="487"/>
      <c r="R725" s="164"/>
      <c r="S725" s="467"/>
      <c r="T725" s="468"/>
      <c r="U725" s="469"/>
      <c r="V725" s="429"/>
      <c r="W725" s="429"/>
      <c r="X725" s="429"/>
      <c r="Y725" s="429"/>
      <c r="Z725" s="429"/>
    </row>
    <row r="726" spans="1:26" ht="18" customHeight="1">
      <c r="A726" s="464"/>
      <c r="B726" s="488"/>
      <c r="C726" s="489"/>
      <c r="D726" s="464"/>
      <c r="E726" s="464"/>
      <c r="F726" s="490"/>
      <c r="G726" s="491"/>
      <c r="H726" s="492"/>
      <c r="I726" s="164"/>
      <c r="J726" s="493"/>
      <c r="K726" s="481"/>
      <c r="L726" s="464"/>
      <c r="M726" s="164"/>
      <c r="N726" s="494"/>
      <c r="O726" s="493"/>
      <c r="P726" s="495"/>
      <c r="Q726" s="487"/>
      <c r="R726" s="164"/>
      <c r="S726" s="467"/>
      <c r="T726" s="468"/>
      <c r="U726" s="469"/>
      <c r="V726" s="429"/>
      <c r="W726" s="429"/>
      <c r="X726" s="429"/>
      <c r="Y726" s="429"/>
      <c r="Z726" s="429"/>
    </row>
    <row r="727" spans="1:26" ht="18" customHeight="1">
      <c r="A727" s="464"/>
      <c r="B727" s="488"/>
      <c r="C727" s="489"/>
      <c r="D727" s="464"/>
      <c r="E727" s="464"/>
      <c r="F727" s="490"/>
      <c r="G727" s="491"/>
      <c r="H727" s="492"/>
      <c r="I727" s="164"/>
      <c r="J727" s="493"/>
      <c r="K727" s="481"/>
      <c r="L727" s="464"/>
      <c r="M727" s="164"/>
      <c r="N727" s="494"/>
      <c r="O727" s="493"/>
      <c r="P727" s="495"/>
      <c r="Q727" s="487"/>
      <c r="R727" s="164"/>
      <c r="S727" s="467"/>
      <c r="T727" s="468"/>
      <c r="U727" s="469"/>
      <c r="V727" s="429"/>
      <c r="W727" s="429"/>
      <c r="X727" s="429"/>
      <c r="Y727" s="429"/>
      <c r="Z727" s="429"/>
    </row>
    <row r="728" spans="1:26" ht="18" customHeight="1">
      <c r="A728" s="464"/>
      <c r="B728" s="488"/>
      <c r="C728" s="489"/>
      <c r="D728" s="464"/>
      <c r="E728" s="464"/>
      <c r="F728" s="490"/>
      <c r="G728" s="491"/>
      <c r="H728" s="492"/>
      <c r="I728" s="164"/>
      <c r="J728" s="493"/>
      <c r="K728" s="481"/>
      <c r="L728" s="464"/>
      <c r="M728" s="164"/>
      <c r="N728" s="494"/>
      <c r="O728" s="493"/>
      <c r="P728" s="495"/>
      <c r="Q728" s="487"/>
      <c r="R728" s="164"/>
      <c r="S728" s="467"/>
      <c r="T728" s="468"/>
      <c r="U728" s="469"/>
      <c r="V728" s="429"/>
      <c r="W728" s="429"/>
      <c r="X728" s="429"/>
      <c r="Y728" s="429"/>
      <c r="Z728" s="429"/>
    </row>
    <row r="729" spans="1:26" ht="18" customHeight="1">
      <c r="A729" s="464"/>
      <c r="B729" s="488"/>
      <c r="C729" s="489"/>
      <c r="D729" s="464"/>
      <c r="E729" s="464"/>
      <c r="F729" s="490"/>
      <c r="G729" s="491"/>
      <c r="H729" s="492"/>
      <c r="I729" s="164"/>
      <c r="J729" s="493"/>
      <c r="K729" s="481"/>
      <c r="L729" s="464"/>
      <c r="M729" s="164"/>
      <c r="N729" s="494"/>
      <c r="O729" s="493"/>
      <c r="P729" s="495"/>
      <c r="Q729" s="487"/>
      <c r="R729" s="164"/>
      <c r="S729" s="467"/>
      <c r="T729" s="468"/>
      <c r="U729" s="469"/>
      <c r="V729" s="429"/>
      <c r="W729" s="429"/>
      <c r="X729" s="429"/>
      <c r="Y729" s="429"/>
      <c r="Z729" s="429"/>
    </row>
    <row r="730" spans="1:26" ht="18" customHeight="1">
      <c r="A730" s="464"/>
      <c r="B730" s="488"/>
      <c r="C730" s="489"/>
      <c r="D730" s="464"/>
      <c r="E730" s="464"/>
      <c r="F730" s="490"/>
      <c r="G730" s="491"/>
      <c r="H730" s="492"/>
      <c r="I730" s="164"/>
      <c r="J730" s="493"/>
      <c r="K730" s="481"/>
      <c r="L730" s="464"/>
      <c r="M730" s="164"/>
      <c r="N730" s="494"/>
      <c r="O730" s="493"/>
      <c r="P730" s="495"/>
      <c r="Q730" s="487"/>
      <c r="R730" s="164"/>
      <c r="S730" s="467"/>
      <c r="T730" s="468"/>
      <c r="U730" s="469"/>
      <c r="V730" s="429"/>
      <c r="W730" s="429"/>
      <c r="X730" s="429"/>
      <c r="Y730" s="429"/>
      <c r="Z730" s="429"/>
    </row>
    <row r="731" spans="1:26" ht="18" customHeight="1">
      <c r="A731" s="464"/>
      <c r="B731" s="488"/>
      <c r="C731" s="489"/>
      <c r="D731" s="464"/>
      <c r="E731" s="464"/>
      <c r="F731" s="490"/>
      <c r="G731" s="491"/>
      <c r="H731" s="492"/>
      <c r="I731" s="164"/>
      <c r="J731" s="493"/>
      <c r="K731" s="481"/>
      <c r="L731" s="464"/>
      <c r="M731" s="164"/>
      <c r="N731" s="494"/>
      <c r="O731" s="493"/>
      <c r="P731" s="495"/>
      <c r="Q731" s="487"/>
      <c r="R731" s="164"/>
      <c r="S731" s="467"/>
      <c r="T731" s="468"/>
      <c r="U731" s="469"/>
      <c r="V731" s="429"/>
      <c r="W731" s="429"/>
      <c r="X731" s="429"/>
      <c r="Y731" s="429"/>
      <c r="Z731" s="429"/>
    </row>
    <row r="732" spans="1:26" ht="18" customHeight="1">
      <c r="A732" s="464"/>
      <c r="B732" s="488"/>
      <c r="C732" s="489"/>
      <c r="D732" s="464"/>
      <c r="E732" s="464"/>
      <c r="F732" s="490"/>
      <c r="G732" s="491"/>
      <c r="H732" s="492"/>
      <c r="I732" s="164"/>
      <c r="J732" s="493"/>
      <c r="K732" s="481"/>
      <c r="L732" s="464"/>
      <c r="M732" s="164"/>
      <c r="N732" s="494"/>
      <c r="O732" s="493"/>
      <c r="P732" s="495"/>
      <c r="Q732" s="487"/>
      <c r="R732" s="164"/>
      <c r="S732" s="467"/>
      <c r="T732" s="468"/>
      <c r="U732" s="469"/>
      <c r="V732" s="429"/>
      <c r="W732" s="429"/>
      <c r="X732" s="429"/>
      <c r="Y732" s="429"/>
      <c r="Z732" s="429"/>
    </row>
    <row r="733" spans="1:26" ht="18" customHeight="1">
      <c r="A733" s="464"/>
      <c r="B733" s="488"/>
      <c r="C733" s="489"/>
      <c r="D733" s="464"/>
      <c r="E733" s="464"/>
      <c r="F733" s="490"/>
      <c r="G733" s="491"/>
      <c r="H733" s="492"/>
      <c r="I733" s="164"/>
      <c r="J733" s="493"/>
      <c r="K733" s="481"/>
      <c r="L733" s="464"/>
      <c r="M733" s="164"/>
      <c r="N733" s="494"/>
      <c r="O733" s="493"/>
      <c r="P733" s="495"/>
      <c r="Q733" s="487"/>
      <c r="R733" s="164"/>
      <c r="S733" s="467"/>
      <c r="T733" s="468"/>
      <c r="U733" s="469"/>
      <c r="V733" s="429"/>
      <c r="W733" s="429"/>
      <c r="X733" s="429"/>
      <c r="Y733" s="429"/>
      <c r="Z733" s="429"/>
    </row>
    <row r="734" spans="1:26" ht="18" customHeight="1">
      <c r="A734" s="464"/>
      <c r="B734" s="488"/>
      <c r="C734" s="489"/>
      <c r="D734" s="464"/>
      <c r="E734" s="464"/>
      <c r="F734" s="490"/>
      <c r="G734" s="491"/>
      <c r="H734" s="492"/>
      <c r="I734" s="164"/>
      <c r="J734" s="493"/>
      <c r="K734" s="481"/>
      <c r="L734" s="464"/>
      <c r="M734" s="164"/>
      <c r="N734" s="494"/>
      <c r="O734" s="493"/>
      <c r="P734" s="495"/>
      <c r="Q734" s="487"/>
      <c r="R734" s="164"/>
      <c r="S734" s="467"/>
      <c r="T734" s="468"/>
      <c r="U734" s="469"/>
      <c r="V734" s="429"/>
      <c r="W734" s="429"/>
      <c r="X734" s="429"/>
      <c r="Y734" s="429"/>
      <c r="Z734" s="429"/>
    </row>
    <row r="735" spans="1:26" ht="18" customHeight="1">
      <c r="A735" s="464"/>
      <c r="B735" s="488"/>
      <c r="C735" s="489"/>
      <c r="D735" s="464"/>
      <c r="E735" s="464"/>
      <c r="F735" s="490"/>
      <c r="G735" s="491"/>
      <c r="H735" s="492"/>
      <c r="I735" s="164"/>
      <c r="J735" s="493"/>
      <c r="K735" s="481"/>
      <c r="L735" s="464"/>
      <c r="M735" s="164"/>
      <c r="N735" s="494"/>
      <c r="O735" s="493"/>
      <c r="P735" s="495"/>
      <c r="Q735" s="487"/>
      <c r="R735" s="164"/>
      <c r="S735" s="467"/>
      <c r="T735" s="468"/>
      <c r="U735" s="469"/>
      <c r="V735" s="429"/>
      <c r="W735" s="429"/>
      <c r="X735" s="429"/>
      <c r="Y735" s="429"/>
      <c r="Z735" s="429"/>
    </row>
    <row r="736" spans="1:26" ht="18" customHeight="1">
      <c r="A736" s="464"/>
      <c r="B736" s="488"/>
      <c r="C736" s="489"/>
      <c r="D736" s="464"/>
      <c r="E736" s="464"/>
      <c r="F736" s="490"/>
      <c r="G736" s="491"/>
      <c r="H736" s="492"/>
      <c r="I736" s="164"/>
      <c r="J736" s="493"/>
      <c r="K736" s="481"/>
      <c r="L736" s="464"/>
      <c r="M736" s="164"/>
      <c r="N736" s="494"/>
      <c r="O736" s="493"/>
      <c r="P736" s="495"/>
      <c r="Q736" s="487"/>
      <c r="R736" s="164"/>
      <c r="S736" s="467"/>
      <c r="T736" s="468"/>
      <c r="U736" s="469"/>
      <c r="V736" s="429"/>
      <c r="W736" s="429"/>
      <c r="X736" s="429"/>
      <c r="Y736" s="429"/>
      <c r="Z736" s="429"/>
    </row>
    <row r="737" spans="1:26" ht="18" customHeight="1">
      <c r="A737" s="464"/>
      <c r="B737" s="488"/>
      <c r="C737" s="489"/>
      <c r="D737" s="464"/>
      <c r="E737" s="464"/>
      <c r="F737" s="490"/>
      <c r="G737" s="491"/>
      <c r="H737" s="492"/>
      <c r="I737" s="164"/>
      <c r="J737" s="493"/>
      <c r="K737" s="481"/>
      <c r="L737" s="464"/>
      <c r="M737" s="164"/>
      <c r="N737" s="494"/>
      <c r="O737" s="493"/>
      <c r="P737" s="495"/>
      <c r="Q737" s="487"/>
      <c r="R737" s="164"/>
      <c r="S737" s="467"/>
      <c r="T737" s="468"/>
      <c r="U737" s="469"/>
      <c r="V737" s="429"/>
      <c r="W737" s="429"/>
      <c r="X737" s="429"/>
      <c r="Y737" s="429"/>
      <c r="Z737" s="429"/>
    </row>
    <row r="738" spans="1:26" ht="18" customHeight="1">
      <c r="A738" s="464"/>
      <c r="B738" s="488"/>
      <c r="C738" s="489"/>
      <c r="D738" s="464"/>
      <c r="E738" s="464"/>
      <c r="F738" s="490"/>
      <c r="G738" s="491"/>
      <c r="H738" s="492"/>
      <c r="I738" s="164"/>
      <c r="J738" s="493"/>
      <c r="K738" s="481"/>
      <c r="L738" s="464"/>
      <c r="M738" s="164"/>
      <c r="N738" s="494"/>
      <c r="O738" s="493"/>
      <c r="P738" s="495"/>
      <c r="Q738" s="487"/>
      <c r="R738" s="164"/>
      <c r="S738" s="467"/>
      <c r="T738" s="468"/>
      <c r="U738" s="469"/>
      <c r="V738" s="429"/>
      <c r="W738" s="429"/>
      <c r="X738" s="429"/>
      <c r="Y738" s="429"/>
      <c r="Z738" s="429"/>
    </row>
    <row r="739" spans="1:26" ht="18" customHeight="1">
      <c r="A739" s="464"/>
      <c r="B739" s="488"/>
      <c r="C739" s="489"/>
      <c r="D739" s="464"/>
      <c r="E739" s="464"/>
      <c r="F739" s="490"/>
      <c r="G739" s="491"/>
      <c r="H739" s="492"/>
      <c r="I739" s="164"/>
      <c r="J739" s="493"/>
      <c r="K739" s="481"/>
      <c r="L739" s="464"/>
      <c r="M739" s="164"/>
      <c r="N739" s="494"/>
      <c r="O739" s="493"/>
      <c r="P739" s="495"/>
      <c r="Q739" s="487"/>
      <c r="R739" s="164"/>
      <c r="S739" s="467"/>
      <c r="T739" s="468"/>
      <c r="U739" s="469"/>
      <c r="V739" s="429"/>
      <c r="W739" s="429"/>
      <c r="X739" s="429"/>
      <c r="Y739" s="429"/>
      <c r="Z739" s="429"/>
    </row>
    <row r="740" spans="1:26" ht="18" customHeight="1">
      <c r="A740" s="464"/>
      <c r="B740" s="488"/>
      <c r="C740" s="489"/>
      <c r="D740" s="464"/>
      <c r="E740" s="464"/>
      <c r="F740" s="490"/>
      <c r="G740" s="491"/>
      <c r="H740" s="492"/>
      <c r="I740" s="164"/>
      <c r="J740" s="493"/>
      <c r="K740" s="481"/>
      <c r="L740" s="464"/>
      <c r="M740" s="164"/>
      <c r="N740" s="494"/>
      <c r="O740" s="493"/>
      <c r="P740" s="495"/>
      <c r="Q740" s="487"/>
      <c r="R740" s="164"/>
      <c r="S740" s="467"/>
      <c r="T740" s="468"/>
      <c r="U740" s="469"/>
      <c r="V740" s="429"/>
      <c r="W740" s="429"/>
      <c r="X740" s="429"/>
      <c r="Y740" s="429"/>
      <c r="Z740" s="429"/>
    </row>
    <row r="741" spans="1:26" ht="18" customHeight="1">
      <c r="A741" s="464"/>
      <c r="B741" s="488"/>
      <c r="C741" s="489"/>
      <c r="D741" s="464"/>
      <c r="E741" s="464"/>
      <c r="F741" s="490"/>
      <c r="G741" s="491"/>
      <c r="H741" s="492"/>
      <c r="I741" s="164"/>
      <c r="J741" s="493"/>
      <c r="K741" s="481"/>
      <c r="L741" s="464"/>
      <c r="M741" s="164"/>
      <c r="N741" s="494"/>
      <c r="O741" s="493"/>
      <c r="P741" s="495"/>
      <c r="Q741" s="487"/>
      <c r="R741" s="164"/>
      <c r="S741" s="467"/>
      <c r="T741" s="468"/>
      <c r="U741" s="469"/>
      <c r="V741" s="429"/>
      <c r="W741" s="429"/>
      <c r="X741" s="429"/>
      <c r="Y741" s="429"/>
      <c r="Z741" s="429"/>
    </row>
    <row r="742" spans="1:26" ht="18" customHeight="1">
      <c r="A742" s="464"/>
      <c r="B742" s="488"/>
      <c r="C742" s="489"/>
      <c r="D742" s="464"/>
      <c r="E742" s="464"/>
      <c r="F742" s="490"/>
      <c r="G742" s="491"/>
      <c r="H742" s="492"/>
      <c r="I742" s="164"/>
      <c r="J742" s="493"/>
      <c r="K742" s="481"/>
      <c r="L742" s="464"/>
      <c r="M742" s="164"/>
      <c r="N742" s="494"/>
      <c r="O742" s="493"/>
      <c r="P742" s="495"/>
      <c r="Q742" s="487"/>
      <c r="R742" s="164"/>
      <c r="S742" s="467"/>
      <c r="T742" s="468"/>
      <c r="U742" s="469"/>
      <c r="V742" s="429"/>
      <c r="W742" s="429"/>
      <c r="X742" s="429"/>
      <c r="Y742" s="429"/>
      <c r="Z742" s="429"/>
    </row>
    <row r="743" spans="1:26" ht="18" customHeight="1">
      <c r="A743" s="464"/>
      <c r="B743" s="488"/>
      <c r="C743" s="489"/>
      <c r="D743" s="464"/>
      <c r="E743" s="464"/>
      <c r="F743" s="490"/>
      <c r="G743" s="491"/>
      <c r="H743" s="492"/>
      <c r="I743" s="164"/>
      <c r="J743" s="493"/>
      <c r="K743" s="481"/>
      <c r="L743" s="464"/>
      <c r="M743" s="164"/>
      <c r="N743" s="494"/>
      <c r="O743" s="493"/>
      <c r="P743" s="495"/>
      <c r="Q743" s="487"/>
      <c r="R743" s="164"/>
      <c r="S743" s="467"/>
      <c r="T743" s="468"/>
      <c r="U743" s="469"/>
      <c r="V743" s="429"/>
      <c r="W743" s="429"/>
      <c r="X743" s="429"/>
      <c r="Y743" s="429"/>
      <c r="Z743" s="429"/>
    </row>
    <row r="744" spans="1:26" ht="18" customHeight="1">
      <c r="A744" s="464"/>
      <c r="B744" s="488"/>
      <c r="C744" s="489"/>
      <c r="D744" s="464"/>
      <c r="E744" s="464"/>
      <c r="F744" s="490"/>
      <c r="G744" s="491"/>
      <c r="H744" s="492"/>
      <c r="I744" s="164"/>
      <c r="J744" s="493"/>
      <c r="K744" s="481"/>
      <c r="L744" s="464"/>
      <c r="M744" s="164"/>
      <c r="N744" s="494"/>
      <c r="O744" s="493"/>
      <c r="P744" s="495"/>
      <c r="Q744" s="487"/>
      <c r="R744" s="164"/>
      <c r="S744" s="467"/>
      <c r="T744" s="468"/>
      <c r="U744" s="469"/>
      <c r="V744" s="429"/>
      <c r="W744" s="429"/>
      <c r="X744" s="429"/>
      <c r="Y744" s="429"/>
      <c r="Z744" s="429"/>
    </row>
    <row r="745" spans="1:26" ht="18" customHeight="1">
      <c r="A745" s="464"/>
      <c r="B745" s="488"/>
      <c r="C745" s="489"/>
      <c r="D745" s="464"/>
      <c r="E745" s="464"/>
      <c r="F745" s="490"/>
      <c r="G745" s="491"/>
      <c r="H745" s="492"/>
      <c r="I745" s="164"/>
      <c r="J745" s="493"/>
      <c r="K745" s="481"/>
      <c r="L745" s="464"/>
      <c r="M745" s="164"/>
      <c r="N745" s="494"/>
      <c r="O745" s="493"/>
      <c r="P745" s="495"/>
      <c r="Q745" s="487"/>
      <c r="R745" s="164"/>
      <c r="S745" s="467"/>
      <c r="T745" s="468"/>
      <c r="U745" s="469"/>
      <c r="V745" s="429"/>
      <c r="W745" s="429"/>
      <c r="X745" s="429"/>
      <c r="Y745" s="429"/>
      <c r="Z745" s="429"/>
    </row>
    <row r="746" spans="1:26" ht="18" customHeight="1">
      <c r="A746" s="464"/>
      <c r="B746" s="488"/>
      <c r="C746" s="489"/>
      <c r="D746" s="464"/>
      <c r="E746" s="464"/>
      <c r="F746" s="490"/>
      <c r="G746" s="491"/>
      <c r="H746" s="492"/>
      <c r="I746" s="164"/>
      <c r="J746" s="493"/>
      <c r="K746" s="481"/>
      <c r="L746" s="464"/>
      <c r="M746" s="164"/>
      <c r="N746" s="494"/>
      <c r="O746" s="493"/>
      <c r="P746" s="495"/>
      <c r="Q746" s="487"/>
      <c r="R746" s="164"/>
      <c r="S746" s="467"/>
      <c r="T746" s="468"/>
      <c r="U746" s="469"/>
      <c r="V746" s="429"/>
      <c r="W746" s="429"/>
      <c r="X746" s="429"/>
      <c r="Y746" s="429"/>
      <c r="Z746" s="429"/>
    </row>
    <row r="747" spans="1:26" ht="18" customHeight="1">
      <c r="A747" s="464"/>
      <c r="B747" s="488"/>
      <c r="C747" s="489"/>
      <c r="D747" s="464"/>
      <c r="E747" s="464"/>
      <c r="F747" s="490"/>
      <c r="G747" s="491"/>
      <c r="H747" s="492"/>
      <c r="I747" s="164"/>
      <c r="J747" s="493"/>
      <c r="K747" s="481"/>
      <c r="L747" s="464"/>
      <c r="M747" s="164"/>
      <c r="N747" s="494"/>
      <c r="O747" s="493"/>
      <c r="P747" s="495"/>
      <c r="Q747" s="487"/>
      <c r="R747" s="164"/>
      <c r="S747" s="467"/>
      <c r="T747" s="468"/>
      <c r="U747" s="469"/>
      <c r="V747" s="429"/>
      <c r="W747" s="429"/>
      <c r="X747" s="429"/>
      <c r="Y747" s="429"/>
      <c r="Z747" s="429"/>
    </row>
    <row r="748" spans="1:26" ht="18" customHeight="1">
      <c r="A748" s="464"/>
      <c r="B748" s="488"/>
      <c r="C748" s="489"/>
      <c r="D748" s="464"/>
      <c r="E748" s="464"/>
      <c r="F748" s="490"/>
      <c r="G748" s="491"/>
      <c r="H748" s="492"/>
      <c r="I748" s="164"/>
      <c r="J748" s="493"/>
      <c r="K748" s="481"/>
      <c r="L748" s="464"/>
      <c r="M748" s="164"/>
      <c r="N748" s="494"/>
      <c r="O748" s="493"/>
      <c r="P748" s="495"/>
      <c r="Q748" s="487"/>
      <c r="R748" s="164"/>
      <c r="S748" s="467"/>
      <c r="T748" s="468"/>
      <c r="U748" s="469"/>
      <c r="V748" s="429"/>
      <c r="W748" s="429"/>
      <c r="X748" s="429"/>
      <c r="Y748" s="429"/>
      <c r="Z748" s="429"/>
    </row>
    <row r="749" spans="1:26" ht="18" customHeight="1">
      <c r="A749" s="464"/>
      <c r="B749" s="488"/>
      <c r="C749" s="489"/>
      <c r="D749" s="464"/>
      <c r="E749" s="464"/>
      <c r="F749" s="490"/>
      <c r="G749" s="491"/>
      <c r="H749" s="492"/>
      <c r="I749" s="164"/>
      <c r="J749" s="493"/>
      <c r="K749" s="481"/>
      <c r="L749" s="464"/>
      <c r="M749" s="164"/>
      <c r="N749" s="494"/>
      <c r="O749" s="493"/>
      <c r="P749" s="495"/>
      <c r="Q749" s="487"/>
      <c r="R749" s="164"/>
      <c r="S749" s="467"/>
      <c r="T749" s="468"/>
      <c r="U749" s="469"/>
      <c r="V749" s="429"/>
      <c r="W749" s="429"/>
      <c r="X749" s="429"/>
      <c r="Y749" s="429"/>
      <c r="Z749" s="429"/>
    </row>
    <row r="750" spans="1:26" ht="18" customHeight="1">
      <c r="A750" s="464"/>
      <c r="B750" s="488"/>
      <c r="C750" s="489"/>
      <c r="D750" s="464"/>
      <c r="E750" s="464"/>
      <c r="F750" s="490"/>
      <c r="G750" s="491"/>
      <c r="H750" s="492"/>
      <c r="I750" s="164"/>
      <c r="J750" s="493"/>
      <c r="K750" s="481"/>
      <c r="L750" s="464"/>
      <c r="M750" s="164"/>
      <c r="N750" s="494"/>
      <c r="O750" s="493"/>
      <c r="P750" s="495"/>
      <c r="Q750" s="487"/>
      <c r="R750" s="164"/>
      <c r="S750" s="467"/>
      <c r="T750" s="468"/>
      <c r="U750" s="469"/>
      <c r="V750" s="429"/>
      <c r="W750" s="429"/>
      <c r="X750" s="429"/>
      <c r="Y750" s="429"/>
      <c r="Z750" s="429"/>
    </row>
    <row r="751" spans="1:26" ht="18" customHeight="1">
      <c r="A751" s="464"/>
      <c r="B751" s="488"/>
      <c r="C751" s="489"/>
      <c r="D751" s="464"/>
      <c r="E751" s="464"/>
      <c r="F751" s="490"/>
      <c r="G751" s="491"/>
      <c r="H751" s="492"/>
      <c r="I751" s="164"/>
      <c r="J751" s="493"/>
      <c r="K751" s="481"/>
      <c r="L751" s="464"/>
      <c r="M751" s="164"/>
      <c r="N751" s="494"/>
      <c r="O751" s="493"/>
      <c r="P751" s="495"/>
      <c r="Q751" s="487"/>
      <c r="R751" s="164"/>
      <c r="S751" s="467"/>
      <c r="T751" s="468"/>
      <c r="U751" s="469"/>
      <c r="V751" s="429"/>
      <c r="W751" s="429"/>
      <c r="X751" s="429"/>
      <c r="Y751" s="429"/>
      <c r="Z751" s="429"/>
    </row>
    <row r="752" spans="1:26" ht="18" customHeight="1">
      <c r="A752" s="464"/>
      <c r="B752" s="488"/>
      <c r="C752" s="489"/>
      <c r="D752" s="464"/>
      <c r="E752" s="464"/>
      <c r="F752" s="490"/>
      <c r="G752" s="491"/>
      <c r="H752" s="492"/>
      <c r="I752" s="164"/>
      <c r="J752" s="493"/>
      <c r="K752" s="481"/>
      <c r="L752" s="464"/>
      <c r="M752" s="164"/>
      <c r="N752" s="494"/>
      <c r="O752" s="493"/>
      <c r="P752" s="495"/>
      <c r="Q752" s="487"/>
      <c r="R752" s="164"/>
      <c r="S752" s="467"/>
      <c r="T752" s="468"/>
      <c r="U752" s="469"/>
      <c r="V752" s="429"/>
      <c r="W752" s="429"/>
      <c r="X752" s="429"/>
      <c r="Y752" s="429"/>
      <c r="Z752" s="429"/>
    </row>
    <row r="753" spans="1:26" ht="18" customHeight="1">
      <c r="A753" s="464"/>
      <c r="B753" s="488"/>
      <c r="C753" s="489"/>
      <c r="D753" s="464"/>
      <c r="E753" s="464"/>
      <c r="F753" s="490"/>
      <c r="G753" s="491"/>
      <c r="H753" s="492"/>
      <c r="I753" s="164"/>
      <c r="J753" s="493"/>
      <c r="K753" s="481"/>
      <c r="L753" s="464"/>
      <c r="M753" s="164"/>
      <c r="N753" s="494"/>
      <c r="O753" s="493"/>
      <c r="P753" s="495"/>
      <c r="Q753" s="487"/>
      <c r="R753" s="164"/>
      <c r="S753" s="467"/>
      <c r="T753" s="468"/>
      <c r="U753" s="469"/>
      <c r="V753" s="429"/>
      <c r="W753" s="429"/>
      <c r="X753" s="429"/>
      <c r="Y753" s="429"/>
      <c r="Z753" s="429"/>
    </row>
    <row r="754" spans="1:26" ht="18" customHeight="1">
      <c r="A754" s="464"/>
      <c r="B754" s="488"/>
      <c r="C754" s="489"/>
      <c r="D754" s="464"/>
      <c r="E754" s="464"/>
      <c r="F754" s="490"/>
      <c r="G754" s="491"/>
      <c r="H754" s="492"/>
      <c r="I754" s="164"/>
      <c r="J754" s="493"/>
      <c r="K754" s="481"/>
      <c r="L754" s="464"/>
      <c r="M754" s="164"/>
      <c r="N754" s="494"/>
      <c r="O754" s="493"/>
      <c r="P754" s="495"/>
      <c r="Q754" s="487"/>
      <c r="R754" s="164"/>
      <c r="S754" s="467"/>
      <c r="T754" s="468"/>
      <c r="U754" s="469"/>
      <c r="V754" s="429"/>
      <c r="W754" s="429"/>
      <c r="X754" s="429"/>
      <c r="Y754" s="429"/>
      <c r="Z754" s="429"/>
    </row>
    <row r="755" spans="1:26" ht="18" customHeight="1">
      <c r="A755" s="464"/>
      <c r="B755" s="488"/>
      <c r="C755" s="489"/>
      <c r="D755" s="464"/>
      <c r="E755" s="464"/>
      <c r="F755" s="490"/>
      <c r="G755" s="491"/>
      <c r="H755" s="492"/>
      <c r="I755" s="164"/>
      <c r="J755" s="493"/>
      <c r="K755" s="481"/>
      <c r="L755" s="464"/>
      <c r="M755" s="164"/>
      <c r="N755" s="494"/>
      <c r="O755" s="493"/>
      <c r="P755" s="495"/>
      <c r="Q755" s="487"/>
      <c r="R755" s="164"/>
      <c r="S755" s="467"/>
      <c r="T755" s="468"/>
      <c r="U755" s="469"/>
      <c r="V755" s="429"/>
      <c r="W755" s="429"/>
      <c r="X755" s="429"/>
      <c r="Y755" s="429"/>
      <c r="Z755" s="429"/>
    </row>
    <row r="756" spans="1:26" ht="18" customHeight="1">
      <c r="A756" s="464"/>
      <c r="B756" s="488"/>
      <c r="C756" s="489"/>
      <c r="D756" s="464"/>
      <c r="E756" s="464"/>
      <c r="F756" s="490"/>
      <c r="G756" s="491"/>
      <c r="H756" s="492"/>
      <c r="I756" s="164"/>
      <c r="J756" s="493"/>
      <c r="K756" s="481"/>
      <c r="L756" s="464"/>
      <c r="M756" s="164"/>
      <c r="N756" s="494"/>
      <c r="O756" s="493"/>
      <c r="P756" s="495"/>
      <c r="Q756" s="487"/>
      <c r="R756" s="164"/>
      <c r="S756" s="467"/>
      <c r="T756" s="468"/>
      <c r="U756" s="469"/>
      <c r="V756" s="429"/>
      <c r="W756" s="429"/>
      <c r="X756" s="429"/>
      <c r="Y756" s="429"/>
      <c r="Z756" s="429"/>
    </row>
    <row r="757" spans="1:26" ht="18" customHeight="1">
      <c r="A757" s="464"/>
      <c r="B757" s="488"/>
      <c r="C757" s="489"/>
      <c r="D757" s="464"/>
      <c r="E757" s="464"/>
      <c r="F757" s="490"/>
      <c r="G757" s="491"/>
      <c r="H757" s="492"/>
      <c r="I757" s="164"/>
      <c r="J757" s="493"/>
      <c r="K757" s="481"/>
      <c r="L757" s="464"/>
      <c r="M757" s="164"/>
      <c r="N757" s="494"/>
      <c r="O757" s="493"/>
      <c r="P757" s="495"/>
      <c r="Q757" s="487"/>
      <c r="R757" s="164"/>
      <c r="S757" s="467"/>
      <c r="T757" s="468"/>
      <c r="U757" s="469"/>
      <c r="V757" s="429"/>
      <c r="W757" s="429"/>
      <c r="X757" s="429"/>
      <c r="Y757" s="429"/>
      <c r="Z757" s="429"/>
    </row>
    <row r="758" spans="1:26" ht="18" customHeight="1">
      <c r="A758" s="464"/>
      <c r="B758" s="488"/>
      <c r="C758" s="489"/>
      <c r="D758" s="464"/>
      <c r="E758" s="464"/>
      <c r="F758" s="490"/>
      <c r="G758" s="491"/>
      <c r="H758" s="492"/>
      <c r="I758" s="164"/>
      <c r="J758" s="493"/>
      <c r="K758" s="481"/>
      <c r="L758" s="464"/>
      <c r="M758" s="164"/>
      <c r="N758" s="494"/>
      <c r="O758" s="493"/>
      <c r="P758" s="495"/>
      <c r="Q758" s="487"/>
      <c r="R758" s="164"/>
      <c r="S758" s="467"/>
      <c r="T758" s="468"/>
      <c r="U758" s="469"/>
      <c r="V758" s="429"/>
      <c r="W758" s="429"/>
      <c r="X758" s="429"/>
      <c r="Y758" s="429"/>
      <c r="Z758" s="429"/>
    </row>
    <row r="759" spans="1:26" ht="18" customHeight="1">
      <c r="A759" s="464"/>
      <c r="B759" s="488"/>
      <c r="C759" s="489"/>
      <c r="D759" s="464"/>
      <c r="E759" s="464"/>
      <c r="F759" s="490"/>
      <c r="G759" s="491"/>
      <c r="H759" s="492"/>
      <c r="I759" s="164"/>
      <c r="J759" s="493"/>
      <c r="K759" s="481"/>
      <c r="L759" s="464"/>
      <c r="M759" s="164"/>
      <c r="N759" s="494"/>
      <c r="O759" s="493"/>
      <c r="P759" s="495"/>
      <c r="Q759" s="487"/>
      <c r="R759" s="164"/>
      <c r="S759" s="467"/>
      <c r="T759" s="468"/>
      <c r="U759" s="469"/>
      <c r="V759" s="429"/>
      <c r="W759" s="429"/>
      <c r="X759" s="429"/>
      <c r="Y759" s="429"/>
      <c r="Z759" s="429"/>
    </row>
    <row r="760" spans="1:26" ht="18" customHeight="1">
      <c r="A760" s="464"/>
      <c r="B760" s="488"/>
      <c r="C760" s="489"/>
      <c r="D760" s="464"/>
      <c r="E760" s="464"/>
      <c r="F760" s="490"/>
      <c r="G760" s="491"/>
      <c r="H760" s="492"/>
      <c r="I760" s="164"/>
      <c r="J760" s="493"/>
      <c r="K760" s="481"/>
      <c r="L760" s="464"/>
      <c r="M760" s="164"/>
      <c r="N760" s="494"/>
      <c r="O760" s="493"/>
      <c r="P760" s="495"/>
      <c r="Q760" s="487"/>
      <c r="R760" s="164"/>
      <c r="S760" s="467"/>
      <c r="T760" s="468"/>
      <c r="U760" s="469"/>
      <c r="V760" s="429"/>
      <c r="W760" s="429"/>
      <c r="X760" s="429"/>
      <c r="Y760" s="429"/>
      <c r="Z760" s="429"/>
    </row>
    <row r="761" spans="1:26" ht="18" customHeight="1">
      <c r="A761" s="464"/>
      <c r="B761" s="488"/>
      <c r="C761" s="489"/>
      <c r="D761" s="464"/>
      <c r="E761" s="464"/>
      <c r="F761" s="490"/>
      <c r="G761" s="491"/>
      <c r="H761" s="492"/>
      <c r="I761" s="164"/>
      <c r="J761" s="493"/>
      <c r="K761" s="481"/>
      <c r="L761" s="464"/>
      <c r="M761" s="164"/>
      <c r="N761" s="494"/>
      <c r="O761" s="493"/>
      <c r="P761" s="495"/>
      <c r="Q761" s="487"/>
      <c r="R761" s="164"/>
      <c r="S761" s="467"/>
      <c r="T761" s="468"/>
      <c r="U761" s="469"/>
      <c r="V761" s="429"/>
      <c r="W761" s="429"/>
      <c r="X761" s="429"/>
      <c r="Y761" s="429"/>
      <c r="Z761" s="429"/>
    </row>
    <row r="762" spans="1:26" ht="18" customHeight="1">
      <c r="A762" s="464"/>
      <c r="B762" s="488"/>
      <c r="C762" s="489"/>
      <c r="D762" s="464"/>
      <c r="E762" s="464"/>
      <c r="F762" s="490"/>
      <c r="G762" s="491"/>
      <c r="H762" s="492"/>
      <c r="I762" s="164"/>
      <c r="J762" s="493"/>
      <c r="K762" s="481"/>
      <c r="L762" s="464"/>
      <c r="M762" s="164"/>
      <c r="N762" s="494"/>
      <c r="O762" s="493"/>
      <c r="P762" s="495"/>
      <c r="Q762" s="487"/>
      <c r="R762" s="164"/>
      <c r="S762" s="467"/>
      <c r="T762" s="468"/>
      <c r="U762" s="469"/>
      <c r="V762" s="429"/>
      <c r="W762" s="429"/>
      <c r="X762" s="429"/>
      <c r="Y762" s="429"/>
      <c r="Z762" s="429"/>
    </row>
    <row r="763" spans="1:26" ht="18" customHeight="1">
      <c r="A763" s="464"/>
      <c r="B763" s="488"/>
      <c r="C763" s="489"/>
      <c r="D763" s="464"/>
      <c r="E763" s="464"/>
      <c r="F763" s="490"/>
      <c r="G763" s="491"/>
      <c r="H763" s="492"/>
      <c r="I763" s="164"/>
      <c r="J763" s="493"/>
      <c r="K763" s="481"/>
      <c r="L763" s="464"/>
      <c r="M763" s="164"/>
      <c r="N763" s="494"/>
      <c r="O763" s="493"/>
      <c r="P763" s="495"/>
      <c r="Q763" s="487"/>
      <c r="R763" s="164"/>
      <c r="S763" s="467"/>
      <c r="T763" s="468"/>
      <c r="U763" s="469"/>
      <c r="V763" s="429"/>
      <c r="W763" s="429"/>
      <c r="X763" s="429"/>
      <c r="Y763" s="429"/>
      <c r="Z763" s="429"/>
    </row>
    <row r="764" spans="1:26" ht="18" customHeight="1">
      <c r="A764" s="464"/>
      <c r="B764" s="488"/>
      <c r="C764" s="489"/>
      <c r="D764" s="464"/>
      <c r="E764" s="464"/>
      <c r="F764" s="490"/>
      <c r="G764" s="491"/>
      <c r="H764" s="492"/>
      <c r="I764" s="164"/>
      <c r="J764" s="493"/>
      <c r="K764" s="481"/>
      <c r="L764" s="464"/>
      <c r="M764" s="164"/>
      <c r="N764" s="494"/>
      <c r="O764" s="493"/>
      <c r="P764" s="495"/>
      <c r="Q764" s="487"/>
      <c r="R764" s="164"/>
      <c r="S764" s="467"/>
      <c r="T764" s="468"/>
      <c r="U764" s="469"/>
      <c r="V764" s="429"/>
      <c r="W764" s="429"/>
      <c r="X764" s="429"/>
      <c r="Y764" s="429"/>
      <c r="Z764" s="429"/>
    </row>
    <row r="765" spans="1:26" ht="18" customHeight="1">
      <c r="A765" s="464"/>
      <c r="B765" s="488"/>
      <c r="C765" s="489"/>
      <c r="D765" s="464"/>
      <c r="E765" s="464"/>
      <c r="F765" s="490"/>
      <c r="G765" s="491"/>
      <c r="H765" s="492"/>
      <c r="I765" s="164"/>
      <c r="J765" s="493"/>
      <c r="K765" s="481"/>
      <c r="L765" s="464"/>
      <c r="M765" s="164"/>
      <c r="N765" s="494"/>
      <c r="O765" s="493"/>
      <c r="P765" s="495"/>
      <c r="Q765" s="487"/>
      <c r="R765" s="164"/>
      <c r="S765" s="467"/>
      <c r="T765" s="468"/>
      <c r="U765" s="469"/>
      <c r="V765" s="429"/>
      <c r="W765" s="429"/>
      <c r="X765" s="429"/>
      <c r="Y765" s="429"/>
      <c r="Z765" s="429"/>
    </row>
    <row r="766" spans="1:26" ht="18" customHeight="1">
      <c r="A766" s="464"/>
      <c r="B766" s="488"/>
      <c r="C766" s="489"/>
      <c r="D766" s="464"/>
      <c r="E766" s="464"/>
      <c r="F766" s="490"/>
      <c r="G766" s="491"/>
      <c r="H766" s="492"/>
      <c r="I766" s="164"/>
      <c r="J766" s="493"/>
      <c r="K766" s="481"/>
      <c r="L766" s="464"/>
      <c r="M766" s="164"/>
      <c r="N766" s="494"/>
      <c r="O766" s="493"/>
      <c r="P766" s="495"/>
      <c r="Q766" s="487"/>
      <c r="R766" s="164"/>
      <c r="S766" s="467"/>
      <c r="T766" s="468"/>
      <c r="U766" s="469"/>
      <c r="V766" s="429"/>
      <c r="W766" s="429"/>
      <c r="X766" s="429"/>
      <c r="Y766" s="429"/>
      <c r="Z766" s="429"/>
    </row>
    <row r="767" spans="1:26" ht="18" customHeight="1">
      <c r="A767" s="464"/>
      <c r="B767" s="488"/>
      <c r="C767" s="489"/>
      <c r="D767" s="464"/>
      <c r="E767" s="464"/>
      <c r="F767" s="490"/>
      <c r="G767" s="491"/>
      <c r="H767" s="492"/>
      <c r="I767" s="164"/>
      <c r="J767" s="493"/>
      <c r="K767" s="481"/>
      <c r="L767" s="464"/>
      <c r="M767" s="164"/>
      <c r="N767" s="494"/>
      <c r="O767" s="493"/>
      <c r="P767" s="495"/>
      <c r="Q767" s="487"/>
      <c r="R767" s="164"/>
      <c r="S767" s="467"/>
      <c r="T767" s="468"/>
      <c r="U767" s="469"/>
      <c r="V767" s="429"/>
      <c r="W767" s="429"/>
      <c r="X767" s="429"/>
      <c r="Y767" s="429"/>
      <c r="Z767" s="429"/>
    </row>
    <row r="768" spans="1:26" ht="18" customHeight="1">
      <c r="A768" s="464"/>
      <c r="B768" s="488"/>
      <c r="C768" s="489"/>
      <c r="D768" s="464"/>
      <c r="E768" s="464"/>
      <c r="F768" s="490"/>
      <c r="G768" s="491"/>
      <c r="H768" s="492"/>
      <c r="I768" s="164"/>
      <c r="J768" s="493"/>
      <c r="K768" s="481"/>
      <c r="L768" s="464"/>
      <c r="M768" s="164"/>
      <c r="N768" s="494"/>
      <c r="O768" s="493"/>
      <c r="P768" s="495"/>
      <c r="Q768" s="487"/>
      <c r="R768" s="164"/>
      <c r="S768" s="467"/>
      <c r="T768" s="468"/>
      <c r="U768" s="469"/>
      <c r="V768" s="429"/>
      <c r="W768" s="429"/>
      <c r="X768" s="429"/>
      <c r="Y768" s="429"/>
      <c r="Z768" s="429"/>
    </row>
    <row r="769" spans="1:26" ht="18" customHeight="1">
      <c r="A769" s="464"/>
      <c r="B769" s="488"/>
      <c r="C769" s="489"/>
      <c r="D769" s="464"/>
      <c r="E769" s="464"/>
      <c r="F769" s="490"/>
      <c r="G769" s="491"/>
      <c r="H769" s="492"/>
      <c r="I769" s="164"/>
      <c r="J769" s="493"/>
      <c r="K769" s="481"/>
      <c r="L769" s="464"/>
      <c r="M769" s="164"/>
      <c r="N769" s="494"/>
      <c r="O769" s="493"/>
      <c r="P769" s="495"/>
      <c r="Q769" s="487"/>
      <c r="R769" s="164"/>
      <c r="S769" s="467"/>
      <c r="T769" s="468"/>
      <c r="U769" s="469"/>
      <c r="V769" s="429"/>
      <c r="W769" s="429"/>
      <c r="X769" s="429"/>
      <c r="Y769" s="429"/>
      <c r="Z769" s="429"/>
    </row>
    <row r="770" spans="1:26" ht="18" customHeight="1">
      <c r="A770" s="464"/>
      <c r="B770" s="488"/>
      <c r="C770" s="489"/>
      <c r="D770" s="464"/>
      <c r="E770" s="464"/>
      <c r="F770" s="490"/>
      <c r="G770" s="491"/>
      <c r="H770" s="492"/>
      <c r="I770" s="164"/>
      <c r="J770" s="493"/>
      <c r="K770" s="481"/>
      <c r="L770" s="464"/>
      <c r="M770" s="164"/>
      <c r="N770" s="494"/>
      <c r="O770" s="493"/>
      <c r="P770" s="495"/>
      <c r="Q770" s="487"/>
      <c r="R770" s="164"/>
      <c r="S770" s="467"/>
      <c r="T770" s="468"/>
      <c r="U770" s="469"/>
      <c r="V770" s="429"/>
      <c r="W770" s="429"/>
      <c r="X770" s="429"/>
      <c r="Y770" s="429"/>
      <c r="Z770" s="429"/>
    </row>
    <row r="771" spans="1:26" ht="18" customHeight="1">
      <c r="A771" s="464"/>
      <c r="B771" s="488"/>
      <c r="C771" s="489"/>
      <c r="D771" s="464"/>
      <c r="E771" s="464"/>
      <c r="F771" s="490"/>
      <c r="G771" s="491"/>
      <c r="H771" s="492"/>
      <c r="I771" s="164"/>
      <c r="J771" s="493"/>
      <c r="K771" s="481"/>
      <c r="L771" s="464"/>
      <c r="M771" s="164"/>
      <c r="N771" s="494"/>
      <c r="O771" s="493"/>
      <c r="P771" s="495"/>
      <c r="Q771" s="487"/>
      <c r="R771" s="164"/>
      <c r="S771" s="467"/>
      <c r="T771" s="468"/>
      <c r="U771" s="469"/>
      <c r="V771" s="429"/>
      <c r="W771" s="429"/>
      <c r="X771" s="429"/>
      <c r="Y771" s="429"/>
      <c r="Z771" s="429"/>
    </row>
    <row r="772" spans="1:26" ht="18" customHeight="1">
      <c r="A772" s="464"/>
      <c r="B772" s="488"/>
      <c r="C772" s="489"/>
      <c r="D772" s="464"/>
      <c r="E772" s="464"/>
      <c r="F772" s="490"/>
      <c r="G772" s="491"/>
      <c r="H772" s="492"/>
      <c r="I772" s="164"/>
      <c r="J772" s="493"/>
      <c r="K772" s="481"/>
      <c r="L772" s="464"/>
      <c r="M772" s="164"/>
      <c r="N772" s="494"/>
      <c r="O772" s="493"/>
      <c r="P772" s="495"/>
      <c r="Q772" s="487"/>
      <c r="R772" s="164"/>
      <c r="S772" s="467"/>
      <c r="T772" s="468"/>
      <c r="U772" s="469"/>
      <c r="V772" s="429"/>
      <c r="W772" s="429"/>
      <c r="X772" s="429"/>
      <c r="Y772" s="429"/>
      <c r="Z772" s="429"/>
    </row>
    <row r="773" spans="1:26" ht="18" customHeight="1">
      <c r="A773" s="464"/>
      <c r="B773" s="488"/>
      <c r="C773" s="489"/>
      <c r="D773" s="464"/>
      <c r="E773" s="464"/>
      <c r="F773" s="490"/>
      <c r="G773" s="491"/>
      <c r="H773" s="492"/>
      <c r="I773" s="164"/>
      <c r="J773" s="493"/>
      <c r="K773" s="481"/>
      <c r="L773" s="464"/>
      <c r="M773" s="164"/>
      <c r="N773" s="494"/>
      <c r="O773" s="493"/>
      <c r="P773" s="495"/>
      <c r="Q773" s="487"/>
      <c r="R773" s="164"/>
      <c r="S773" s="467"/>
      <c r="T773" s="468"/>
      <c r="U773" s="469"/>
      <c r="V773" s="429"/>
      <c r="W773" s="429"/>
      <c r="X773" s="429"/>
      <c r="Y773" s="429"/>
      <c r="Z773" s="429"/>
    </row>
    <row r="774" spans="1:26" ht="18" customHeight="1">
      <c r="A774" s="464"/>
      <c r="B774" s="488"/>
      <c r="C774" s="489"/>
      <c r="D774" s="464"/>
      <c r="E774" s="464"/>
      <c r="F774" s="490"/>
      <c r="G774" s="491"/>
      <c r="H774" s="492"/>
      <c r="I774" s="164"/>
      <c r="J774" s="493"/>
      <c r="K774" s="481"/>
      <c r="L774" s="464"/>
      <c r="M774" s="164"/>
      <c r="N774" s="494"/>
      <c r="O774" s="493"/>
      <c r="P774" s="495"/>
      <c r="Q774" s="487"/>
      <c r="R774" s="164"/>
      <c r="S774" s="467"/>
      <c r="T774" s="468"/>
      <c r="U774" s="469"/>
      <c r="V774" s="429"/>
      <c r="W774" s="429"/>
      <c r="X774" s="429"/>
      <c r="Y774" s="429"/>
      <c r="Z774" s="429"/>
    </row>
    <row r="775" spans="1:26" ht="18" customHeight="1">
      <c r="A775" s="464"/>
      <c r="B775" s="488"/>
      <c r="C775" s="489"/>
      <c r="D775" s="464"/>
      <c r="E775" s="464"/>
      <c r="F775" s="490"/>
      <c r="G775" s="491"/>
      <c r="H775" s="492"/>
      <c r="I775" s="164"/>
      <c r="J775" s="493"/>
      <c r="K775" s="481"/>
      <c r="L775" s="464"/>
      <c r="M775" s="164"/>
      <c r="N775" s="494"/>
      <c r="O775" s="493"/>
      <c r="P775" s="495"/>
      <c r="Q775" s="487"/>
      <c r="R775" s="164"/>
      <c r="S775" s="467"/>
      <c r="T775" s="468"/>
      <c r="U775" s="469"/>
      <c r="V775" s="429"/>
      <c r="W775" s="429"/>
      <c r="X775" s="429"/>
      <c r="Y775" s="429"/>
      <c r="Z775" s="429"/>
    </row>
    <row r="776" spans="1:26" ht="18" customHeight="1">
      <c r="A776" s="464"/>
      <c r="B776" s="488"/>
      <c r="C776" s="489"/>
      <c r="D776" s="464"/>
      <c r="E776" s="464"/>
      <c r="F776" s="490"/>
      <c r="G776" s="491"/>
      <c r="H776" s="492"/>
      <c r="I776" s="164"/>
      <c r="J776" s="493"/>
      <c r="K776" s="481"/>
      <c r="L776" s="464"/>
      <c r="M776" s="164"/>
      <c r="N776" s="494"/>
      <c r="O776" s="493"/>
      <c r="P776" s="495"/>
      <c r="Q776" s="487"/>
      <c r="R776" s="164"/>
      <c r="S776" s="467"/>
      <c r="T776" s="468"/>
      <c r="U776" s="469"/>
      <c r="V776" s="429"/>
      <c r="W776" s="429"/>
      <c r="X776" s="429"/>
      <c r="Y776" s="429"/>
      <c r="Z776" s="429"/>
    </row>
    <row r="777" spans="1:26" ht="18" customHeight="1">
      <c r="A777" s="464"/>
      <c r="B777" s="488"/>
      <c r="C777" s="489"/>
      <c r="D777" s="464"/>
      <c r="E777" s="464"/>
      <c r="F777" s="490"/>
      <c r="G777" s="491"/>
      <c r="H777" s="492"/>
      <c r="I777" s="164"/>
      <c r="J777" s="493"/>
      <c r="K777" s="481"/>
      <c r="L777" s="464"/>
      <c r="M777" s="164"/>
      <c r="N777" s="494"/>
      <c r="O777" s="493"/>
      <c r="P777" s="495"/>
      <c r="Q777" s="487"/>
      <c r="R777" s="164"/>
      <c r="S777" s="467"/>
      <c r="T777" s="468"/>
      <c r="U777" s="469"/>
      <c r="V777" s="429"/>
      <c r="W777" s="429"/>
      <c r="X777" s="429"/>
      <c r="Y777" s="429"/>
      <c r="Z777" s="429"/>
    </row>
    <row r="778" spans="1:26" ht="18" customHeight="1">
      <c r="A778" s="464"/>
      <c r="B778" s="488"/>
      <c r="C778" s="489"/>
      <c r="D778" s="464"/>
      <c r="E778" s="464"/>
      <c r="F778" s="490"/>
      <c r="G778" s="491"/>
      <c r="H778" s="492"/>
      <c r="I778" s="164"/>
      <c r="J778" s="493"/>
      <c r="K778" s="481"/>
      <c r="L778" s="464"/>
      <c r="M778" s="164"/>
      <c r="N778" s="494"/>
      <c r="O778" s="493"/>
      <c r="P778" s="495"/>
      <c r="Q778" s="487"/>
      <c r="R778" s="164"/>
      <c r="S778" s="467"/>
      <c r="T778" s="468"/>
      <c r="U778" s="469"/>
      <c r="V778" s="429"/>
      <c r="W778" s="429"/>
      <c r="X778" s="429"/>
      <c r="Y778" s="429"/>
      <c r="Z778" s="429"/>
    </row>
    <row r="779" spans="1:26" ht="18" customHeight="1">
      <c r="A779" s="464"/>
      <c r="B779" s="488"/>
      <c r="C779" s="489"/>
      <c r="D779" s="464"/>
      <c r="E779" s="464"/>
      <c r="F779" s="490"/>
      <c r="G779" s="491"/>
      <c r="H779" s="492"/>
      <c r="I779" s="164"/>
      <c r="J779" s="493"/>
      <c r="K779" s="481"/>
      <c r="L779" s="464"/>
      <c r="M779" s="164"/>
      <c r="N779" s="494"/>
      <c r="O779" s="493"/>
      <c r="P779" s="495"/>
      <c r="Q779" s="487"/>
      <c r="R779" s="164"/>
      <c r="S779" s="467"/>
      <c r="T779" s="468"/>
      <c r="U779" s="469"/>
      <c r="V779" s="429"/>
      <c r="W779" s="429"/>
      <c r="X779" s="429"/>
      <c r="Y779" s="429"/>
      <c r="Z779" s="429"/>
    </row>
    <row r="780" spans="1:26" ht="18" customHeight="1">
      <c r="A780" s="464"/>
      <c r="B780" s="488"/>
      <c r="C780" s="489"/>
      <c r="D780" s="464"/>
      <c r="E780" s="464"/>
      <c r="F780" s="490"/>
      <c r="G780" s="491"/>
      <c r="H780" s="492"/>
      <c r="I780" s="164"/>
      <c r="J780" s="493"/>
      <c r="K780" s="481"/>
      <c r="L780" s="464"/>
      <c r="M780" s="164"/>
      <c r="N780" s="494"/>
      <c r="O780" s="493"/>
      <c r="P780" s="495"/>
      <c r="Q780" s="487"/>
      <c r="R780" s="164"/>
      <c r="S780" s="467"/>
      <c r="T780" s="468"/>
      <c r="U780" s="469"/>
      <c r="V780" s="429"/>
      <c r="W780" s="429"/>
      <c r="X780" s="429"/>
      <c r="Y780" s="429"/>
      <c r="Z780" s="429"/>
    </row>
    <row r="781" spans="1:26" ht="18" customHeight="1">
      <c r="A781" s="464"/>
      <c r="B781" s="488"/>
      <c r="C781" s="489"/>
      <c r="D781" s="464"/>
      <c r="E781" s="464"/>
      <c r="F781" s="490"/>
      <c r="G781" s="491"/>
      <c r="H781" s="492"/>
      <c r="I781" s="164"/>
      <c r="J781" s="493"/>
      <c r="K781" s="481"/>
      <c r="L781" s="464"/>
      <c r="M781" s="164"/>
      <c r="N781" s="494"/>
      <c r="O781" s="493"/>
      <c r="P781" s="495"/>
      <c r="Q781" s="487"/>
      <c r="R781" s="164"/>
      <c r="S781" s="467"/>
      <c r="T781" s="468"/>
      <c r="U781" s="469"/>
      <c r="V781" s="429"/>
      <c r="W781" s="429"/>
      <c r="X781" s="429"/>
      <c r="Y781" s="429"/>
      <c r="Z781" s="429"/>
    </row>
    <row r="782" spans="1:26" ht="18" customHeight="1">
      <c r="A782" s="464"/>
      <c r="B782" s="488"/>
      <c r="C782" s="489"/>
      <c r="D782" s="464"/>
      <c r="E782" s="464"/>
      <c r="F782" s="490"/>
      <c r="G782" s="491"/>
      <c r="H782" s="492"/>
      <c r="I782" s="164"/>
      <c r="J782" s="493"/>
      <c r="K782" s="481"/>
      <c r="L782" s="464"/>
      <c r="M782" s="164"/>
      <c r="N782" s="494"/>
      <c r="O782" s="493"/>
      <c r="P782" s="495"/>
      <c r="Q782" s="487"/>
      <c r="R782" s="164"/>
      <c r="S782" s="467"/>
      <c r="T782" s="468"/>
      <c r="U782" s="469"/>
      <c r="V782" s="429"/>
      <c r="W782" s="429"/>
      <c r="X782" s="429"/>
      <c r="Y782" s="429"/>
      <c r="Z782" s="429"/>
    </row>
    <row r="783" spans="1:26" ht="18" customHeight="1">
      <c r="A783" s="464"/>
      <c r="B783" s="488"/>
      <c r="C783" s="489"/>
      <c r="D783" s="464"/>
      <c r="E783" s="464"/>
      <c r="F783" s="490"/>
      <c r="G783" s="491"/>
      <c r="H783" s="492"/>
      <c r="I783" s="164"/>
      <c r="J783" s="493"/>
      <c r="K783" s="481"/>
      <c r="L783" s="464"/>
      <c r="M783" s="164"/>
      <c r="N783" s="494"/>
      <c r="O783" s="493"/>
      <c r="P783" s="495"/>
      <c r="Q783" s="487"/>
      <c r="R783" s="164"/>
      <c r="S783" s="467"/>
      <c r="T783" s="468"/>
      <c r="U783" s="469"/>
      <c r="V783" s="429"/>
      <c r="W783" s="429"/>
      <c r="X783" s="429"/>
      <c r="Y783" s="429"/>
      <c r="Z783" s="429"/>
    </row>
    <row r="784" spans="1:26" ht="18" customHeight="1">
      <c r="A784" s="464"/>
      <c r="B784" s="488"/>
      <c r="C784" s="489"/>
      <c r="D784" s="464"/>
      <c r="E784" s="464"/>
      <c r="F784" s="490"/>
      <c r="G784" s="491"/>
      <c r="H784" s="492"/>
      <c r="I784" s="164"/>
      <c r="J784" s="493"/>
      <c r="K784" s="481"/>
      <c r="L784" s="464"/>
      <c r="M784" s="164"/>
      <c r="N784" s="494"/>
      <c r="O784" s="493"/>
      <c r="P784" s="495"/>
      <c r="Q784" s="487"/>
      <c r="R784" s="164"/>
      <c r="S784" s="467"/>
      <c r="T784" s="468"/>
      <c r="U784" s="469"/>
      <c r="V784" s="429"/>
      <c r="W784" s="429"/>
      <c r="X784" s="429"/>
      <c r="Y784" s="429"/>
      <c r="Z784" s="429"/>
    </row>
    <row r="785" spans="1:26" ht="18" customHeight="1">
      <c r="A785" s="464"/>
      <c r="B785" s="488"/>
      <c r="C785" s="489"/>
      <c r="D785" s="464"/>
      <c r="E785" s="464"/>
      <c r="F785" s="490"/>
      <c r="G785" s="491"/>
      <c r="H785" s="492"/>
      <c r="I785" s="164"/>
      <c r="J785" s="493"/>
      <c r="K785" s="481"/>
      <c r="L785" s="464"/>
      <c r="M785" s="164"/>
      <c r="N785" s="494"/>
      <c r="O785" s="493"/>
      <c r="P785" s="495"/>
      <c r="Q785" s="487"/>
      <c r="R785" s="164"/>
      <c r="S785" s="467"/>
      <c r="T785" s="468"/>
      <c r="U785" s="469"/>
      <c r="V785" s="429"/>
      <c r="W785" s="429"/>
      <c r="X785" s="429"/>
      <c r="Y785" s="429"/>
      <c r="Z785" s="429"/>
    </row>
    <row r="786" spans="1:26" ht="18" customHeight="1">
      <c r="A786" s="464"/>
      <c r="B786" s="488"/>
      <c r="C786" s="489"/>
      <c r="D786" s="464"/>
      <c r="E786" s="464"/>
      <c r="F786" s="490"/>
      <c r="G786" s="491"/>
      <c r="H786" s="492"/>
      <c r="I786" s="164"/>
      <c r="J786" s="493"/>
      <c r="K786" s="481"/>
      <c r="L786" s="464"/>
      <c r="M786" s="164"/>
      <c r="N786" s="494"/>
      <c r="O786" s="493"/>
      <c r="P786" s="495"/>
      <c r="Q786" s="487"/>
      <c r="R786" s="164"/>
      <c r="S786" s="467"/>
      <c r="T786" s="468"/>
      <c r="U786" s="469"/>
      <c r="V786" s="429"/>
      <c r="W786" s="429"/>
      <c r="X786" s="429"/>
      <c r="Y786" s="429"/>
      <c r="Z786" s="429"/>
    </row>
    <row r="787" spans="1:26" ht="18" customHeight="1">
      <c r="A787" s="464"/>
      <c r="B787" s="488"/>
      <c r="C787" s="489"/>
      <c r="D787" s="464"/>
      <c r="E787" s="464"/>
      <c r="F787" s="490"/>
      <c r="G787" s="491"/>
      <c r="H787" s="492"/>
      <c r="I787" s="164"/>
      <c r="J787" s="493"/>
      <c r="K787" s="481"/>
      <c r="L787" s="464"/>
      <c r="M787" s="164"/>
      <c r="N787" s="494"/>
      <c r="O787" s="493"/>
      <c r="P787" s="495"/>
      <c r="Q787" s="487"/>
      <c r="R787" s="164"/>
      <c r="S787" s="467"/>
      <c r="T787" s="468"/>
      <c r="U787" s="469"/>
      <c r="V787" s="429"/>
      <c r="W787" s="429"/>
      <c r="X787" s="429"/>
      <c r="Y787" s="429"/>
      <c r="Z787" s="429"/>
    </row>
    <row r="788" spans="1:26" ht="18" customHeight="1">
      <c r="A788" s="464"/>
      <c r="B788" s="488"/>
      <c r="C788" s="489"/>
      <c r="D788" s="464"/>
      <c r="E788" s="464"/>
      <c r="F788" s="490"/>
      <c r="G788" s="491"/>
      <c r="H788" s="492"/>
      <c r="I788" s="164"/>
      <c r="J788" s="493"/>
      <c r="K788" s="481"/>
      <c r="L788" s="464"/>
      <c r="M788" s="164"/>
      <c r="N788" s="494"/>
      <c r="O788" s="493"/>
      <c r="P788" s="495"/>
      <c r="Q788" s="487"/>
      <c r="R788" s="164"/>
      <c r="S788" s="467"/>
      <c r="T788" s="468"/>
      <c r="U788" s="469"/>
      <c r="V788" s="429"/>
      <c r="W788" s="429"/>
      <c r="X788" s="429"/>
      <c r="Y788" s="429"/>
      <c r="Z788" s="429"/>
    </row>
    <row r="789" spans="1:26" ht="18" customHeight="1">
      <c r="A789" s="464"/>
      <c r="B789" s="488"/>
      <c r="C789" s="489"/>
      <c r="D789" s="464"/>
      <c r="E789" s="464"/>
      <c r="F789" s="490"/>
      <c r="G789" s="491"/>
      <c r="H789" s="492"/>
      <c r="I789" s="164"/>
      <c r="J789" s="493"/>
      <c r="K789" s="481"/>
      <c r="L789" s="464"/>
      <c r="M789" s="164"/>
      <c r="N789" s="494"/>
      <c r="O789" s="493"/>
      <c r="P789" s="495"/>
      <c r="Q789" s="487"/>
      <c r="R789" s="164"/>
      <c r="S789" s="467"/>
      <c r="T789" s="468"/>
      <c r="U789" s="469"/>
      <c r="V789" s="429"/>
      <c r="W789" s="429"/>
      <c r="X789" s="429"/>
      <c r="Y789" s="429"/>
      <c r="Z789" s="429"/>
    </row>
    <row r="790" spans="1:26" ht="18" customHeight="1">
      <c r="A790" s="464"/>
      <c r="B790" s="488"/>
      <c r="C790" s="489"/>
      <c r="D790" s="464"/>
      <c r="E790" s="464"/>
      <c r="F790" s="490"/>
      <c r="G790" s="491"/>
      <c r="H790" s="492"/>
      <c r="I790" s="164"/>
      <c r="J790" s="493"/>
      <c r="K790" s="481"/>
      <c r="L790" s="464"/>
      <c r="M790" s="164"/>
      <c r="N790" s="494"/>
      <c r="O790" s="493"/>
      <c r="P790" s="495"/>
      <c r="Q790" s="487"/>
      <c r="R790" s="164"/>
      <c r="S790" s="467"/>
      <c r="T790" s="468"/>
      <c r="U790" s="469"/>
      <c r="V790" s="429"/>
      <c r="W790" s="429"/>
      <c r="X790" s="429"/>
      <c r="Y790" s="429"/>
      <c r="Z790" s="429"/>
    </row>
    <row r="791" spans="1:26" ht="18" customHeight="1">
      <c r="A791" s="464"/>
      <c r="B791" s="488"/>
      <c r="C791" s="489"/>
      <c r="D791" s="464"/>
      <c r="E791" s="464"/>
      <c r="F791" s="490"/>
      <c r="G791" s="491"/>
      <c r="H791" s="492"/>
      <c r="I791" s="164"/>
      <c r="J791" s="493"/>
      <c r="K791" s="481"/>
      <c r="L791" s="464"/>
      <c r="M791" s="164"/>
      <c r="N791" s="494"/>
      <c r="O791" s="493"/>
      <c r="P791" s="495"/>
      <c r="Q791" s="487"/>
      <c r="R791" s="164"/>
      <c r="S791" s="467"/>
      <c r="T791" s="468"/>
      <c r="U791" s="469"/>
      <c r="V791" s="429"/>
      <c r="W791" s="429"/>
      <c r="X791" s="429"/>
      <c r="Y791" s="429"/>
      <c r="Z791" s="429"/>
    </row>
    <row r="792" spans="1:26" ht="18" customHeight="1">
      <c r="A792" s="464"/>
      <c r="B792" s="488"/>
      <c r="C792" s="489"/>
      <c r="D792" s="464"/>
      <c r="E792" s="464"/>
      <c r="F792" s="490"/>
      <c r="G792" s="491"/>
      <c r="H792" s="492"/>
      <c r="I792" s="164"/>
      <c r="J792" s="493"/>
      <c r="K792" s="481"/>
      <c r="L792" s="464"/>
      <c r="M792" s="164"/>
      <c r="N792" s="494"/>
      <c r="O792" s="493"/>
      <c r="P792" s="495"/>
      <c r="Q792" s="487"/>
      <c r="R792" s="164"/>
      <c r="S792" s="467"/>
      <c r="T792" s="468"/>
      <c r="U792" s="469"/>
      <c r="V792" s="429"/>
      <c r="W792" s="429"/>
      <c r="X792" s="429"/>
      <c r="Y792" s="429"/>
      <c r="Z792" s="429"/>
    </row>
    <row r="793" spans="1:26" ht="18" customHeight="1">
      <c r="A793" s="464"/>
      <c r="B793" s="488"/>
      <c r="C793" s="489"/>
      <c r="D793" s="464"/>
      <c r="E793" s="464"/>
      <c r="F793" s="490"/>
      <c r="G793" s="491"/>
      <c r="H793" s="492"/>
      <c r="I793" s="164"/>
      <c r="J793" s="493"/>
      <c r="K793" s="481"/>
      <c r="L793" s="464"/>
      <c r="M793" s="164"/>
      <c r="N793" s="494"/>
      <c r="O793" s="493"/>
      <c r="P793" s="495"/>
      <c r="Q793" s="487"/>
      <c r="R793" s="164"/>
      <c r="S793" s="467"/>
      <c r="T793" s="468"/>
      <c r="U793" s="469"/>
      <c r="V793" s="429"/>
      <c r="W793" s="429"/>
      <c r="X793" s="429"/>
      <c r="Y793" s="429"/>
      <c r="Z793" s="429"/>
    </row>
    <row r="794" spans="1:26" ht="18" customHeight="1">
      <c r="A794" s="464"/>
      <c r="B794" s="488"/>
      <c r="C794" s="489"/>
      <c r="D794" s="464"/>
      <c r="E794" s="464"/>
      <c r="F794" s="490"/>
      <c r="G794" s="491"/>
      <c r="H794" s="492"/>
      <c r="I794" s="164"/>
      <c r="J794" s="493"/>
      <c r="K794" s="481"/>
      <c r="L794" s="464"/>
      <c r="M794" s="164"/>
      <c r="N794" s="494"/>
      <c r="O794" s="493"/>
      <c r="P794" s="495"/>
      <c r="Q794" s="487"/>
      <c r="R794" s="164"/>
      <c r="S794" s="467"/>
      <c r="T794" s="468"/>
      <c r="U794" s="469"/>
      <c r="V794" s="429"/>
      <c r="W794" s="429"/>
      <c r="X794" s="429"/>
      <c r="Y794" s="429"/>
      <c r="Z794" s="429"/>
    </row>
    <row r="795" spans="1:26" ht="18" customHeight="1">
      <c r="A795" s="464"/>
      <c r="B795" s="488"/>
      <c r="C795" s="489"/>
      <c r="D795" s="464"/>
      <c r="E795" s="464"/>
      <c r="F795" s="490"/>
      <c r="G795" s="491"/>
      <c r="H795" s="492"/>
      <c r="I795" s="164"/>
      <c r="J795" s="493"/>
      <c r="K795" s="481"/>
      <c r="L795" s="464"/>
      <c r="M795" s="164"/>
      <c r="N795" s="494"/>
      <c r="O795" s="493"/>
      <c r="P795" s="495"/>
      <c r="Q795" s="487"/>
      <c r="R795" s="164"/>
      <c r="S795" s="467"/>
      <c r="T795" s="468"/>
      <c r="U795" s="469"/>
      <c r="V795" s="429"/>
      <c r="W795" s="429"/>
      <c r="X795" s="429"/>
      <c r="Y795" s="429"/>
      <c r="Z795" s="429"/>
    </row>
    <row r="796" spans="1:26" ht="18" customHeight="1">
      <c r="A796" s="464"/>
      <c r="B796" s="488"/>
      <c r="C796" s="489"/>
      <c r="D796" s="464"/>
      <c r="E796" s="464"/>
      <c r="F796" s="490"/>
      <c r="G796" s="491"/>
      <c r="H796" s="492"/>
      <c r="I796" s="164"/>
      <c r="J796" s="493"/>
      <c r="K796" s="481"/>
      <c r="L796" s="464"/>
      <c r="M796" s="164"/>
      <c r="N796" s="494"/>
      <c r="O796" s="493"/>
      <c r="P796" s="495"/>
      <c r="Q796" s="487"/>
      <c r="R796" s="164"/>
      <c r="S796" s="467"/>
      <c r="T796" s="468"/>
      <c r="U796" s="469"/>
      <c r="V796" s="429"/>
      <c r="W796" s="429"/>
      <c r="X796" s="429"/>
      <c r="Y796" s="429"/>
      <c r="Z796" s="429"/>
    </row>
    <row r="797" spans="1:26" ht="18" customHeight="1">
      <c r="A797" s="464"/>
      <c r="B797" s="488"/>
      <c r="C797" s="489"/>
      <c r="D797" s="464"/>
      <c r="E797" s="464"/>
      <c r="F797" s="490"/>
      <c r="G797" s="491"/>
      <c r="H797" s="492"/>
      <c r="I797" s="164"/>
      <c r="J797" s="493"/>
      <c r="K797" s="481"/>
      <c r="L797" s="464"/>
      <c r="M797" s="164"/>
      <c r="N797" s="494"/>
      <c r="O797" s="493"/>
      <c r="P797" s="495"/>
      <c r="Q797" s="487"/>
      <c r="R797" s="164"/>
      <c r="S797" s="467"/>
      <c r="T797" s="468"/>
      <c r="U797" s="469"/>
      <c r="V797" s="429"/>
      <c r="W797" s="429"/>
      <c r="X797" s="429"/>
      <c r="Y797" s="429"/>
      <c r="Z797" s="429"/>
    </row>
    <row r="798" spans="1:26" ht="18" customHeight="1">
      <c r="A798" s="464"/>
      <c r="B798" s="488"/>
      <c r="C798" s="489"/>
      <c r="D798" s="464"/>
      <c r="E798" s="464"/>
      <c r="F798" s="490"/>
      <c r="G798" s="491"/>
      <c r="H798" s="492"/>
      <c r="I798" s="164"/>
      <c r="J798" s="493"/>
      <c r="K798" s="481"/>
      <c r="L798" s="464"/>
      <c r="M798" s="164"/>
      <c r="N798" s="494"/>
      <c r="O798" s="493"/>
      <c r="P798" s="495"/>
      <c r="Q798" s="487"/>
      <c r="R798" s="164"/>
      <c r="S798" s="467"/>
      <c r="T798" s="468"/>
      <c r="U798" s="469"/>
      <c r="V798" s="429"/>
      <c r="W798" s="429"/>
      <c r="X798" s="429"/>
      <c r="Y798" s="429"/>
      <c r="Z798" s="429"/>
    </row>
    <row r="799" spans="1:26" ht="18" customHeight="1">
      <c r="A799" s="464"/>
      <c r="B799" s="488"/>
      <c r="C799" s="489"/>
      <c r="D799" s="464"/>
      <c r="E799" s="464"/>
      <c r="F799" s="490"/>
      <c r="G799" s="491"/>
      <c r="H799" s="492"/>
      <c r="I799" s="164"/>
      <c r="J799" s="493"/>
      <c r="K799" s="481"/>
      <c r="L799" s="464"/>
      <c r="M799" s="164"/>
      <c r="N799" s="494"/>
      <c r="O799" s="493"/>
      <c r="P799" s="495"/>
      <c r="Q799" s="487"/>
      <c r="R799" s="164"/>
      <c r="S799" s="467"/>
      <c r="T799" s="468"/>
      <c r="U799" s="469"/>
      <c r="V799" s="429"/>
      <c r="W799" s="429"/>
      <c r="X799" s="429"/>
      <c r="Y799" s="429"/>
      <c r="Z799" s="429"/>
    </row>
    <row r="800" spans="1:26" ht="18" customHeight="1">
      <c r="A800" s="464"/>
      <c r="B800" s="488"/>
      <c r="C800" s="489"/>
      <c r="D800" s="464"/>
      <c r="E800" s="464"/>
      <c r="F800" s="490"/>
      <c r="G800" s="491"/>
      <c r="H800" s="492"/>
      <c r="I800" s="164"/>
      <c r="J800" s="493"/>
      <c r="K800" s="481"/>
      <c r="L800" s="464"/>
      <c r="M800" s="164"/>
      <c r="N800" s="494"/>
      <c r="O800" s="493"/>
      <c r="P800" s="495"/>
      <c r="Q800" s="487"/>
      <c r="R800" s="164"/>
      <c r="S800" s="467"/>
      <c r="T800" s="468"/>
      <c r="U800" s="469"/>
      <c r="V800" s="429"/>
      <c r="W800" s="429"/>
      <c r="X800" s="429"/>
      <c r="Y800" s="429"/>
      <c r="Z800" s="429"/>
    </row>
    <row r="801" spans="1:26" ht="18" customHeight="1">
      <c r="A801" s="464"/>
      <c r="B801" s="488"/>
      <c r="C801" s="489"/>
      <c r="D801" s="464"/>
      <c r="E801" s="464"/>
      <c r="F801" s="490"/>
      <c r="G801" s="491"/>
      <c r="H801" s="492"/>
      <c r="I801" s="164"/>
      <c r="J801" s="493"/>
      <c r="K801" s="481"/>
      <c r="L801" s="464"/>
      <c r="M801" s="164"/>
      <c r="N801" s="494"/>
      <c r="O801" s="493"/>
      <c r="P801" s="495"/>
      <c r="Q801" s="487"/>
      <c r="R801" s="164"/>
      <c r="S801" s="467"/>
      <c r="T801" s="468"/>
      <c r="U801" s="469"/>
      <c r="V801" s="429"/>
      <c r="W801" s="429"/>
      <c r="X801" s="429"/>
      <c r="Y801" s="429"/>
      <c r="Z801" s="429"/>
    </row>
    <row r="802" spans="1:26" ht="18" customHeight="1">
      <c r="A802" s="464"/>
      <c r="B802" s="488"/>
      <c r="C802" s="489"/>
      <c r="D802" s="464"/>
      <c r="E802" s="464"/>
      <c r="F802" s="490"/>
      <c r="G802" s="491"/>
      <c r="H802" s="492"/>
      <c r="I802" s="164"/>
      <c r="J802" s="493"/>
      <c r="K802" s="481"/>
      <c r="L802" s="464"/>
      <c r="M802" s="164"/>
      <c r="N802" s="494"/>
      <c r="O802" s="493"/>
      <c r="P802" s="495"/>
      <c r="Q802" s="487"/>
      <c r="R802" s="164"/>
      <c r="S802" s="467"/>
      <c r="T802" s="468"/>
      <c r="U802" s="469"/>
      <c r="V802" s="429"/>
      <c r="W802" s="429"/>
      <c r="X802" s="429"/>
      <c r="Y802" s="429"/>
      <c r="Z802" s="429"/>
    </row>
    <row r="803" spans="1:26" ht="18" customHeight="1">
      <c r="A803" s="464"/>
      <c r="B803" s="488"/>
      <c r="C803" s="489"/>
      <c r="D803" s="464"/>
      <c r="E803" s="464"/>
      <c r="F803" s="490"/>
      <c r="G803" s="491"/>
      <c r="H803" s="492"/>
      <c r="I803" s="164"/>
      <c r="J803" s="493"/>
      <c r="K803" s="481"/>
      <c r="L803" s="464"/>
      <c r="M803" s="164"/>
      <c r="N803" s="494"/>
      <c r="O803" s="493"/>
      <c r="P803" s="495"/>
      <c r="Q803" s="487"/>
      <c r="R803" s="164"/>
      <c r="S803" s="467"/>
      <c r="T803" s="468"/>
      <c r="U803" s="469"/>
      <c r="V803" s="429"/>
      <c r="W803" s="429"/>
      <c r="X803" s="429"/>
      <c r="Y803" s="429"/>
      <c r="Z803" s="429"/>
    </row>
    <row r="804" spans="1:26" ht="18" customHeight="1">
      <c r="A804" s="464"/>
      <c r="B804" s="488"/>
      <c r="C804" s="489"/>
      <c r="D804" s="464"/>
      <c r="E804" s="464"/>
      <c r="F804" s="490"/>
      <c r="G804" s="491"/>
      <c r="H804" s="492"/>
      <c r="I804" s="164"/>
      <c r="J804" s="493"/>
      <c r="K804" s="481"/>
      <c r="L804" s="464"/>
      <c r="M804" s="164"/>
      <c r="N804" s="494"/>
      <c r="O804" s="493"/>
      <c r="P804" s="495"/>
      <c r="Q804" s="487"/>
      <c r="R804" s="164"/>
      <c r="S804" s="467"/>
      <c r="T804" s="468"/>
      <c r="U804" s="469"/>
      <c r="V804" s="429"/>
      <c r="W804" s="429"/>
      <c r="X804" s="429"/>
      <c r="Y804" s="429"/>
      <c r="Z804" s="429"/>
    </row>
    <row r="805" spans="1:26" ht="18" customHeight="1">
      <c r="A805" s="464"/>
      <c r="B805" s="488"/>
      <c r="C805" s="489"/>
      <c r="D805" s="464"/>
      <c r="E805" s="464"/>
      <c r="F805" s="490"/>
      <c r="G805" s="491"/>
      <c r="H805" s="492"/>
      <c r="I805" s="164"/>
      <c r="J805" s="493"/>
      <c r="K805" s="481"/>
      <c r="L805" s="464"/>
      <c r="M805" s="164"/>
      <c r="N805" s="494"/>
      <c r="O805" s="493"/>
      <c r="P805" s="495"/>
      <c r="Q805" s="487"/>
      <c r="R805" s="164"/>
      <c r="S805" s="467"/>
      <c r="T805" s="468"/>
      <c r="U805" s="469"/>
      <c r="V805" s="429"/>
      <c r="W805" s="429"/>
      <c r="X805" s="429"/>
      <c r="Y805" s="429"/>
      <c r="Z805" s="429"/>
    </row>
    <row r="806" spans="1:26" ht="18" customHeight="1">
      <c r="A806" s="464"/>
      <c r="B806" s="488"/>
      <c r="C806" s="489"/>
      <c r="D806" s="464"/>
      <c r="E806" s="464"/>
      <c r="F806" s="490"/>
      <c r="G806" s="491"/>
      <c r="H806" s="492"/>
      <c r="I806" s="164"/>
      <c r="J806" s="493"/>
      <c r="K806" s="481"/>
      <c r="L806" s="464"/>
      <c r="M806" s="164"/>
      <c r="N806" s="494"/>
      <c r="O806" s="493"/>
      <c r="P806" s="495"/>
      <c r="Q806" s="487"/>
      <c r="R806" s="164"/>
      <c r="S806" s="467"/>
      <c r="T806" s="468"/>
      <c r="U806" s="469"/>
      <c r="V806" s="429"/>
      <c r="W806" s="429"/>
      <c r="X806" s="429"/>
      <c r="Y806" s="429"/>
      <c r="Z806" s="429"/>
    </row>
    <row r="807" spans="1:26" ht="18" customHeight="1">
      <c r="A807" s="464"/>
      <c r="B807" s="488"/>
      <c r="C807" s="489"/>
      <c r="D807" s="464"/>
      <c r="E807" s="464"/>
      <c r="F807" s="490"/>
      <c r="G807" s="491"/>
      <c r="H807" s="492"/>
      <c r="I807" s="164"/>
      <c r="J807" s="493"/>
      <c r="K807" s="481"/>
      <c r="L807" s="464"/>
      <c r="M807" s="164"/>
      <c r="N807" s="494"/>
      <c r="O807" s="493"/>
      <c r="P807" s="495"/>
      <c r="Q807" s="487"/>
      <c r="R807" s="164"/>
      <c r="S807" s="467"/>
      <c r="T807" s="468"/>
      <c r="U807" s="469"/>
      <c r="V807" s="429"/>
      <c r="W807" s="429"/>
      <c r="X807" s="429"/>
      <c r="Y807" s="429"/>
      <c r="Z807" s="429"/>
    </row>
    <row r="808" spans="1:26" ht="18" customHeight="1">
      <c r="A808" s="464"/>
      <c r="B808" s="488"/>
      <c r="C808" s="489"/>
      <c r="D808" s="464"/>
      <c r="E808" s="464"/>
      <c r="F808" s="490"/>
      <c r="G808" s="491"/>
      <c r="H808" s="492"/>
      <c r="I808" s="164"/>
      <c r="J808" s="493"/>
      <c r="K808" s="481"/>
      <c r="L808" s="464"/>
      <c r="M808" s="164"/>
      <c r="N808" s="494"/>
      <c r="O808" s="493"/>
      <c r="P808" s="495"/>
      <c r="Q808" s="487"/>
      <c r="R808" s="164"/>
      <c r="S808" s="467"/>
      <c r="T808" s="468"/>
      <c r="U808" s="469"/>
      <c r="V808" s="429"/>
      <c r="W808" s="429"/>
      <c r="X808" s="429"/>
      <c r="Y808" s="429"/>
      <c r="Z808" s="429"/>
    </row>
    <row r="809" spans="1:26" ht="18" customHeight="1">
      <c r="A809" s="464"/>
      <c r="B809" s="488"/>
      <c r="C809" s="489"/>
      <c r="D809" s="464"/>
      <c r="E809" s="464"/>
      <c r="F809" s="490"/>
      <c r="G809" s="491"/>
      <c r="H809" s="492"/>
      <c r="I809" s="164"/>
      <c r="J809" s="493"/>
      <c r="K809" s="481"/>
      <c r="L809" s="464"/>
      <c r="M809" s="164"/>
      <c r="N809" s="494"/>
      <c r="O809" s="493"/>
      <c r="P809" s="495"/>
      <c r="Q809" s="487"/>
      <c r="R809" s="164"/>
      <c r="S809" s="467"/>
      <c r="T809" s="468"/>
      <c r="U809" s="469"/>
      <c r="V809" s="429"/>
      <c r="W809" s="429"/>
      <c r="X809" s="429"/>
      <c r="Y809" s="429"/>
      <c r="Z809" s="429"/>
    </row>
    <row r="810" spans="1:26" ht="18" customHeight="1">
      <c r="A810" s="464"/>
      <c r="B810" s="488"/>
      <c r="C810" s="489"/>
      <c r="D810" s="464"/>
      <c r="E810" s="464"/>
      <c r="F810" s="490"/>
      <c r="G810" s="491"/>
      <c r="H810" s="492"/>
      <c r="I810" s="164"/>
      <c r="J810" s="493"/>
      <c r="K810" s="481"/>
      <c r="L810" s="464"/>
      <c r="M810" s="164"/>
      <c r="N810" s="494"/>
      <c r="O810" s="493"/>
      <c r="P810" s="495"/>
      <c r="Q810" s="487"/>
      <c r="R810" s="164"/>
      <c r="S810" s="467"/>
      <c r="T810" s="468"/>
      <c r="U810" s="469"/>
      <c r="V810" s="429"/>
      <c r="W810" s="429"/>
      <c r="X810" s="429"/>
      <c r="Y810" s="429"/>
      <c r="Z810" s="429"/>
    </row>
    <row r="811" spans="1:26" ht="18" customHeight="1">
      <c r="A811" s="464"/>
      <c r="B811" s="488"/>
      <c r="C811" s="489"/>
      <c r="D811" s="464"/>
      <c r="E811" s="464"/>
      <c r="F811" s="490"/>
      <c r="G811" s="491"/>
      <c r="H811" s="492"/>
      <c r="I811" s="164"/>
      <c r="J811" s="493"/>
      <c r="K811" s="481"/>
      <c r="L811" s="464"/>
      <c r="M811" s="164"/>
      <c r="N811" s="494"/>
      <c r="O811" s="493"/>
      <c r="P811" s="495"/>
      <c r="Q811" s="487"/>
      <c r="R811" s="164"/>
      <c r="S811" s="467"/>
      <c r="T811" s="468"/>
      <c r="U811" s="469"/>
      <c r="V811" s="429"/>
      <c r="W811" s="429"/>
      <c r="X811" s="429"/>
      <c r="Y811" s="429"/>
      <c r="Z811" s="429"/>
    </row>
    <row r="812" spans="1:26" ht="18" customHeight="1">
      <c r="A812" s="464"/>
      <c r="B812" s="488"/>
      <c r="C812" s="489"/>
      <c r="D812" s="464"/>
      <c r="E812" s="464"/>
      <c r="F812" s="490"/>
      <c r="G812" s="491"/>
      <c r="H812" s="492"/>
      <c r="I812" s="164"/>
      <c r="J812" s="493"/>
      <c r="K812" s="481"/>
      <c r="L812" s="464"/>
      <c r="M812" s="164"/>
      <c r="N812" s="494"/>
      <c r="O812" s="493"/>
      <c r="P812" s="495"/>
      <c r="Q812" s="487"/>
      <c r="R812" s="164"/>
      <c r="S812" s="467"/>
      <c r="T812" s="468"/>
      <c r="U812" s="469"/>
      <c r="V812" s="429"/>
      <c r="W812" s="429"/>
      <c r="X812" s="429"/>
      <c r="Y812" s="429"/>
      <c r="Z812" s="429"/>
    </row>
    <row r="813" spans="1:26" ht="18" customHeight="1">
      <c r="A813" s="464"/>
      <c r="B813" s="488"/>
      <c r="C813" s="489"/>
      <c r="D813" s="464"/>
      <c r="E813" s="464"/>
      <c r="F813" s="490"/>
      <c r="G813" s="491"/>
      <c r="H813" s="492"/>
      <c r="I813" s="164"/>
      <c r="J813" s="493"/>
      <c r="K813" s="481"/>
      <c r="L813" s="464"/>
      <c r="M813" s="164"/>
      <c r="N813" s="494"/>
      <c r="O813" s="493"/>
      <c r="P813" s="495"/>
      <c r="Q813" s="487"/>
      <c r="R813" s="164"/>
      <c r="S813" s="467"/>
      <c r="T813" s="468"/>
      <c r="U813" s="469"/>
      <c r="V813" s="429"/>
      <c r="W813" s="429"/>
      <c r="X813" s="429"/>
      <c r="Y813" s="429"/>
      <c r="Z813" s="429"/>
    </row>
    <row r="814" spans="1:26" ht="18" customHeight="1">
      <c r="A814" s="464"/>
      <c r="B814" s="488"/>
      <c r="C814" s="489"/>
      <c r="D814" s="464"/>
      <c r="E814" s="464"/>
      <c r="F814" s="490"/>
      <c r="G814" s="491"/>
      <c r="H814" s="492"/>
      <c r="I814" s="164"/>
      <c r="J814" s="493"/>
      <c r="K814" s="481"/>
      <c r="L814" s="464"/>
      <c r="M814" s="164"/>
      <c r="N814" s="494"/>
      <c r="O814" s="493"/>
      <c r="P814" s="495"/>
      <c r="Q814" s="487"/>
      <c r="R814" s="164"/>
      <c r="S814" s="467"/>
      <c r="T814" s="468"/>
      <c r="U814" s="469"/>
      <c r="V814" s="429"/>
      <c r="W814" s="429"/>
      <c r="X814" s="429"/>
      <c r="Y814" s="429"/>
      <c r="Z814" s="429"/>
    </row>
    <row r="815" spans="1:26" ht="18" customHeight="1">
      <c r="A815" s="464"/>
      <c r="B815" s="488"/>
      <c r="C815" s="489"/>
      <c r="D815" s="464"/>
      <c r="E815" s="464"/>
      <c r="F815" s="490"/>
      <c r="G815" s="491"/>
      <c r="H815" s="492"/>
      <c r="I815" s="164"/>
      <c r="J815" s="493"/>
      <c r="K815" s="481"/>
      <c r="L815" s="464"/>
      <c r="M815" s="164"/>
      <c r="N815" s="494"/>
      <c r="O815" s="493"/>
      <c r="P815" s="495"/>
      <c r="Q815" s="487"/>
      <c r="R815" s="164"/>
      <c r="S815" s="467"/>
      <c r="T815" s="468"/>
      <c r="U815" s="469"/>
      <c r="V815" s="429"/>
      <c r="W815" s="429"/>
      <c r="X815" s="429"/>
      <c r="Y815" s="429"/>
      <c r="Z815" s="429"/>
    </row>
    <row r="816" spans="1:26" ht="18" customHeight="1">
      <c r="A816" s="464"/>
      <c r="B816" s="488"/>
      <c r="C816" s="489"/>
      <c r="D816" s="464"/>
      <c r="E816" s="464"/>
      <c r="F816" s="490"/>
      <c r="G816" s="491"/>
      <c r="H816" s="492"/>
      <c r="I816" s="164"/>
      <c r="J816" s="493"/>
      <c r="K816" s="481"/>
      <c r="L816" s="464"/>
      <c r="M816" s="164"/>
      <c r="N816" s="494"/>
      <c r="O816" s="493"/>
      <c r="P816" s="495"/>
      <c r="Q816" s="487"/>
      <c r="R816" s="164"/>
      <c r="S816" s="467"/>
      <c r="T816" s="468"/>
      <c r="U816" s="469"/>
      <c r="V816" s="429"/>
      <c r="W816" s="429"/>
      <c r="X816" s="429"/>
      <c r="Y816" s="429"/>
      <c r="Z816" s="429"/>
    </row>
    <row r="817" spans="1:26" ht="18" customHeight="1">
      <c r="A817" s="464"/>
      <c r="B817" s="488"/>
      <c r="C817" s="489"/>
      <c r="D817" s="464"/>
      <c r="E817" s="464"/>
      <c r="F817" s="490"/>
      <c r="G817" s="491"/>
      <c r="H817" s="492"/>
      <c r="I817" s="164"/>
      <c r="J817" s="493"/>
      <c r="K817" s="481"/>
      <c r="L817" s="464"/>
      <c r="M817" s="164"/>
      <c r="N817" s="494"/>
      <c r="O817" s="493"/>
      <c r="P817" s="495"/>
      <c r="Q817" s="487"/>
      <c r="R817" s="164"/>
      <c r="S817" s="467"/>
      <c r="T817" s="468"/>
      <c r="U817" s="469"/>
      <c r="V817" s="429"/>
      <c r="W817" s="429"/>
      <c r="X817" s="429"/>
      <c r="Y817" s="429"/>
      <c r="Z817" s="429"/>
    </row>
    <row r="818" spans="1:26" ht="18" customHeight="1">
      <c r="A818" s="464"/>
      <c r="B818" s="488"/>
      <c r="C818" s="489"/>
      <c r="D818" s="464"/>
      <c r="E818" s="464"/>
      <c r="F818" s="490"/>
      <c r="G818" s="491"/>
      <c r="H818" s="492"/>
      <c r="I818" s="164"/>
      <c r="J818" s="493"/>
      <c r="K818" s="481"/>
      <c r="L818" s="464"/>
      <c r="M818" s="164"/>
      <c r="N818" s="494"/>
      <c r="O818" s="493"/>
      <c r="P818" s="495"/>
      <c r="Q818" s="487"/>
      <c r="R818" s="164"/>
      <c r="S818" s="467"/>
      <c r="T818" s="468"/>
      <c r="U818" s="469"/>
      <c r="V818" s="429"/>
      <c r="W818" s="429"/>
      <c r="X818" s="429"/>
      <c r="Y818" s="429"/>
      <c r="Z818" s="429"/>
    </row>
    <row r="819" spans="1:26" ht="18" customHeight="1">
      <c r="A819" s="464"/>
      <c r="B819" s="488"/>
      <c r="C819" s="489"/>
      <c r="D819" s="464"/>
      <c r="E819" s="464"/>
      <c r="F819" s="490"/>
      <c r="G819" s="491"/>
      <c r="H819" s="492"/>
      <c r="I819" s="164"/>
      <c r="J819" s="493"/>
      <c r="K819" s="481"/>
      <c r="L819" s="464"/>
      <c r="M819" s="164"/>
      <c r="N819" s="494"/>
      <c r="O819" s="493"/>
      <c r="P819" s="495"/>
      <c r="Q819" s="487"/>
      <c r="R819" s="164"/>
      <c r="S819" s="467"/>
      <c r="T819" s="468"/>
      <c r="U819" s="469"/>
      <c r="V819" s="429"/>
      <c r="W819" s="429"/>
      <c r="X819" s="429"/>
      <c r="Y819" s="429"/>
      <c r="Z819" s="429"/>
    </row>
    <row r="820" spans="1:26" ht="18" customHeight="1">
      <c r="A820" s="464"/>
      <c r="B820" s="488"/>
      <c r="C820" s="489"/>
      <c r="D820" s="464"/>
      <c r="E820" s="464"/>
      <c r="F820" s="490"/>
      <c r="G820" s="491"/>
      <c r="H820" s="492"/>
      <c r="I820" s="164"/>
      <c r="J820" s="493"/>
      <c r="K820" s="481"/>
      <c r="L820" s="464"/>
      <c r="M820" s="164"/>
      <c r="N820" s="494"/>
      <c r="O820" s="493"/>
      <c r="P820" s="495"/>
      <c r="Q820" s="487"/>
      <c r="R820" s="164"/>
      <c r="S820" s="467"/>
      <c r="T820" s="468"/>
      <c r="U820" s="469"/>
      <c r="V820" s="429"/>
      <c r="W820" s="429"/>
      <c r="X820" s="429"/>
      <c r="Y820" s="429"/>
      <c r="Z820" s="429"/>
    </row>
    <row r="821" spans="1:26" ht="18" customHeight="1">
      <c r="A821" s="464"/>
      <c r="B821" s="488"/>
      <c r="C821" s="489"/>
      <c r="D821" s="464"/>
      <c r="E821" s="464"/>
      <c r="F821" s="490"/>
      <c r="G821" s="491"/>
      <c r="H821" s="492"/>
      <c r="I821" s="164"/>
      <c r="J821" s="493"/>
      <c r="K821" s="481"/>
      <c r="L821" s="464"/>
      <c r="M821" s="164"/>
      <c r="N821" s="494"/>
      <c r="O821" s="493"/>
      <c r="P821" s="495"/>
      <c r="Q821" s="487"/>
      <c r="R821" s="164"/>
      <c r="S821" s="467"/>
      <c r="T821" s="468"/>
      <c r="U821" s="469"/>
      <c r="V821" s="429"/>
      <c r="W821" s="429"/>
      <c r="X821" s="429"/>
      <c r="Y821" s="429"/>
      <c r="Z821" s="429"/>
    </row>
    <row r="822" spans="1:26" ht="18" customHeight="1">
      <c r="A822" s="464"/>
      <c r="B822" s="488"/>
      <c r="C822" s="489"/>
      <c r="D822" s="464"/>
      <c r="E822" s="464"/>
      <c r="F822" s="490"/>
      <c r="G822" s="491"/>
      <c r="H822" s="492"/>
      <c r="I822" s="164"/>
      <c r="J822" s="493"/>
      <c r="K822" s="481"/>
      <c r="L822" s="464"/>
      <c r="M822" s="164"/>
      <c r="N822" s="494"/>
      <c r="O822" s="493"/>
      <c r="P822" s="495"/>
      <c r="Q822" s="487"/>
      <c r="R822" s="164"/>
      <c r="S822" s="467"/>
      <c r="T822" s="468"/>
      <c r="U822" s="469"/>
      <c r="V822" s="429"/>
      <c r="W822" s="429"/>
      <c r="X822" s="429"/>
      <c r="Y822" s="429"/>
      <c r="Z822" s="429"/>
    </row>
    <row r="823" spans="1:26" ht="18" customHeight="1">
      <c r="A823" s="464"/>
      <c r="B823" s="488"/>
      <c r="C823" s="489"/>
      <c r="D823" s="464"/>
      <c r="E823" s="464"/>
      <c r="F823" s="490"/>
      <c r="G823" s="491"/>
      <c r="H823" s="492"/>
      <c r="I823" s="164"/>
      <c r="J823" s="493"/>
      <c r="K823" s="481"/>
      <c r="L823" s="464"/>
      <c r="M823" s="164"/>
      <c r="N823" s="494"/>
      <c r="O823" s="493"/>
      <c r="P823" s="495"/>
      <c r="Q823" s="487"/>
      <c r="R823" s="164"/>
      <c r="S823" s="467"/>
      <c r="T823" s="468"/>
      <c r="U823" s="469"/>
      <c r="V823" s="429"/>
      <c r="W823" s="429"/>
      <c r="X823" s="429"/>
      <c r="Y823" s="429"/>
      <c r="Z823" s="429"/>
    </row>
    <row r="824" spans="1:26" ht="18" customHeight="1">
      <c r="A824" s="464"/>
      <c r="B824" s="488"/>
      <c r="C824" s="489"/>
      <c r="D824" s="464"/>
      <c r="E824" s="464"/>
      <c r="F824" s="490"/>
      <c r="G824" s="491"/>
      <c r="H824" s="492"/>
      <c r="I824" s="164"/>
      <c r="J824" s="493"/>
      <c r="K824" s="481"/>
      <c r="L824" s="464"/>
      <c r="M824" s="164"/>
      <c r="N824" s="494"/>
      <c r="O824" s="493"/>
      <c r="P824" s="495"/>
      <c r="Q824" s="487"/>
      <c r="R824" s="164"/>
      <c r="S824" s="467"/>
      <c r="T824" s="468"/>
      <c r="U824" s="469"/>
      <c r="V824" s="429"/>
      <c r="W824" s="429"/>
      <c r="X824" s="429"/>
      <c r="Y824" s="429"/>
      <c r="Z824" s="429"/>
    </row>
    <row r="825" spans="1:26" ht="18" customHeight="1">
      <c r="A825" s="464"/>
      <c r="B825" s="488"/>
      <c r="C825" s="489"/>
      <c r="D825" s="464"/>
      <c r="E825" s="464"/>
      <c r="F825" s="490"/>
      <c r="G825" s="491"/>
      <c r="H825" s="492"/>
      <c r="I825" s="164"/>
      <c r="J825" s="493"/>
      <c r="K825" s="481"/>
      <c r="L825" s="464"/>
      <c r="M825" s="164"/>
      <c r="N825" s="494"/>
      <c r="O825" s="493"/>
      <c r="P825" s="495"/>
      <c r="Q825" s="487"/>
      <c r="R825" s="164"/>
      <c r="S825" s="467"/>
      <c r="T825" s="468"/>
      <c r="U825" s="469"/>
      <c r="V825" s="429"/>
      <c r="W825" s="429"/>
      <c r="X825" s="429"/>
      <c r="Y825" s="429"/>
      <c r="Z825" s="429"/>
    </row>
    <row r="826" spans="1:26" ht="18" customHeight="1">
      <c r="A826" s="464"/>
      <c r="B826" s="488"/>
      <c r="C826" s="489"/>
      <c r="D826" s="464"/>
      <c r="E826" s="464"/>
      <c r="F826" s="490"/>
      <c r="G826" s="491"/>
      <c r="H826" s="492"/>
      <c r="I826" s="164"/>
      <c r="J826" s="493"/>
      <c r="K826" s="481"/>
      <c r="L826" s="464"/>
      <c r="M826" s="164"/>
      <c r="N826" s="494"/>
      <c r="O826" s="493"/>
      <c r="P826" s="495"/>
      <c r="Q826" s="487"/>
      <c r="R826" s="164"/>
      <c r="S826" s="467"/>
      <c r="T826" s="468"/>
      <c r="U826" s="469"/>
      <c r="V826" s="429"/>
      <c r="W826" s="429"/>
      <c r="X826" s="429"/>
      <c r="Y826" s="429"/>
      <c r="Z826" s="429"/>
    </row>
    <row r="827" spans="1:26" ht="18" customHeight="1">
      <c r="A827" s="464"/>
      <c r="B827" s="488"/>
      <c r="C827" s="489"/>
      <c r="D827" s="464"/>
      <c r="E827" s="464"/>
      <c r="F827" s="490"/>
      <c r="G827" s="491"/>
      <c r="H827" s="492"/>
      <c r="I827" s="164"/>
      <c r="J827" s="493"/>
      <c r="K827" s="481"/>
      <c r="L827" s="464"/>
      <c r="M827" s="164"/>
      <c r="N827" s="494"/>
      <c r="O827" s="493"/>
      <c r="P827" s="495"/>
      <c r="Q827" s="487"/>
      <c r="R827" s="164"/>
      <c r="S827" s="467"/>
      <c r="T827" s="468"/>
      <c r="U827" s="469"/>
      <c r="V827" s="429"/>
      <c r="W827" s="429"/>
      <c r="X827" s="429"/>
      <c r="Y827" s="429"/>
      <c r="Z827" s="429"/>
    </row>
    <row r="828" spans="1:26" ht="18" customHeight="1">
      <c r="A828" s="464"/>
      <c r="B828" s="488"/>
      <c r="C828" s="489"/>
      <c r="D828" s="464"/>
      <c r="E828" s="464"/>
      <c r="F828" s="490"/>
      <c r="G828" s="491"/>
      <c r="H828" s="492"/>
      <c r="I828" s="164"/>
      <c r="J828" s="493"/>
      <c r="K828" s="481"/>
      <c r="L828" s="464"/>
      <c r="M828" s="164"/>
      <c r="N828" s="494"/>
      <c r="O828" s="493"/>
      <c r="P828" s="495"/>
      <c r="Q828" s="487"/>
      <c r="R828" s="164"/>
      <c r="S828" s="467"/>
      <c r="T828" s="468"/>
      <c r="U828" s="469"/>
      <c r="V828" s="429"/>
      <c r="W828" s="429"/>
      <c r="X828" s="429"/>
      <c r="Y828" s="429"/>
      <c r="Z828" s="429"/>
    </row>
    <row r="829" spans="1:26" ht="18" customHeight="1">
      <c r="A829" s="464"/>
      <c r="B829" s="488"/>
      <c r="C829" s="489"/>
      <c r="D829" s="464"/>
      <c r="E829" s="464"/>
      <c r="F829" s="490"/>
      <c r="G829" s="491"/>
      <c r="H829" s="492"/>
      <c r="I829" s="164"/>
      <c r="J829" s="493"/>
      <c r="K829" s="481"/>
      <c r="L829" s="464"/>
      <c r="M829" s="164"/>
      <c r="N829" s="494"/>
      <c r="O829" s="493"/>
      <c r="P829" s="495"/>
      <c r="Q829" s="487"/>
      <c r="R829" s="164"/>
      <c r="S829" s="467"/>
      <c r="T829" s="468"/>
      <c r="U829" s="469"/>
      <c r="V829" s="429"/>
      <c r="W829" s="429"/>
      <c r="X829" s="429"/>
      <c r="Y829" s="429"/>
      <c r="Z829" s="429"/>
    </row>
    <row r="830" spans="1:26" ht="18" customHeight="1">
      <c r="A830" s="464"/>
      <c r="B830" s="488"/>
      <c r="C830" s="489"/>
      <c r="D830" s="464"/>
      <c r="E830" s="464"/>
      <c r="F830" s="490"/>
      <c r="G830" s="491"/>
      <c r="H830" s="492"/>
      <c r="I830" s="164"/>
      <c r="J830" s="493"/>
      <c r="K830" s="481"/>
      <c r="L830" s="464"/>
      <c r="M830" s="164"/>
      <c r="N830" s="494"/>
      <c r="O830" s="493"/>
      <c r="P830" s="495"/>
      <c r="Q830" s="487"/>
      <c r="R830" s="164"/>
      <c r="S830" s="467"/>
      <c r="T830" s="468"/>
      <c r="U830" s="469"/>
      <c r="V830" s="429"/>
      <c r="W830" s="429"/>
      <c r="X830" s="429"/>
      <c r="Y830" s="429"/>
      <c r="Z830" s="429"/>
    </row>
    <row r="831" spans="1:26" ht="18" customHeight="1">
      <c r="A831" s="464"/>
      <c r="B831" s="488"/>
      <c r="C831" s="489"/>
      <c r="D831" s="464"/>
      <c r="E831" s="464"/>
      <c r="F831" s="490"/>
      <c r="G831" s="491"/>
      <c r="H831" s="492"/>
      <c r="I831" s="164"/>
      <c r="J831" s="493"/>
      <c r="K831" s="481"/>
      <c r="L831" s="464"/>
      <c r="M831" s="164"/>
      <c r="N831" s="494"/>
      <c r="O831" s="493"/>
      <c r="P831" s="495"/>
      <c r="Q831" s="487"/>
      <c r="R831" s="164"/>
      <c r="S831" s="467"/>
      <c r="T831" s="468"/>
      <c r="U831" s="469"/>
      <c r="V831" s="429"/>
      <c r="W831" s="429"/>
      <c r="X831" s="429"/>
      <c r="Y831" s="429"/>
      <c r="Z831" s="429"/>
    </row>
    <row r="832" spans="1:26" ht="18" customHeight="1">
      <c r="A832" s="464"/>
      <c r="B832" s="488"/>
      <c r="C832" s="489"/>
      <c r="D832" s="464"/>
      <c r="E832" s="464"/>
      <c r="F832" s="490"/>
      <c r="G832" s="491"/>
      <c r="H832" s="492"/>
      <c r="I832" s="164"/>
      <c r="J832" s="493"/>
      <c r="K832" s="481"/>
      <c r="L832" s="464"/>
      <c r="M832" s="164"/>
      <c r="N832" s="494"/>
      <c r="O832" s="493"/>
      <c r="P832" s="495"/>
      <c r="Q832" s="487"/>
      <c r="R832" s="164"/>
      <c r="S832" s="467"/>
      <c r="T832" s="468"/>
      <c r="U832" s="469"/>
      <c r="V832" s="429"/>
      <c r="W832" s="429"/>
      <c r="X832" s="429"/>
      <c r="Y832" s="429"/>
      <c r="Z832" s="429"/>
    </row>
    <row r="833" spans="1:26" ht="18" customHeight="1">
      <c r="A833" s="464"/>
      <c r="B833" s="488"/>
      <c r="C833" s="489"/>
      <c r="D833" s="464"/>
      <c r="E833" s="464"/>
      <c r="F833" s="490"/>
      <c r="G833" s="491"/>
      <c r="H833" s="492"/>
      <c r="I833" s="164"/>
      <c r="J833" s="493"/>
      <c r="K833" s="481"/>
      <c r="L833" s="464"/>
      <c r="M833" s="164"/>
      <c r="N833" s="494"/>
      <c r="O833" s="493"/>
      <c r="P833" s="495"/>
      <c r="Q833" s="487"/>
      <c r="R833" s="164"/>
      <c r="S833" s="467"/>
      <c r="T833" s="468"/>
      <c r="U833" s="469"/>
      <c r="V833" s="429"/>
      <c r="W833" s="429"/>
      <c r="X833" s="429"/>
      <c r="Y833" s="429"/>
      <c r="Z833" s="429"/>
    </row>
    <row r="834" spans="1:26" ht="18" customHeight="1">
      <c r="A834" s="464"/>
      <c r="B834" s="488"/>
      <c r="C834" s="489"/>
      <c r="D834" s="464"/>
      <c r="E834" s="464"/>
      <c r="F834" s="490"/>
      <c r="G834" s="491"/>
      <c r="H834" s="492"/>
      <c r="I834" s="164"/>
      <c r="J834" s="493"/>
      <c r="K834" s="481"/>
      <c r="L834" s="464"/>
      <c r="M834" s="164"/>
      <c r="N834" s="494"/>
      <c r="O834" s="493"/>
      <c r="P834" s="495"/>
      <c r="Q834" s="487"/>
      <c r="R834" s="164"/>
      <c r="S834" s="467"/>
      <c r="T834" s="468"/>
      <c r="U834" s="469"/>
      <c r="V834" s="429"/>
      <c r="W834" s="429"/>
      <c r="X834" s="429"/>
      <c r="Y834" s="429"/>
      <c r="Z834" s="429"/>
    </row>
    <row r="835" spans="1:26" ht="18" customHeight="1">
      <c r="A835" s="464"/>
      <c r="B835" s="488"/>
      <c r="C835" s="489"/>
      <c r="D835" s="464"/>
      <c r="E835" s="464"/>
      <c r="F835" s="490"/>
      <c r="G835" s="491"/>
      <c r="H835" s="492"/>
      <c r="I835" s="164"/>
      <c r="J835" s="493"/>
      <c r="K835" s="481"/>
      <c r="L835" s="464"/>
      <c r="M835" s="164"/>
      <c r="N835" s="494"/>
      <c r="O835" s="493"/>
      <c r="P835" s="495"/>
      <c r="Q835" s="487"/>
      <c r="R835" s="164"/>
      <c r="S835" s="467"/>
      <c r="T835" s="468"/>
      <c r="U835" s="469"/>
      <c r="V835" s="429"/>
      <c r="W835" s="429"/>
      <c r="X835" s="429"/>
      <c r="Y835" s="429"/>
      <c r="Z835" s="429"/>
    </row>
    <row r="836" spans="1:26" ht="18" customHeight="1">
      <c r="A836" s="464"/>
      <c r="B836" s="488"/>
      <c r="C836" s="489"/>
      <c r="D836" s="464"/>
      <c r="E836" s="464"/>
      <c r="F836" s="490"/>
      <c r="G836" s="491"/>
      <c r="H836" s="492"/>
      <c r="I836" s="164"/>
      <c r="J836" s="493"/>
      <c r="K836" s="481"/>
      <c r="L836" s="464"/>
      <c r="M836" s="164"/>
      <c r="N836" s="494"/>
      <c r="O836" s="493"/>
      <c r="P836" s="495"/>
      <c r="Q836" s="487"/>
      <c r="R836" s="164"/>
      <c r="S836" s="467"/>
      <c r="T836" s="468"/>
      <c r="U836" s="469"/>
      <c r="V836" s="429"/>
      <c r="W836" s="429"/>
      <c r="X836" s="429"/>
      <c r="Y836" s="429"/>
      <c r="Z836" s="429"/>
    </row>
    <row r="837" spans="1:26" ht="18" customHeight="1">
      <c r="A837" s="464"/>
      <c r="B837" s="488"/>
      <c r="C837" s="489"/>
      <c r="D837" s="464"/>
      <c r="E837" s="464"/>
      <c r="F837" s="490"/>
      <c r="G837" s="491"/>
      <c r="H837" s="492"/>
      <c r="I837" s="164"/>
      <c r="J837" s="493"/>
      <c r="K837" s="481"/>
      <c r="L837" s="464"/>
      <c r="M837" s="164"/>
      <c r="N837" s="494"/>
      <c r="O837" s="493"/>
      <c r="P837" s="495"/>
      <c r="Q837" s="487"/>
      <c r="R837" s="164"/>
      <c r="S837" s="467"/>
      <c r="T837" s="468"/>
      <c r="U837" s="469"/>
      <c r="V837" s="429"/>
      <c r="W837" s="429"/>
      <c r="X837" s="429"/>
      <c r="Y837" s="429"/>
      <c r="Z837" s="429"/>
    </row>
    <row r="838" spans="1:26" ht="18" customHeight="1">
      <c r="A838" s="464"/>
      <c r="B838" s="488"/>
      <c r="C838" s="489"/>
      <c r="D838" s="464"/>
      <c r="E838" s="464"/>
      <c r="F838" s="490"/>
      <c r="G838" s="491"/>
      <c r="H838" s="492"/>
      <c r="I838" s="164"/>
      <c r="J838" s="493"/>
      <c r="K838" s="481"/>
      <c r="L838" s="464"/>
      <c r="M838" s="164"/>
      <c r="N838" s="494"/>
      <c r="O838" s="493"/>
      <c r="P838" s="495"/>
      <c r="Q838" s="487"/>
      <c r="R838" s="164"/>
      <c r="S838" s="467"/>
      <c r="T838" s="468"/>
      <c r="U838" s="469"/>
      <c r="V838" s="429"/>
      <c r="W838" s="429"/>
      <c r="X838" s="429"/>
      <c r="Y838" s="429"/>
      <c r="Z838" s="429"/>
    </row>
    <row r="839" spans="1:26" ht="18" customHeight="1">
      <c r="A839" s="464"/>
      <c r="B839" s="488"/>
      <c r="C839" s="489"/>
      <c r="D839" s="464"/>
      <c r="E839" s="464"/>
      <c r="F839" s="490"/>
      <c r="G839" s="491"/>
      <c r="H839" s="492"/>
      <c r="I839" s="164"/>
      <c r="J839" s="493"/>
      <c r="K839" s="481"/>
      <c r="L839" s="464"/>
      <c r="M839" s="164"/>
      <c r="N839" s="494"/>
      <c r="O839" s="493"/>
      <c r="P839" s="495"/>
      <c r="Q839" s="487"/>
      <c r="R839" s="164"/>
      <c r="S839" s="467"/>
      <c r="T839" s="468"/>
      <c r="U839" s="469"/>
      <c r="V839" s="429"/>
      <c r="W839" s="429"/>
      <c r="X839" s="429"/>
      <c r="Y839" s="429"/>
      <c r="Z839" s="429"/>
    </row>
    <row r="840" spans="1:26" ht="18" customHeight="1">
      <c r="A840" s="464"/>
      <c r="B840" s="488"/>
      <c r="C840" s="489"/>
      <c r="D840" s="464"/>
      <c r="E840" s="464"/>
      <c r="F840" s="490"/>
      <c r="G840" s="491"/>
      <c r="H840" s="492"/>
      <c r="I840" s="164"/>
      <c r="J840" s="493"/>
      <c r="K840" s="481"/>
      <c r="L840" s="464"/>
      <c r="M840" s="164"/>
      <c r="N840" s="494"/>
      <c r="O840" s="493"/>
      <c r="P840" s="495"/>
      <c r="Q840" s="487"/>
      <c r="R840" s="164"/>
      <c r="S840" s="467"/>
      <c r="T840" s="468"/>
      <c r="U840" s="469"/>
      <c r="V840" s="429"/>
      <c r="W840" s="429"/>
      <c r="X840" s="429"/>
      <c r="Y840" s="429"/>
      <c r="Z840" s="429"/>
    </row>
    <row r="841" spans="1:26" ht="18" customHeight="1">
      <c r="A841" s="464"/>
      <c r="B841" s="488"/>
      <c r="C841" s="489"/>
      <c r="D841" s="464"/>
      <c r="E841" s="464"/>
      <c r="F841" s="490"/>
      <c r="G841" s="491"/>
      <c r="H841" s="492"/>
      <c r="I841" s="164"/>
      <c r="J841" s="493"/>
      <c r="K841" s="481"/>
      <c r="L841" s="464"/>
      <c r="M841" s="164"/>
      <c r="N841" s="494"/>
      <c r="O841" s="493"/>
      <c r="P841" s="495"/>
      <c r="Q841" s="487"/>
      <c r="R841" s="164"/>
      <c r="S841" s="467"/>
      <c r="T841" s="468"/>
      <c r="U841" s="469"/>
      <c r="V841" s="429"/>
      <c r="W841" s="429"/>
      <c r="X841" s="429"/>
      <c r="Y841" s="429"/>
      <c r="Z841" s="429"/>
    </row>
    <row r="842" spans="1:26" ht="18" customHeight="1">
      <c r="A842" s="464"/>
      <c r="B842" s="488"/>
      <c r="C842" s="489"/>
      <c r="D842" s="464"/>
      <c r="E842" s="464"/>
      <c r="F842" s="490"/>
      <c r="G842" s="491"/>
      <c r="H842" s="492"/>
      <c r="I842" s="164"/>
      <c r="J842" s="493"/>
      <c r="K842" s="481"/>
      <c r="L842" s="464"/>
      <c r="M842" s="164"/>
      <c r="N842" s="494"/>
      <c r="O842" s="493"/>
      <c r="P842" s="495"/>
      <c r="Q842" s="487"/>
      <c r="R842" s="164"/>
      <c r="S842" s="467"/>
      <c r="T842" s="468"/>
      <c r="U842" s="469"/>
      <c r="V842" s="429"/>
      <c r="W842" s="429"/>
      <c r="X842" s="429"/>
      <c r="Y842" s="429"/>
      <c r="Z842" s="429"/>
    </row>
    <row r="843" spans="1:26" ht="18" customHeight="1">
      <c r="A843" s="464"/>
      <c r="B843" s="488"/>
      <c r="C843" s="489"/>
      <c r="D843" s="464"/>
      <c r="E843" s="464"/>
      <c r="F843" s="490"/>
      <c r="G843" s="491"/>
      <c r="H843" s="492"/>
      <c r="I843" s="164"/>
      <c r="J843" s="493"/>
      <c r="K843" s="481"/>
      <c r="L843" s="464"/>
      <c r="M843" s="164"/>
      <c r="N843" s="494"/>
      <c r="O843" s="493"/>
      <c r="P843" s="495"/>
      <c r="Q843" s="487"/>
      <c r="R843" s="164"/>
      <c r="S843" s="467"/>
      <c r="T843" s="468"/>
      <c r="U843" s="469"/>
      <c r="V843" s="429"/>
      <c r="W843" s="429"/>
      <c r="X843" s="429"/>
      <c r="Y843" s="429"/>
      <c r="Z843" s="429"/>
    </row>
    <row r="844" spans="1:26" ht="18" customHeight="1">
      <c r="A844" s="464"/>
      <c r="B844" s="488"/>
      <c r="C844" s="489"/>
      <c r="D844" s="464"/>
      <c r="E844" s="464"/>
      <c r="F844" s="490"/>
      <c r="G844" s="491"/>
      <c r="H844" s="492"/>
      <c r="I844" s="164"/>
      <c r="J844" s="493"/>
      <c r="K844" s="481"/>
      <c r="L844" s="464"/>
      <c r="M844" s="164"/>
      <c r="N844" s="494"/>
      <c r="O844" s="493"/>
      <c r="P844" s="495"/>
      <c r="Q844" s="487"/>
      <c r="R844" s="164"/>
      <c r="S844" s="467"/>
      <c r="T844" s="468"/>
      <c r="U844" s="469"/>
      <c r="V844" s="429"/>
      <c r="W844" s="429"/>
      <c r="X844" s="429"/>
      <c r="Y844" s="429"/>
      <c r="Z844" s="429"/>
    </row>
    <row r="845" spans="1:26" ht="18" customHeight="1">
      <c r="A845" s="464"/>
      <c r="B845" s="488"/>
      <c r="C845" s="489"/>
      <c r="D845" s="464"/>
      <c r="E845" s="464"/>
      <c r="F845" s="490"/>
      <c r="G845" s="491"/>
      <c r="H845" s="492"/>
      <c r="I845" s="164"/>
      <c r="J845" s="493"/>
      <c r="K845" s="481"/>
      <c r="L845" s="464"/>
      <c r="M845" s="164"/>
      <c r="N845" s="494"/>
      <c r="O845" s="493"/>
      <c r="P845" s="495"/>
      <c r="Q845" s="487"/>
      <c r="R845" s="164"/>
      <c r="S845" s="467"/>
      <c r="T845" s="468"/>
      <c r="U845" s="469"/>
      <c r="V845" s="429"/>
      <c r="W845" s="429"/>
      <c r="X845" s="429"/>
      <c r="Y845" s="429"/>
      <c r="Z845" s="429"/>
    </row>
    <row r="846" spans="1:26" ht="18" customHeight="1">
      <c r="A846" s="464"/>
      <c r="B846" s="488"/>
      <c r="C846" s="489"/>
      <c r="D846" s="464"/>
      <c r="E846" s="464"/>
      <c r="F846" s="490"/>
      <c r="G846" s="491"/>
      <c r="H846" s="492"/>
      <c r="I846" s="164"/>
      <c r="J846" s="493"/>
      <c r="K846" s="481"/>
      <c r="L846" s="464"/>
      <c r="M846" s="164"/>
      <c r="N846" s="494"/>
      <c r="O846" s="493"/>
      <c r="P846" s="495"/>
      <c r="Q846" s="487"/>
      <c r="R846" s="164"/>
      <c r="S846" s="467"/>
      <c r="T846" s="468"/>
      <c r="U846" s="469"/>
      <c r="V846" s="429"/>
      <c r="W846" s="429"/>
      <c r="X846" s="429"/>
      <c r="Y846" s="429"/>
      <c r="Z846" s="429"/>
    </row>
    <row r="847" spans="1:26" ht="18" customHeight="1">
      <c r="A847" s="464"/>
      <c r="B847" s="488"/>
      <c r="C847" s="489"/>
      <c r="D847" s="464"/>
      <c r="E847" s="464"/>
      <c r="F847" s="490"/>
      <c r="G847" s="491"/>
      <c r="H847" s="492"/>
      <c r="I847" s="164"/>
      <c r="J847" s="493"/>
      <c r="K847" s="481"/>
      <c r="L847" s="464"/>
      <c r="M847" s="164"/>
      <c r="N847" s="494"/>
      <c r="O847" s="493"/>
      <c r="P847" s="495"/>
      <c r="Q847" s="487"/>
      <c r="R847" s="164"/>
      <c r="S847" s="467"/>
      <c r="T847" s="468"/>
      <c r="U847" s="469"/>
      <c r="V847" s="429"/>
      <c r="W847" s="429"/>
      <c r="X847" s="429"/>
      <c r="Y847" s="429"/>
      <c r="Z847" s="429"/>
    </row>
    <row r="848" spans="1:26" ht="18" customHeight="1">
      <c r="A848" s="464"/>
      <c r="B848" s="488"/>
      <c r="C848" s="489"/>
      <c r="D848" s="464"/>
      <c r="E848" s="464"/>
      <c r="F848" s="490"/>
      <c r="G848" s="491"/>
      <c r="H848" s="492"/>
      <c r="I848" s="164"/>
      <c r="J848" s="493"/>
      <c r="K848" s="481"/>
      <c r="L848" s="464"/>
      <c r="M848" s="164"/>
      <c r="N848" s="494"/>
      <c r="O848" s="493"/>
      <c r="P848" s="495"/>
      <c r="Q848" s="487"/>
      <c r="R848" s="164"/>
      <c r="S848" s="467"/>
      <c r="T848" s="468"/>
      <c r="U848" s="469"/>
      <c r="V848" s="429"/>
      <c r="W848" s="429"/>
      <c r="X848" s="429"/>
      <c r="Y848" s="429"/>
      <c r="Z848" s="429"/>
    </row>
    <row r="849" spans="1:26" ht="18" customHeight="1">
      <c r="A849" s="464"/>
      <c r="B849" s="488"/>
      <c r="C849" s="489"/>
      <c r="D849" s="464"/>
      <c r="E849" s="464"/>
      <c r="F849" s="490"/>
      <c r="G849" s="491"/>
      <c r="H849" s="492"/>
      <c r="I849" s="164"/>
      <c r="J849" s="493"/>
      <c r="K849" s="481"/>
      <c r="L849" s="464"/>
      <c r="M849" s="164"/>
      <c r="N849" s="494"/>
      <c r="O849" s="493"/>
      <c r="P849" s="495"/>
      <c r="Q849" s="487"/>
      <c r="R849" s="164"/>
      <c r="S849" s="467"/>
      <c r="T849" s="468"/>
      <c r="U849" s="469"/>
      <c r="V849" s="429"/>
      <c r="W849" s="429"/>
      <c r="X849" s="429"/>
      <c r="Y849" s="429"/>
      <c r="Z849" s="429"/>
    </row>
    <row r="850" spans="1:26" ht="18" customHeight="1">
      <c r="A850" s="464"/>
      <c r="B850" s="488"/>
      <c r="C850" s="489"/>
      <c r="D850" s="464"/>
      <c r="E850" s="464"/>
      <c r="F850" s="490"/>
      <c r="G850" s="491"/>
      <c r="H850" s="492"/>
      <c r="I850" s="164"/>
      <c r="J850" s="493"/>
      <c r="K850" s="481"/>
      <c r="L850" s="464"/>
      <c r="M850" s="164"/>
      <c r="N850" s="494"/>
      <c r="O850" s="493"/>
      <c r="P850" s="495"/>
      <c r="Q850" s="487"/>
      <c r="R850" s="164"/>
      <c r="S850" s="467"/>
      <c r="T850" s="468"/>
      <c r="U850" s="469"/>
      <c r="V850" s="429"/>
      <c r="W850" s="429"/>
      <c r="X850" s="429"/>
      <c r="Y850" s="429"/>
      <c r="Z850" s="429"/>
    </row>
    <row r="851" spans="1:26" ht="18" customHeight="1">
      <c r="A851" s="464"/>
      <c r="B851" s="488"/>
      <c r="C851" s="489"/>
      <c r="D851" s="464"/>
      <c r="E851" s="464"/>
      <c r="F851" s="490"/>
      <c r="G851" s="491"/>
      <c r="H851" s="492"/>
      <c r="I851" s="164"/>
      <c r="J851" s="493"/>
      <c r="K851" s="481"/>
      <c r="L851" s="464"/>
      <c r="M851" s="164"/>
      <c r="N851" s="494"/>
      <c r="O851" s="493"/>
      <c r="P851" s="495"/>
      <c r="Q851" s="487"/>
      <c r="R851" s="164"/>
      <c r="S851" s="467"/>
      <c r="T851" s="468"/>
      <c r="U851" s="469"/>
      <c r="V851" s="429"/>
      <c r="W851" s="429"/>
      <c r="X851" s="429"/>
      <c r="Y851" s="429"/>
      <c r="Z851" s="429"/>
    </row>
    <row r="852" spans="1:26" ht="18" customHeight="1">
      <c r="A852" s="464"/>
      <c r="B852" s="488"/>
      <c r="C852" s="489"/>
      <c r="D852" s="464"/>
      <c r="E852" s="464"/>
      <c r="F852" s="490"/>
      <c r="G852" s="491"/>
      <c r="H852" s="492"/>
      <c r="I852" s="164"/>
      <c r="J852" s="493"/>
      <c r="K852" s="481"/>
      <c r="L852" s="464"/>
      <c r="M852" s="164"/>
      <c r="N852" s="494"/>
      <c r="O852" s="493"/>
      <c r="P852" s="495"/>
      <c r="Q852" s="487"/>
      <c r="R852" s="164"/>
      <c r="S852" s="467"/>
      <c r="T852" s="468"/>
      <c r="U852" s="469"/>
      <c r="V852" s="429"/>
      <c r="W852" s="429"/>
      <c r="X852" s="429"/>
      <c r="Y852" s="429"/>
      <c r="Z852" s="429"/>
    </row>
    <row r="853" spans="1:26" ht="18" customHeight="1">
      <c r="A853" s="464"/>
      <c r="B853" s="488"/>
      <c r="C853" s="489"/>
      <c r="D853" s="464"/>
      <c r="E853" s="464"/>
      <c r="F853" s="490"/>
      <c r="G853" s="491"/>
      <c r="H853" s="492"/>
      <c r="I853" s="164"/>
      <c r="J853" s="493"/>
      <c r="K853" s="481"/>
      <c r="L853" s="464"/>
      <c r="M853" s="164"/>
      <c r="N853" s="494"/>
      <c r="O853" s="493"/>
      <c r="P853" s="495"/>
      <c r="Q853" s="487"/>
      <c r="R853" s="164"/>
      <c r="S853" s="467"/>
      <c r="T853" s="468"/>
      <c r="U853" s="469"/>
      <c r="V853" s="429"/>
      <c r="W853" s="429"/>
      <c r="X853" s="429"/>
      <c r="Y853" s="429"/>
      <c r="Z853" s="429"/>
    </row>
    <row r="854" spans="1:26" ht="18" customHeight="1">
      <c r="A854" s="464"/>
      <c r="B854" s="488"/>
      <c r="C854" s="489"/>
      <c r="D854" s="464"/>
      <c r="E854" s="464"/>
      <c r="F854" s="490"/>
      <c r="G854" s="491"/>
      <c r="H854" s="492"/>
      <c r="I854" s="164"/>
      <c r="J854" s="493"/>
      <c r="K854" s="481"/>
      <c r="L854" s="464"/>
      <c r="M854" s="164"/>
      <c r="N854" s="494"/>
      <c r="O854" s="493"/>
      <c r="P854" s="495"/>
      <c r="Q854" s="487"/>
      <c r="R854" s="164"/>
      <c r="S854" s="467"/>
      <c r="T854" s="468"/>
      <c r="U854" s="469"/>
      <c r="V854" s="429"/>
      <c r="W854" s="429"/>
      <c r="X854" s="429"/>
      <c r="Y854" s="429"/>
      <c r="Z854" s="429"/>
    </row>
    <row r="855" spans="1:26" ht="18" customHeight="1">
      <c r="A855" s="464"/>
      <c r="B855" s="488"/>
      <c r="C855" s="489"/>
      <c r="D855" s="464"/>
      <c r="E855" s="464"/>
      <c r="F855" s="490"/>
      <c r="G855" s="491"/>
      <c r="H855" s="492"/>
      <c r="I855" s="164"/>
      <c r="J855" s="493"/>
      <c r="K855" s="481"/>
      <c r="L855" s="464"/>
      <c r="M855" s="164"/>
      <c r="N855" s="494"/>
      <c r="O855" s="493"/>
      <c r="P855" s="495"/>
      <c r="Q855" s="487"/>
      <c r="R855" s="164"/>
      <c r="S855" s="467"/>
      <c r="T855" s="468"/>
      <c r="U855" s="469"/>
      <c r="V855" s="429"/>
      <c r="W855" s="429"/>
      <c r="X855" s="429"/>
      <c r="Y855" s="429"/>
      <c r="Z855" s="429"/>
    </row>
    <row r="856" spans="1:26" ht="18" customHeight="1">
      <c r="A856" s="464"/>
      <c r="B856" s="488"/>
      <c r="C856" s="489"/>
      <c r="D856" s="464"/>
      <c r="E856" s="464"/>
      <c r="F856" s="490"/>
      <c r="G856" s="491"/>
      <c r="H856" s="492"/>
      <c r="I856" s="164"/>
      <c r="J856" s="493"/>
      <c r="K856" s="481"/>
      <c r="L856" s="464"/>
      <c r="M856" s="164"/>
      <c r="N856" s="494"/>
      <c r="O856" s="493"/>
      <c r="P856" s="495"/>
      <c r="Q856" s="487"/>
      <c r="R856" s="164"/>
      <c r="S856" s="467"/>
      <c r="T856" s="468"/>
      <c r="U856" s="469"/>
      <c r="V856" s="429"/>
      <c r="W856" s="429"/>
      <c r="X856" s="429"/>
      <c r="Y856" s="429"/>
      <c r="Z856" s="429"/>
    </row>
    <row r="857" spans="1:26" ht="18" customHeight="1">
      <c r="A857" s="464"/>
      <c r="B857" s="488"/>
      <c r="C857" s="489"/>
      <c r="D857" s="464"/>
      <c r="E857" s="464"/>
      <c r="F857" s="490"/>
      <c r="G857" s="491"/>
      <c r="H857" s="492"/>
      <c r="I857" s="164"/>
      <c r="J857" s="493"/>
      <c r="K857" s="481"/>
      <c r="L857" s="464"/>
      <c r="M857" s="164"/>
      <c r="N857" s="494"/>
      <c r="O857" s="493"/>
      <c r="P857" s="495"/>
      <c r="Q857" s="487"/>
      <c r="R857" s="164"/>
      <c r="S857" s="467"/>
      <c r="T857" s="468"/>
      <c r="U857" s="469"/>
      <c r="V857" s="429"/>
      <c r="W857" s="429"/>
      <c r="X857" s="429"/>
      <c r="Y857" s="429"/>
      <c r="Z857" s="429"/>
    </row>
    <row r="858" spans="1:26" ht="18" customHeight="1">
      <c r="A858" s="464"/>
      <c r="B858" s="488"/>
      <c r="C858" s="489"/>
      <c r="D858" s="464"/>
      <c r="E858" s="464"/>
      <c r="F858" s="490"/>
      <c r="G858" s="491"/>
      <c r="H858" s="492"/>
      <c r="I858" s="164"/>
      <c r="J858" s="493"/>
      <c r="K858" s="481"/>
      <c r="L858" s="464"/>
      <c r="M858" s="164"/>
      <c r="N858" s="494"/>
      <c r="O858" s="493"/>
      <c r="P858" s="495"/>
      <c r="Q858" s="487"/>
      <c r="R858" s="164"/>
      <c r="S858" s="467"/>
      <c r="T858" s="468"/>
      <c r="U858" s="469"/>
      <c r="V858" s="429"/>
      <c r="W858" s="429"/>
      <c r="X858" s="429"/>
      <c r="Y858" s="429"/>
      <c r="Z858" s="429"/>
    </row>
    <row r="859" spans="1:26" ht="18" customHeight="1">
      <c r="A859" s="464"/>
      <c r="B859" s="488"/>
      <c r="C859" s="489"/>
      <c r="D859" s="464"/>
      <c r="E859" s="464"/>
      <c r="F859" s="490"/>
      <c r="G859" s="491"/>
      <c r="H859" s="492"/>
      <c r="I859" s="164"/>
      <c r="J859" s="493"/>
      <c r="K859" s="481"/>
      <c r="L859" s="464"/>
      <c r="M859" s="164"/>
      <c r="N859" s="494"/>
      <c r="O859" s="493"/>
      <c r="P859" s="495"/>
      <c r="Q859" s="487"/>
      <c r="R859" s="164"/>
      <c r="S859" s="467"/>
      <c r="T859" s="468"/>
      <c r="U859" s="469"/>
      <c r="V859" s="429"/>
      <c r="W859" s="429"/>
      <c r="X859" s="429"/>
      <c r="Y859" s="429"/>
      <c r="Z859" s="429"/>
    </row>
    <row r="860" spans="1:26" ht="18" customHeight="1">
      <c r="A860" s="464"/>
      <c r="B860" s="488"/>
      <c r="C860" s="489"/>
      <c r="D860" s="464"/>
      <c r="E860" s="464"/>
      <c r="F860" s="490"/>
      <c r="G860" s="491"/>
      <c r="H860" s="492"/>
      <c r="I860" s="164"/>
      <c r="J860" s="493"/>
      <c r="K860" s="481"/>
      <c r="L860" s="464"/>
      <c r="M860" s="164"/>
      <c r="N860" s="494"/>
      <c r="O860" s="493"/>
      <c r="P860" s="495"/>
      <c r="Q860" s="487"/>
      <c r="R860" s="164"/>
      <c r="S860" s="467"/>
      <c r="T860" s="468"/>
      <c r="U860" s="469"/>
      <c r="V860" s="429"/>
      <c r="W860" s="429"/>
      <c r="X860" s="429"/>
      <c r="Y860" s="429"/>
      <c r="Z860" s="429"/>
    </row>
    <row r="861" spans="1:26" ht="18" customHeight="1">
      <c r="A861" s="464"/>
      <c r="B861" s="488"/>
      <c r="C861" s="489"/>
      <c r="D861" s="464"/>
      <c r="E861" s="464"/>
      <c r="F861" s="490"/>
      <c r="G861" s="491"/>
      <c r="H861" s="492"/>
      <c r="I861" s="164"/>
      <c r="J861" s="493"/>
      <c r="K861" s="481"/>
      <c r="L861" s="464"/>
      <c r="M861" s="164"/>
      <c r="N861" s="494"/>
      <c r="O861" s="493"/>
      <c r="P861" s="495"/>
      <c r="Q861" s="487"/>
      <c r="R861" s="164"/>
      <c r="S861" s="467"/>
      <c r="T861" s="468"/>
      <c r="U861" s="469"/>
      <c r="V861" s="429"/>
      <c r="W861" s="429"/>
      <c r="X861" s="429"/>
      <c r="Y861" s="429"/>
      <c r="Z861" s="429"/>
    </row>
    <row r="862" spans="1:26" ht="18" customHeight="1">
      <c r="A862" s="464"/>
      <c r="B862" s="488"/>
      <c r="C862" s="489"/>
      <c r="D862" s="464"/>
      <c r="E862" s="464"/>
      <c r="F862" s="490"/>
      <c r="G862" s="491"/>
      <c r="H862" s="492"/>
      <c r="I862" s="164"/>
      <c r="J862" s="493"/>
      <c r="K862" s="481"/>
      <c r="L862" s="464"/>
      <c r="M862" s="164"/>
      <c r="N862" s="494"/>
      <c r="O862" s="493"/>
      <c r="P862" s="495"/>
      <c r="Q862" s="487"/>
      <c r="R862" s="164"/>
      <c r="S862" s="467"/>
      <c r="T862" s="468"/>
      <c r="U862" s="469"/>
      <c r="V862" s="429"/>
      <c r="W862" s="429"/>
      <c r="X862" s="429"/>
      <c r="Y862" s="429"/>
      <c r="Z862" s="429"/>
    </row>
    <row r="863" spans="1:26" ht="18" customHeight="1">
      <c r="A863" s="464"/>
      <c r="B863" s="488"/>
      <c r="C863" s="489"/>
      <c r="D863" s="464"/>
      <c r="E863" s="464"/>
      <c r="F863" s="490"/>
      <c r="G863" s="491"/>
      <c r="H863" s="492"/>
      <c r="I863" s="164"/>
      <c r="J863" s="493"/>
      <c r="K863" s="481"/>
      <c r="L863" s="464"/>
      <c r="M863" s="164"/>
      <c r="N863" s="494"/>
      <c r="O863" s="493"/>
      <c r="P863" s="495"/>
      <c r="Q863" s="487"/>
      <c r="R863" s="164"/>
      <c r="S863" s="467"/>
      <c r="T863" s="468"/>
      <c r="U863" s="469"/>
      <c r="V863" s="429"/>
      <c r="W863" s="429"/>
      <c r="X863" s="429"/>
      <c r="Y863" s="429"/>
      <c r="Z863" s="429"/>
    </row>
    <row r="864" spans="1:26" ht="18" customHeight="1">
      <c r="A864" s="464"/>
      <c r="B864" s="488"/>
      <c r="C864" s="489"/>
      <c r="D864" s="464"/>
      <c r="E864" s="464"/>
      <c r="F864" s="490"/>
      <c r="G864" s="491"/>
      <c r="H864" s="492"/>
      <c r="I864" s="164"/>
      <c r="J864" s="493"/>
      <c r="K864" s="481"/>
      <c r="L864" s="464"/>
      <c r="M864" s="164"/>
      <c r="N864" s="494"/>
      <c r="O864" s="493"/>
      <c r="P864" s="495"/>
      <c r="Q864" s="487"/>
      <c r="R864" s="164"/>
      <c r="S864" s="467"/>
      <c r="T864" s="468"/>
      <c r="U864" s="469"/>
      <c r="V864" s="429"/>
      <c r="W864" s="429"/>
      <c r="X864" s="429"/>
      <c r="Y864" s="429"/>
      <c r="Z864" s="429"/>
    </row>
    <row r="865" spans="1:26" ht="18" customHeight="1">
      <c r="A865" s="464"/>
      <c r="B865" s="488"/>
      <c r="C865" s="489"/>
      <c r="D865" s="464"/>
      <c r="E865" s="464"/>
      <c r="F865" s="490"/>
      <c r="G865" s="491"/>
      <c r="H865" s="492"/>
      <c r="I865" s="164"/>
      <c r="J865" s="493"/>
      <c r="K865" s="481"/>
      <c r="L865" s="464"/>
      <c r="M865" s="164"/>
      <c r="N865" s="494"/>
      <c r="O865" s="493"/>
      <c r="P865" s="495"/>
      <c r="Q865" s="487"/>
      <c r="R865" s="164"/>
      <c r="S865" s="467"/>
      <c r="T865" s="468"/>
      <c r="U865" s="469"/>
      <c r="V865" s="429"/>
      <c r="W865" s="429"/>
      <c r="X865" s="429"/>
      <c r="Y865" s="429"/>
      <c r="Z865" s="429"/>
    </row>
    <row r="866" spans="1:26" ht="18" customHeight="1">
      <c r="A866" s="464"/>
      <c r="B866" s="488"/>
      <c r="C866" s="489"/>
      <c r="D866" s="464"/>
      <c r="E866" s="464"/>
      <c r="F866" s="490"/>
      <c r="G866" s="491"/>
      <c r="H866" s="492"/>
      <c r="I866" s="164"/>
      <c r="J866" s="493"/>
      <c r="K866" s="481"/>
      <c r="L866" s="464"/>
      <c r="M866" s="164"/>
      <c r="N866" s="494"/>
      <c r="O866" s="493"/>
      <c r="P866" s="495"/>
      <c r="Q866" s="487"/>
      <c r="R866" s="164"/>
      <c r="S866" s="467"/>
      <c r="T866" s="468"/>
      <c r="U866" s="469"/>
      <c r="V866" s="429"/>
      <c r="W866" s="429"/>
      <c r="X866" s="429"/>
      <c r="Y866" s="429"/>
      <c r="Z866" s="429"/>
    </row>
    <row r="867" spans="1:26" ht="18" customHeight="1">
      <c r="A867" s="464"/>
      <c r="B867" s="488"/>
      <c r="C867" s="489"/>
      <c r="D867" s="464"/>
      <c r="E867" s="464"/>
      <c r="F867" s="490"/>
      <c r="G867" s="491"/>
      <c r="H867" s="492"/>
      <c r="I867" s="164"/>
      <c r="J867" s="493"/>
      <c r="K867" s="481"/>
      <c r="L867" s="464"/>
      <c r="M867" s="164"/>
      <c r="N867" s="494"/>
      <c r="O867" s="493"/>
      <c r="P867" s="495"/>
      <c r="Q867" s="487"/>
      <c r="R867" s="164"/>
      <c r="S867" s="467"/>
      <c r="T867" s="468"/>
      <c r="U867" s="469"/>
      <c r="V867" s="429"/>
      <c r="W867" s="429"/>
      <c r="X867" s="429"/>
      <c r="Y867" s="429"/>
      <c r="Z867" s="429"/>
    </row>
    <row r="868" spans="1:26" ht="18" customHeight="1">
      <c r="A868" s="464"/>
      <c r="B868" s="488"/>
      <c r="C868" s="489"/>
      <c r="D868" s="464"/>
      <c r="E868" s="464"/>
      <c r="F868" s="490"/>
      <c r="G868" s="491"/>
      <c r="H868" s="492"/>
      <c r="I868" s="164"/>
      <c r="J868" s="493"/>
      <c r="K868" s="481"/>
      <c r="L868" s="464"/>
      <c r="M868" s="164"/>
      <c r="N868" s="494"/>
      <c r="O868" s="493"/>
      <c r="P868" s="495"/>
      <c r="Q868" s="487"/>
      <c r="R868" s="164"/>
      <c r="S868" s="467"/>
      <c r="T868" s="468"/>
      <c r="U868" s="469"/>
      <c r="V868" s="429"/>
      <c r="W868" s="429"/>
      <c r="X868" s="429"/>
      <c r="Y868" s="429"/>
      <c r="Z868" s="429"/>
    </row>
    <row r="869" spans="1:26" ht="18" customHeight="1">
      <c r="A869" s="464"/>
      <c r="B869" s="488"/>
      <c r="C869" s="489"/>
      <c r="D869" s="464"/>
      <c r="E869" s="464"/>
      <c r="F869" s="490"/>
      <c r="G869" s="491"/>
      <c r="H869" s="492"/>
      <c r="I869" s="164"/>
      <c r="J869" s="493"/>
      <c r="K869" s="481"/>
      <c r="L869" s="464"/>
      <c r="M869" s="164"/>
      <c r="N869" s="494"/>
      <c r="O869" s="493"/>
      <c r="P869" s="495"/>
      <c r="Q869" s="487"/>
      <c r="R869" s="164"/>
      <c r="S869" s="467"/>
      <c r="T869" s="468"/>
      <c r="U869" s="469"/>
      <c r="V869" s="429"/>
      <c r="W869" s="429"/>
      <c r="X869" s="429"/>
      <c r="Y869" s="429"/>
      <c r="Z869" s="429"/>
    </row>
    <row r="870" spans="1:26" ht="18" customHeight="1">
      <c r="A870" s="464"/>
      <c r="B870" s="488"/>
      <c r="C870" s="489"/>
      <c r="D870" s="464"/>
      <c r="E870" s="464"/>
      <c r="F870" s="490"/>
      <c r="G870" s="491"/>
      <c r="H870" s="492"/>
      <c r="I870" s="164"/>
      <c r="J870" s="493"/>
      <c r="K870" s="481"/>
      <c r="L870" s="464"/>
      <c r="M870" s="164"/>
      <c r="N870" s="494"/>
      <c r="O870" s="493"/>
      <c r="P870" s="495"/>
      <c r="Q870" s="487"/>
      <c r="R870" s="164"/>
      <c r="S870" s="467"/>
      <c r="T870" s="468"/>
      <c r="U870" s="469"/>
      <c r="V870" s="429"/>
      <c r="W870" s="429"/>
      <c r="X870" s="429"/>
      <c r="Y870" s="429"/>
      <c r="Z870" s="429"/>
    </row>
    <row r="871" spans="1:26" ht="18" customHeight="1">
      <c r="A871" s="464"/>
      <c r="B871" s="488"/>
      <c r="C871" s="489"/>
      <c r="D871" s="464"/>
      <c r="E871" s="464"/>
      <c r="F871" s="490"/>
      <c r="G871" s="491"/>
      <c r="H871" s="492"/>
      <c r="I871" s="164"/>
      <c r="J871" s="493"/>
      <c r="K871" s="481"/>
      <c r="L871" s="464"/>
      <c r="M871" s="164"/>
      <c r="N871" s="494"/>
      <c r="O871" s="493"/>
      <c r="P871" s="495"/>
      <c r="Q871" s="487"/>
      <c r="R871" s="164"/>
      <c r="S871" s="467"/>
      <c r="T871" s="468"/>
      <c r="U871" s="469"/>
      <c r="V871" s="429"/>
      <c r="W871" s="429"/>
      <c r="X871" s="429"/>
      <c r="Y871" s="429"/>
      <c r="Z871" s="429"/>
    </row>
    <row r="872" spans="1:26" ht="18" customHeight="1">
      <c r="A872" s="464"/>
      <c r="B872" s="488"/>
      <c r="C872" s="489"/>
      <c r="D872" s="464"/>
      <c r="E872" s="464"/>
      <c r="F872" s="490"/>
      <c r="G872" s="491"/>
      <c r="H872" s="492"/>
      <c r="I872" s="164"/>
      <c r="J872" s="493"/>
      <c r="K872" s="481"/>
      <c r="L872" s="464"/>
      <c r="M872" s="164"/>
      <c r="N872" s="494"/>
      <c r="O872" s="493"/>
      <c r="P872" s="495"/>
      <c r="Q872" s="487"/>
      <c r="R872" s="164"/>
      <c r="S872" s="467"/>
      <c r="T872" s="468"/>
      <c r="U872" s="469"/>
      <c r="V872" s="429"/>
      <c r="W872" s="429"/>
      <c r="X872" s="429"/>
      <c r="Y872" s="429"/>
      <c r="Z872" s="429"/>
    </row>
    <row r="873" spans="1:26" ht="18" customHeight="1">
      <c r="A873" s="464"/>
      <c r="B873" s="488"/>
      <c r="C873" s="489"/>
      <c r="D873" s="464"/>
      <c r="E873" s="464"/>
      <c r="F873" s="490"/>
      <c r="G873" s="491"/>
      <c r="H873" s="492"/>
      <c r="I873" s="164"/>
      <c r="J873" s="493"/>
      <c r="K873" s="481"/>
      <c r="L873" s="464"/>
      <c r="M873" s="164"/>
      <c r="N873" s="494"/>
      <c r="O873" s="493"/>
      <c r="P873" s="495"/>
      <c r="Q873" s="487"/>
      <c r="R873" s="164"/>
      <c r="S873" s="467"/>
      <c r="T873" s="468"/>
      <c r="U873" s="469"/>
      <c r="V873" s="429"/>
      <c r="W873" s="429"/>
      <c r="X873" s="429"/>
      <c r="Y873" s="429"/>
      <c r="Z873" s="429"/>
    </row>
    <row r="874" spans="1:26" ht="18" customHeight="1">
      <c r="A874" s="464"/>
      <c r="B874" s="488"/>
      <c r="C874" s="489"/>
      <c r="D874" s="464"/>
      <c r="E874" s="464"/>
      <c r="F874" s="490"/>
      <c r="G874" s="491"/>
      <c r="H874" s="492"/>
      <c r="I874" s="164"/>
      <c r="J874" s="493"/>
      <c r="K874" s="481"/>
      <c r="L874" s="464"/>
      <c r="M874" s="164"/>
      <c r="N874" s="494"/>
      <c r="O874" s="493"/>
      <c r="P874" s="495"/>
      <c r="Q874" s="487"/>
      <c r="R874" s="164"/>
      <c r="S874" s="467"/>
      <c r="T874" s="468"/>
      <c r="U874" s="469"/>
      <c r="V874" s="429"/>
      <c r="W874" s="429"/>
      <c r="X874" s="429"/>
      <c r="Y874" s="429"/>
      <c r="Z874" s="429"/>
    </row>
    <row r="875" spans="1:26" ht="18" customHeight="1">
      <c r="A875" s="464"/>
      <c r="B875" s="488"/>
      <c r="C875" s="489"/>
      <c r="D875" s="464"/>
      <c r="E875" s="464"/>
      <c r="F875" s="490"/>
      <c r="G875" s="491"/>
      <c r="H875" s="492"/>
      <c r="I875" s="164"/>
      <c r="J875" s="493"/>
      <c r="K875" s="481"/>
      <c r="L875" s="464"/>
      <c r="M875" s="164"/>
      <c r="N875" s="494"/>
      <c r="O875" s="493"/>
      <c r="P875" s="495"/>
      <c r="Q875" s="487"/>
      <c r="R875" s="164"/>
      <c r="S875" s="467"/>
      <c r="T875" s="468"/>
      <c r="U875" s="469"/>
      <c r="V875" s="429"/>
      <c r="W875" s="429"/>
      <c r="X875" s="429"/>
      <c r="Y875" s="429"/>
      <c r="Z875" s="429"/>
    </row>
    <row r="876" spans="1:26" ht="18" customHeight="1">
      <c r="A876" s="464"/>
      <c r="B876" s="488"/>
      <c r="C876" s="489"/>
      <c r="D876" s="464"/>
      <c r="E876" s="464"/>
      <c r="F876" s="490"/>
      <c r="G876" s="491"/>
      <c r="H876" s="492"/>
      <c r="I876" s="164"/>
      <c r="J876" s="493"/>
      <c r="K876" s="481"/>
      <c r="L876" s="464"/>
      <c r="M876" s="164"/>
      <c r="N876" s="494"/>
      <c r="O876" s="493"/>
      <c r="P876" s="495"/>
      <c r="Q876" s="487"/>
      <c r="R876" s="164"/>
      <c r="S876" s="467"/>
      <c r="T876" s="468"/>
      <c r="U876" s="469"/>
      <c r="V876" s="429"/>
      <c r="W876" s="429"/>
      <c r="X876" s="429"/>
      <c r="Y876" s="429"/>
      <c r="Z876" s="429"/>
    </row>
    <row r="877" spans="1:26" ht="18" customHeight="1">
      <c r="A877" s="464"/>
      <c r="B877" s="488"/>
      <c r="C877" s="489"/>
      <c r="D877" s="464"/>
      <c r="E877" s="464"/>
      <c r="F877" s="490"/>
      <c r="G877" s="491"/>
      <c r="H877" s="492"/>
      <c r="I877" s="164"/>
      <c r="J877" s="493"/>
      <c r="K877" s="481"/>
      <c r="L877" s="464"/>
      <c r="M877" s="164"/>
      <c r="N877" s="494"/>
      <c r="O877" s="493"/>
      <c r="P877" s="495"/>
      <c r="Q877" s="487"/>
      <c r="R877" s="164"/>
      <c r="S877" s="467"/>
      <c r="T877" s="468"/>
      <c r="U877" s="469"/>
      <c r="V877" s="429"/>
      <c r="W877" s="429"/>
      <c r="X877" s="429"/>
      <c r="Y877" s="429"/>
      <c r="Z877" s="429"/>
    </row>
    <row r="878" spans="1:26" ht="18" customHeight="1">
      <c r="A878" s="464"/>
      <c r="B878" s="488"/>
      <c r="C878" s="489"/>
      <c r="D878" s="464"/>
      <c r="E878" s="464"/>
      <c r="F878" s="490"/>
      <c r="G878" s="491"/>
      <c r="H878" s="492"/>
      <c r="I878" s="164"/>
      <c r="J878" s="493"/>
      <c r="K878" s="481"/>
      <c r="L878" s="464"/>
      <c r="M878" s="164"/>
      <c r="N878" s="494"/>
      <c r="O878" s="493"/>
      <c r="P878" s="495"/>
      <c r="Q878" s="487"/>
      <c r="R878" s="164"/>
      <c r="S878" s="467"/>
      <c r="T878" s="468"/>
      <c r="U878" s="469"/>
      <c r="V878" s="429"/>
      <c r="W878" s="429"/>
      <c r="X878" s="429"/>
      <c r="Y878" s="429"/>
      <c r="Z878" s="429"/>
    </row>
    <row r="879" spans="1:26" ht="18" customHeight="1">
      <c r="A879" s="464"/>
      <c r="B879" s="488"/>
      <c r="C879" s="489"/>
      <c r="D879" s="464"/>
      <c r="E879" s="464"/>
      <c r="F879" s="490"/>
      <c r="G879" s="491"/>
      <c r="H879" s="492"/>
      <c r="I879" s="164"/>
      <c r="J879" s="493"/>
      <c r="K879" s="481"/>
      <c r="L879" s="464"/>
      <c r="M879" s="164"/>
      <c r="N879" s="494"/>
      <c r="O879" s="493"/>
      <c r="P879" s="495"/>
      <c r="Q879" s="487"/>
      <c r="R879" s="164"/>
      <c r="S879" s="467"/>
      <c r="T879" s="468"/>
      <c r="U879" s="469"/>
      <c r="V879" s="429"/>
      <c r="W879" s="429"/>
      <c r="X879" s="429"/>
      <c r="Y879" s="429"/>
      <c r="Z879" s="429"/>
    </row>
    <row r="880" spans="1:26" ht="18" customHeight="1">
      <c r="A880" s="464"/>
      <c r="B880" s="488"/>
      <c r="C880" s="489"/>
      <c r="D880" s="464"/>
      <c r="E880" s="464"/>
      <c r="F880" s="490"/>
      <c r="G880" s="491"/>
      <c r="H880" s="492"/>
      <c r="I880" s="164"/>
      <c r="J880" s="493"/>
      <c r="K880" s="481"/>
      <c r="L880" s="464"/>
      <c r="M880" s="164"/>
      <c r="N880" s="494"/>
      <c r="O880" s="493"/>
      <c r="P880" s="495"/>
      <c r="Q880" s="487"/>
      <c r="R880" s="164"/>
      <c r="S880" s="467"/>
      <c r="T880" s="468"/>
      <c r="U880" s="469"/>
      <c r="V880" s="429"/>
      <c r="W880" s="429"/>
      <c r="X880" s="429"/>
      <c r="Y880" s="429"/>
      <c r="Z880" s="429"/>
    </row>
    <row r="881" spans="1:26" ht="18" customHeight="1">
      <c r="A881" s="464"/>
      <c r="B881" s="488"/>
      <c r="C881" s="489"/>
      <c r="D881" s="464"/>
      <c r="E881" s="464"/>
      <c r="F881" s="490"/>
      <c r="G881" s="491"/>
      <c r="H881" s="492"/>
      <c r="I881" s="164"/>
      <c r="J881" s="493"/>
      <c r="K881" s="481"/>
      <c r="L881" s="464"/>
      <c r="M881" s="164"/>
      <c r="N881" s="494"/>
      <c r="O881" s="493"/>
      <c r="P881" s="495"/>
      <c r="Q881" s="487"/>
      <c r="R881" s="164"/>
      <c r="S881" s="467"/>
      <c r="T881" s="468"/>
      <c r="U881" s="469"/>
      <c r="V881" s="429"/>
      <c r="W881" s="429"/>
      <c r="X881" s="429"/>
      <c r="Y881" s="429"/>
      <c r="Z881" s="429"/>
    </row>
    <row r="882" spans="1:26" ht="18" customHeight="1">
      <c r="A882" s="464"/>
      <c r="B882" s="488"/>
      <c r="C882" s="489"/>
      <c r="D882" s="464"/>
      <c r="E882" s="464"/>
      <c r="F882" s="490"/>
      <c r="G882" s="491"/>
      <c r="H882" s="492"/>
      <c r="I882" s="164"/>
      <c r="J882" s="493"/>
      <c r="K882" s="481"/>
      <c r="L882" s="464"/>
      <c r="M882" s="164"/>
      <c r="N882" s="494"/>
      <c r="O882" s="493"/>
      <c r="P882" s="495"/>
      <c r="Q882" s="487"/>
      <c r="R882" s="164"/>
      <c r="S882" s="467"/>
      <c r="T882" s="468"/>
      <c r="U882" s="469"/>
      <c r="V882" s="429"/>
      <c r="W882" s="429"/>
      <c r="X882" s="429"/>
      <c r="Y882" s="429"/>
      <c r="Z882" s="429"/>
    </row>
    <row r="883" spans="1:26" ht="18" customHeight="1">
      <c r="A883" s="464"/>
      <c r="B883" s="488"/>
      <c r="C883" s="489"/>
      <c r="D883" s="464"/>
      <c r="E883" s="464"/>
      <c r="F883" s="490"/>
      <c r="G883" s="491"/>
      <c r="H883" s="492"/>
      <c r="I883" s="164"/>
      <c r="J883" s="493"/>
      <c r="K883" s="481"/>
      <c r="L883" s="464"/>
      <c r="M883" s="164"/>
      <c r="N883" s="494"/>
      <c r="O883" s="493"/>
      <c r="P883" s="495"/>
      <c r="Q883" s="487"/>
      <c r="R883" s="164"/>
      <c r="S883" s="467"/>
      <c r="T883" s="468"/>
      <c r="U883" s="469"/>
      <c r="V883" s="429"/>
      <c r="W883" s="429"/>
      <c r="X883" s="429"/>
      <c r="Y883" s="429"/>
      <c r="Z883" s="429"/>
    </row>
    <row r="884" spans="1:26" ht="18" customHeight="1">
      <c r="A884" s="464"/>
      <c r="B884" s="488"/>
      <c r="C884" s="489"/>
      <c r="D884" s="464"/>
      <c r="E884" s="464"/>
      <c r="F884" s="490"/>
      <c r="G884" s="491"/>
      <c r="H884" s="492"/>
      <c r="I884" s="164"/>
      <c r="J884" s="493"/>
      <c r="K884" s="481"/>
      <c r="L884" s="464"/>
      <c r="M884" s="164"/>
      <c r="N884" s="494"/>
      <c r="O884" s="493"/>
      <c r="P884" s="495"/>
      <c r="Q884" s="487"/>
      <c r="R884" s="164"/>
      <c r="S884" s="467"/>
      <c r="T884" s="468"/>
      <c r="U884" s="469"/>
      <c r="V884" s="429"/>
      <c r="W884" s="429"/>
      <c r="X884" s="429"/>
      <c r="Y884" s="429"/>
      <c r="Z884" s="429"/>
    </row>
    <row r="885" spans="1:26" ht="18" customHeight="1">
      <c r="A885" s="464"/>
      <c r="B885" s="488"/>
      <c r="C885" s="489"/>
      <c r="D885" s="464"/>
      <c r="E885" s="464"/>
      <c r="F885" s="490"/>
      <c r="G885" s="491"/>
      <c r="H885" s="492"/>
      <c r="I885" s="164"/>
      <c r="J885" s="493"/>
      <c r="K885" s="481"/>
      <c r="L885" s="464"/>
      <c r="M885" s="164"/>
      <c r="N885" s="494"/>
      <c r="O885" s="493"/>
      <c r="P885" s="495"/>
      <c r="Q885" s="487"/>
      <c r="R885" s="164"/>
      <c r="S885" s="467"/>
      <c r="T885" s="468"/>
      <c r="U885" s="469"/>
      <c r="V885" s="429"/>
      <c r="W885" s="429"/>
      <c r="X885" s="429"/>
      <c r="Y885" s="429"/>
      <c r="Z885" s="429"/>
    </row>
    <row r="886" spans="1:26" ht="18" customHeight="1">
      <c r="A886" s="464"/>
      <c r="B886" s="488"/>
      <c r="C886" s="489"/>
      <c r="D886" s="464"/>
      <c r="E886" s="464"/>
      <c r="F886" s="490"/>
      <c r="G886" s="491"/>
      <c r="H886" s="492"/>
      <c r="I886" s="164"/>
      <c r="J886" s="493"/>
      <c r="K886" s="481"/>
      <c r="L886" s="464"/>
      <c r="M886" s="164"/>
      <c r="N886" s="494"/>
      <c r="O886" s="493"/>
      <c r="P886" s="495"/>
      <c r="Q886" s="487"/>
      <c r="R886" s="164"/>
      <c r="S886" s="467"/>
      <c r="T886" s="468"/>
      <c r="U886" s="469"/>
      <c r="V886" s="429"/>
      <c r="W886" s="429"/>
      <c r="X886" s="429"/>
      <c r="Y886" s="429"/>
      <c r="Z886" s="429"/>
    </row>
    <row r="887" spans="1:26" ht="18" customHeight="1">
      <c r="A887" s="464"/>
      <c r="B887" s="488"/>
      <c r="C887" s="489"/>
      <c r="D887" s="464"/>
      <c r="E887" s="464"/>
      <c r="F887" s="490"/>
      <c r="G887" s="491"/>
      <c r="H887" s="492"/>
      <c r="I887" s="164"/>
      <c r="J887" s="493"/>
      <c r="K887" s="481"/>
      <c r="L887" s="464"/>
      <c r="M887" s="164"/>
      <c r="N887" s="494"/>
      <c r="O887" s="493"/>
      <c r="P887" s="495"/>
      <c r="Q887" s="487"/>
      <c r="R887" s="164"/>
      <c r="S887" s="467"/>
      <c r="T887" s="468"/>
      <c r="U887" s="469"/>
      <c r="V887" s="429"/>
      <c r="W887" s="429"/>
      <c r="X887" s="429"/>
      <c r="Y887" s="429"/>
      <c r="Z887" s="429"/>
    </row>
    <row r="888" spans="1:26" ht="18" customHeight="1">
      <c r="A888" s="464"/>
      <c r="B888" s="488"/>
      <c r="C888" s="489"/>
      <c r="D888" s="464"/>
      <c r="E888" s="464"/>
      <c r="F888" s="490"/>
      <c r="G888" s="491"/>
      <c r="H888" s="492"/>
      <c r="I888" s="164"/>
      <c r="J888" s="493"/>
      <c r="K888" s="481"/>
      <c r="L888" s="464"/>
      <c r="M888" s="164"/>
      <c r="N888" s="494"/>
      <c r="O888" s="493"/>
      <c r="P888" s="495"/>
      <c r="Q888" s="487"/>
      <c r="R888" s="164"/>
      <c r="S888" s="467"/>
      <c r="T888" s="468"/>
      <c r="U888" s="469"/>
      <c r="V888" s="429"/>
      <c r="W888" s="429"/>
      <c r="X888" s="429"/>
      <c r="Y888" s="429"/>
      <c r="Z888" s="429"/>
    </row>
    <row r="889" spans="1:26" ht="18" customHeight="1">
      <c r="A889" s="464"/>
      <c r="B889" s="488"/>
      <c r="C889" s="489"/>
      <c r="D889" s="464"/>
      <c r="E889" s="464"/>
      <c r="F889" s="490"/>
      <c r="G889" s="491"/>
      <c r="H889" s="492"/>
      <c r="I889" s="164"/>
      <c r="J889" s="493"/>
      <c r="K889" s="481"/>
      <c r="L889" s="464"/>
      <c r="M889" s="164"/>
      <c r="N889" s="494"/>
      <c r="O889" s="493"/>
      <c r="P889" s="495"/>
      <c r="Q889" s="487"/>
      <c r="R889" s="164"/>
      <c r="S889" s="467"/>
      <c r="T889" s="468"/>
      <c r="U889" s="469"/>
      <c r="V889" s="429"/>
      <c r="W889" s="429"/>
      <c r="X889" s="429"/>
      <c r="Y889" s="429"/>
      <c r="Z889" s="429"/>
    </row>
    <row r="890" spans="1:26" ht="18" customHeight="1">
      <c r="A890" s="464"/>
      <c r="B890" s="488"/>
      <c r="C890" s="489"/>
      <c r="D890" s="464"/>
      <c r="E890" s="464"/>
      <c r="F890" s="490"/>
      <c r="G890" s="491"/>
      <c r="H890" s="492"/>
      <c r="I890" s="164"/>
      <c r="J890" s="493"/>
      <c r="K890" s="481"/>
      <c r="L890" s="464"/>
      <c r="M890" s="164"/>
      <c r="N890" s="494"/>
      <c r="O890" s="493"/>
      <c r="P890" s="495"/>
      <c r="Q890" s="487"/>
      <c r="R890" s="164"/>
      <c r="S890" s="467"/>
      <c r="T890" s="468"/>
      <c r="U890" s="469"/>
      <c r="V890" s="429"/>
      <c r="W890" s="429"/>
      <c r="X890" s="429"/>
      <c r="Y890" s="429"/>
      <c r="Z890" s="429"/>
    </row>
    <row r="891" spans="1:26" ht="18" customHeight="1">
      <c r="A891" s="464"/>
      <c r="B891" s="488"/>
      <c r="C891" s="489"/>
      <c r="D891" s="464"/>
      <c r="E891" s="464"/>
      <c r="F891" s="490"/>
      <c r="G891" s="491"/>
      <c r="H891" s="492"/>
      <c r="I891" s="164"/>
      <c r="J891" s="493"/>
      <c r="K891" s="481"/>
      <c r="L891" s="464"/>
      <c r="M891" s="164"/>
      <c r="N891" s="494"/>
      <c r="O891" s="493"/>
      <c r="P891" s="495"/>
      <c r="Q891" s="487"/>
      <c r="R891" s="164"/>
      <c r="S891" s="467"/>
      <c r="T891" s="468"/>
      <c r="U891" s="469"/>
      <c r="V891" s="429"/>
      <c r="W891" s="429"/>
      <c r="X891" s="429"/>
      <c r="Y891" s="429"/>
      <c r="Z891" s="429"/>
    </row>
    <row r="892" spans="1:26" ht="18" customHeight="1">
      <c r="A892" s="464"/>
      <c r="B892" s="488"/>
      <c r="C892" s="489"/>
      <c r="D892" s="464"/>
      <c r="E892" s="464"/>
      <c r="F892" s="490"/>
      <c r="G892" s="491"/>
      <c r="H892" s="492"/>
      <c r="I892" s="164"/>
      <c r="J892" s="493"/>
      <c r="K892" s="481"/>
      <c r="L892" s="464"/>
      <c r="M892" s="164"/>
      <c r="N892" s="494"/>
      <c r="O892" s="493"/>
      <c r="P892" s="495"/>
      <c r="Q892" s="487"/>
      <c r="R892" s="164"/>
      <c r="S892" s="467"/>
      <c r="T892" s="468"/>
      <c r="U892" s="469"/>
      <c r="V892" s="429"/>
      <c r="W892" s="429"/>
      <c r="X892" s="429"/>
      <c r="Y892" s="429"/>
      <c r="Z892" s="429"/>
    </row>
    <row r="893" spans="1:26" ht="18" customHeight="1">
      <c r="A893" s="464"/>
      <c r="B893" s="488"/>
      <c r="C893" s="489"/>
      <c r="D893" s="464"/>
      <c r="E893" s="464"/>
      <c r="F893" s="490"/>
      <c r="G893" s="491"/>
      <c r="H893" s="492"/>
      <c r="I893" s="164"/>
      <c r="J893" s="493"/>
      <c r="K893" s="481"/>
      <c r="L893" s="464"/>
      <c r="M893" s="164"/>
      <c r="N893" s="494"/>
      <c r="O893" s="493"/>
      <c r="P893" s="495"/>
      <c r="Q893" s="487"/>
      <c r="R893" s="164"/>
      <c r="S893" s="467"/>
      <c r="T893" s="468"/>
      <c r="U893" s="469"/>
      <c r="V893" s="429"/>
      <c r="W893" s="429"/>
      <c r="X893" s="429"/>
      <c r="Y893" s="429"/>
      <c r="Z893" s="429"/>
    </row>
    <row r="894" spans="1:26" ht="18" customHeight="1">
      <c r="A894" s="464"/>
      <c r="B894" s="488"/>
      <c r="C894" s="489"/>
      <c r="D894" s="464"/>
      <c r="E894" s="464"/>
      <c r="F894" s="490"/>
      <c r="G894" s="491"/>
      <c r="H894" s="492"/>
      <c r="I894" s="164"/>
      <c r="J894" s="493"/>
      <c r="K894" s="481"/>
      <c r="L894" s="464"/>
      <c r="M894" s="164"/>
      <c r="N894" s="494"/>
      <c r="O894" s="493"/>
      <c r="P894" s="495"/>
      <c r="Q894" s="487"/>
      <c r="R894" s="164"/>
      <c r="S894" s="467"/>
      <c r="T894" s="468"/>
      <c r="U894" s="469"/>
      <c r="V894" s="429"/>
      <c r="W894" s="429"/>
      <c r="X894" s="429"/>
      <c r="Y894" s="429"/>
      <c r="Z894" s="429"/>
    </row>
    <row r="895" spans="1:26" ht="18" customHeight="1">
      <c r="A895" s="464"/>
      <c r="B895" s="488"/>
      <c r="C895" s="489"/>
      <c r="D895" s="464"/>
      <c r="E895" s="464"/>
      <c r="F895" s="490"/>
      <c r="G895" s="491"/>
      <c r="H895" s="492"/>
      <c r="I895" s="164"/>
      <c r="J895" s="493"/>
      <c r="K895" s="481"/>
      <c r="L895" s="464"/>
      <c r="M895" s="164"/>
      <c r="N895" s="494"/>
      <c r="O895" s="493"/>
      <c r="P895" s="495"/>
      <c r="Q895" s="487"/>
      <c r="R895" s="164"/>
      <c r="S895" s="467"/>
      <c r="T895" s="468"/>
      <c r="U895" s="469"/>
      <c r="V895" s="429"/>
      <c r="W895" s="429"/>
      <c r="X895" s="429"/>
      <c r="Y895" s="429"/>
      <c r="Z895" s="429"/>
    </row>
    <row r="896" spans="1:26" ht="18" customHeight="1">
      <c r="A896" s="464"/>
      <c r="B896" s="488"/>
      <c r="C896" s="489"/>
      <c r="D896" s="464"/>
      <c r="E896" s="464"/>
      <c r="F896" s="490"/>
      <c r="G896" s="491"/>
      <c r="H896" s="492"/>
      <c r="I896" s="164"/>
      <c r="J896" s="493"/>
      <c r="K896" s="481"/>
      <c r="L896" s="464"/>
      <c r="M896" s="164"/>
      <c r="N896" s="494"/>
      <c r="O896" s="493"/>
      <c r="P896" s="495"/>
      <c r="Q896" s="487"/>
      <c r="R896" s="164"/>
      <c r="S896" s="467"/>
      <c r="T896" s="468"/>
      <c r="U896" s="469"/>
      <c r="V896" s="429"/>
      <c r="W896" s="429"/>
      <c r="X896" s="429"/>
      <c r="Y896" s="429"/>
      <c r="Z896" s="429"/>
    </row>
    <row r="897" spans="1:26" ht="18" customHeight="1">
      <c r="A897" s="464"/>
      <c r="B897" s="488"/>
      <c r="C897" s="489"/>
      <c r="D897" s="464"/>
      <c r="E897" s="464"/>
      <c r="F897" s="490"/>
      <c r="G897" s="491"/>
      <c r="H897" s="492"/>
      <c r="I897" s="164"/>
      <c r="J897" s="493"/>
      <c r="K897" s="481"/>
      <c r="L897" s="464"/>
      <c r="M897" s="164"/>
      <c r="N897" s="494"/>
      <c r="O897" s="493"/>
      <c r="P897" s="495"/>
      <c r="Q897" s="487"/>
      <c r="R897" s="164"/>
      <c r="S897" s="467"/>
      <c r="T897" s="468"/>
      <c r="U897" s="469"/>
      <c r="V897" s="429"/>
      <c r="W897" s="429"/>
      <c r="X897" s="429"/>
      <c r="Y897" s="429"/>
      <c r="Z897" s="429"/>
    </row>
    <row r="898" spans="1:26" ht="18" customHeight="1">
      <c r="A898" s="464"/>
      <c r="B898" s="488"/>
      <c r="C898" s="489"/>
      <c r="D898" s="464"/>
      <c r="E898" s="464"/>
      <c r="F898" s="490"/>
      <c r="G898" s="491"/>
      <c r="H898" s="492"/>
      <c r="I898" s="164"/>
      <c r="J898" s="493"/>
      <c r="K898" s="481"/>
      <c r="L898" s="464"/>
      <c r="M898" s="164"/>
      <c r="N898" s="494"/>
      <c r="O898" s="493"/>
      <c r="P898" s="495"/>
      <c r="Q898" s="487"/>
      <c r="R898" s="164"/>
      <c r="S898" s="467"/>
      <c r="T898" s="468"/>
      <c r="U898" s="469"/>
      <c r="V898" s="429"/>
      <c r="W898" s="429"/>
      <c r="X898" s="429"/>
      <c r="Y898" s="429"/>
      <c r="Z898" s="429"/>
    </row>
    <row r="899" spans="1:26" ht="18" customHeight="1">
      <c r="A899" s="464"/>
      <c r="B899" s="488"/>
      <c r="C899" s="489"/>
      <c r="D899" s="464"/>
      <c r="E899" s="464"/>
      <c r="F899" s="490"/>
      <c r="G899" s="491"/>
      <c r="H899" s="492"/>
      <c r="I899" s="164"/>
      <c r="J899" s="493"/>
      <c r="K899" s="481"/>
      <c r="L899" s="464"/>
      <c r="M899" s="164"/>
      <c r="N899" s="494"/>
      <c r="O899" s="493"/>
      <c r="P899" s="495"/>
      <c r="Q899" s="487"/>
      <c r="R899" s="164"/>
      <c r="S899" s="467"/>
      <c r="T899" s="468"/>
      <c r="U899" s="469"/>
      <c r="V899" s="429"/>
      <c r="W899" s="429"/>
      <c r="X899" s="429"/>
      <c r="Y899" s="429"/>
      <c r="Z899" s="429"/>
    </row>
    <row r="900" spans="1:26" ht="18" customHeight="1">
      <c r="A900" s="464"/>
      <c r="B900" s="488"/>
      <c r="C900" s="489"/>
      <c r="D900" s="464"/>
      <c r="E900" s="464"/>
      <c r="F900" s="490"/>
      <c r="G900" s="491"/>
      <c r="H900" s="492"/>
      <c r="I900" s="164"/>
      <c r="J900" s="493"/>
      <c r="K900" s="481"/>
      <c r="L900" s="464"/>
      <c r="M900" s="164"/>
      <c r="N900" s="494"/>
      <c r="O900" s="493"/>
      <c r="P900" s="495"/>
      <c r="Q900" s="487"/>
      <c r="R900" s="164"/>
      <c r="S900" s="467"/>
      <c r="T900" s="468"/>
      <c r="U900" s="469"/>
      <c r="V900" s="429"/>
      <c r="W900" s="429"/>
      <c r="X900" s="429"/>
      <c r="Y900" s="429"/>
      <c r="Z900" s="429"/>
    </row>
    <row r="901" spans="1:26" ht="18" customHeight="1">
      <c r="A901" s="464"/>
      <c r="B901" s="488"/>
      <c r="C901" s="489"/>
      <c r="D901" s="464"/>
      <c r="E901" s="464"/>
      <c r="F901" s="490"/>
      <c r="G901" s="491"/>
      <c r="H901" s="492"/>
      <c r="I901" s="164"/>
      <c r="J901" s="493"/>
      <c r="K901" s="481"/>
      <c r="L901" s="464"/>
      <c r="M901" s="164"/>
      <c r="N901" s="494"/>
      <c r="O901" s="493"/>
      <c r="P901" s="495"/>
      <c r="Q901" s="487"/>
      <c r="R901" s="164"/>
      <c r="S901" s="467"/>
      <c r="T901" s="468"/>
      <c r="U901" s="469"/>
      <c r="V901" s="429"/>
      <c r="W901" s="429"/>
      <c r="X901" s="429"/>
      <c r="Y901" s="429"/>
      <c r="Z901" s="429"/>
    </row>
    <row r="902" spans="1:26" ht="18" customHeight="1">
      <c r="A902" s="464"/>
      <c r="B902" s="488"/>
      <c r="C902" s="489"/>
      <c r="D902" s="464"/>
      <c r="E902" s="464"/>
      <c r="F902" s="490"/>
      <c r="G902" s="491"/>
      <c r="H902" s="492"/>
      <c r="I902" s="164"/>
      <c r="J902" s="493"/>
      <c r="K902" s="481"/>
      <c r="L902" s="464"/>
      <c r="M902" s="164"/>
      <c r="N902" s="494"/>
      <c r="O902" s="493"/>
      <c r="P902" s="495"/>
      <c r="Q902" s="487"/>
      <c r="R902" s="164"/>
      <c r="S902" s="467"/>
      <c r="T902" s="468"/>
      <c r="U902" s="469"/>
      <c r="V902" s="429"/>
      <c r="W902" s="429"/>
      <c r="X902" s="429"/>
      <c r="Y902" s="429"/>
      <c r="Z902" s="429"/>
    </row>
    <row r="903" spans="1:26" ht="18" customHeight="1">
      <c r="A903" s="464"/>
      <c r="B903" s="488"/>
      <c r="C903" s="489"/>
      <c r="D903" s="464"/>
      <c r="E903" s="464"/>
      <c r="F903" s="490"/>
      <c r="G903" s="491"/>
      <c r="H903" s="492"/>
      <c r="I903" s="164"/>
      <c r="J903" s="493"/>
      <c r="K903" s="481"/>
      <c r="L903" s="464"/>
      <c r="M903" s="164"/>
      <c r="N903" s="494"/>
      <c r="O903" s="493"/>
      <c r="P903" s="495"/>
      <c r="Q903" s="487"/>
      <c r="R903" s="164"/>
      <c r="S903" s="467"/>
      <c r="T903" s="468"/>
      <c r="U903" s="469"/>
      <c r="V903" s="429"/>
      <c r="W903" s="429"/>
      <c r="X903" s="429"/>
      <c r="Y903" s="429"/>
      <c r="Z903" s="429"/>
    </row>
    <row r="904" spans="1:26" ht="18" customHeight="1">
      <c r="A904" s="464"/>
      <c r="B904" s="488"/>
      <c r="C904" s="489"/>
      <c r="D904" s="464"/>
      <c r="E904" s="464"/>
      <c r="F904" s="490"/>
      <c r="G904" s="491"/>
      <c r="H904" s="492"/>
      <c r="I904" s="164"/>
      <c r="J904" s="493"/>
      <c r="K904" s="481"/>
      <c r="L904" s="464"/>
      <c r="M904" s="164"/>
      <c r="N904" s="494"/>
      <c r="O904" s="493"/>
      <c r="P904" s="495"/>
      <c r="Q904" s="487"/>
      <c r="R904" s="164"/>
      <c r="S904" s="467"/>
      <c r="T904" s="468"/>
      <c r="U904" s="469"/>
      <c r="V904" s="429"/>
      <c r="W904" s="429"/>
      <c r="X904" s="429"/>
      <c r="Y904" s="429"/>
      <c r="Z904" s="429"/>
    </row>
    <row r="905" spans="1:26" ht="18" customHeight="1">
      <c r="A905" s="464"/>
      <c r="B905" s="488"/>
      <c r="C905" s="489"/>
      <c r="D905" s="464"/>
      <c r="E905" s="464"/>
      <c r="F905" s="490"/>
      <c r="G905" s="491"/>
      <c r="H905" s="492"/>
      <c r="I905" s="164"/>
      <c r="J905" s="493"/>
      <c r="K905" s="481"/>
      <c r="L905" s="464"/>
      <c r="M905" s="164"/>
      <c r="N905" s="494"/>
      <c r="O905" s="493"/>
      <c r="P905" s="495"/>
      <c r="Q905" s="487"/>
      <c r="R905" s="164"/>
      <c r="S905" s="467"/>
      <c r="T905" s="468"/>
      <c r="U905" s="469"/>
      <c r="V905" s="429"/>
      <c r="W905" s="429"/>
      <c r="X905" s="429"/>
      <c r="Y905" s="429"/>
      <c r="Z905" s="429"/>
    </row>
    <row r="906" spans="1:26" ht="18" customHeight="1">
      <c r="A906" s="464"/>
      <c r="B906" s="488"/>
      <c r="C906" s="489"/>
      <c r="D906" s="464"/>
      <c r="E906" s="464"/>
      <c r="F906" s="490"/>
      <c r="G906" s="491"/>
      <c r="H906" s="492"/>
      <c r="I906" s="164"/>
      <c r="J906" s="493"/>
      <c r="K906" s="481"/>
      <c r="L906" s="464"/>
      <c r="M906" s="164"/>
      <c r="N906" s="494"/>
      <c r="O906" s="493"/>
      <c r="P906" s="495"/>
      <c r="Q906" s="487"/>
      <c r="R906" s="164"/>
      <c r="S906" s="467"/>
      <c r="T906" s="468"/>
      <c r="U906" s="469"/>
      <c r="V906" s="429"/>
      <c r="W906" s="429"/>
      <c r="X906" s="429"/>
      <c r="Y906" s="429"/>
      <c r="Z906" s="429"/>
    </row>
    <row r="907" spans="1:26" ht="18" customHeight="1">
      <c r="A907" s="464"/>
      <c r="B907" s="488"/>
      <c r="C907" s="489"/>
      <c r="D907" s="464"/>
      <c r="E907" s="464"/>
      <c r="F907" s="490"/>
      <c r="G907" s="491"/>
      <c r="H907" s="492"/>
      <c r="I907" s="164"/>
      <c r="J907" s="493"/>
      <c r="K907" s="481"/>
      <c r="L907" s="464"/>
      <c r="M907" s="164"/>
      <c r="N907" s="494"/>
      <c r="O907" s="493"/>
      <c r="P907" s="495"/>
      <c r="Q907" s="487"/>
      <c r="R907" s="164"/>
      <c r="S907" s="467"/>
      <c r="T907" s="468"/>
      <c r="U907" s="469"/>
      <c r="V907" s="429"/>
      <c r="W907" s="429"/>
      <c r="X907" s="429"/>
      <c r="Y907" s="429"/>
      <c r="Z907" s="429"/>
    </row>
    <row r="908" spans="1:26" ht="18" customHeight="1">
      <c r="A908" s="464"/>
      <c r="B908" s="488"/>
      <c r="C908" s="489"/>
      <c r="D908" s="464"/>
      <c r="E908" s="464"/>
      <c r="F908" s="490"/>
      <c r="G908" s="491"/>
      <c r="H908" s="492"/>
      <c r="I908" s="164"/>
      <c r="J908" s="493"/>
      <c r="K908" s="481"/>
      <c r="L908" s="464"/>
      <c r="M908" s="164"/>
      <c r="N908" s="494"/>
      <c r="O908" s="493"/>
      <c r="P908" s="495"/>
      <c r="Q908" s="487"/>
      <c r="R908" s="164"/>
      <c r="S908" s="467"/>
      <c r="T908" s="468"/>
      <c r="U908" s="469"/>
      <c r="V908" s="429"/>
      <c r="W908" s="429"/>
      <c r="X908" s="429"/>
      <c r="Y908" s="429"/>
      <c r="Z908" s="429"/>
    </row>
    <row r="909" spans="1:26" ht="18" customHeight="1">
      <c r="A909" s="464"/>
      <c r="B909" s="488"/>
      <c r="C909" s="489"/>
      <c r="D909" s="464"/>
      <c r="E909" s="464"/>
      <c r="F909" s="490"/>
      <c r="G909" s="491"/>
      <c r="H909" s="492"/>
      <c r="I909" s="164"/>
      <c r="J909" s="493"/>
      <c r="K909" s="481"/>
      <c r="L909" s="464"/>
      <c r="M909" s="164"/>
      <c r="N909" s="494"/>
      <c r="O909" s="493"/>
      <c r="P909" s="495"/>
      <c r="Q909" s="487"/>
      <c r="R909" s="164"/>
      <c r="S909" s="467"/>
      <c r="T909" s="468"/>
      <c r="U909" s="469"/>
      <c r="V909" s="429"/>
      <c r="W909" s="429"/>
      <c r="X909" s="429"/>
      <c r="Y909" s="429"/>
      <c r="Z909" s="429"/>
    </row>
    <row r="910" spans="1:26" ht="18" customHeight="1">
      <c r="A910" s="464"/>
      <c r="B910" s="488"/>
      <c r="C910" s="489"/>
      <c r="D910" s="464"/>
      <c r="E910" s="464"/>
      <c r="F910" s="490"/>
      <c r="G910" s="491"/>
      <c r="H910" s="492"/>
      <c r="I910" s="164"/>
      <c r="J910" s="493"/>
      <c r="K910" s="481"/>
      <c r="L910" s="464"/>
      <c r="M910" s="164"/>
      <c r="N910" s="494"/>
      <c r="O910" s="493"/>
      <c r="P910" s="495"/>
      <c r="Q910" s="487"/>
      <c r="R910" s="164"/>
      <c r="S910" s="467"/>
      <c r="T910" s="468"/>
      <c r="U910" s="469"/>
      <c r="V910" s="429"/>
      <c r="W910" s="429"/>
      <c r="X910" s="429"/>
      <c r="Y910" s="429"/>
      <c r="Z910" s="429"/>
    </row>
    <row r="911" spans="1:26" ht="18" customHeight="1">
      <c r="A911" s="464"/>
      <c r="B911" s="488"/>
      <c r="C911" s="489"/>
      <c r="D911" s="464"/>
      <c r="E911" s="464"/>
      <c r="F911" s="490"/>
      <c r="G911" s="491"/>
      <c r="H911" s="492"/>
      <c r="I911" s="164"/>
      <c r="J911" s="493"/>
      <c r="K911" s="481"/>
      <c r="L911" s="464"/>
      <c r="M911" s="164"/>
      <c r="N911" s="494"/>
      <c r="O911" s="493"/>
      <c r="P911" s="495"/>
      <c r="Q911" s="487"/>
      <c r="R911" s="164"/>
      <c r="S911" s="467"/>
      <c r="T911" s="468"/>
      <c r="U911" s="469"/>
      <c r="V911" s="429"/>
      <c r="W911" s="429"/>
      <c r="X911" s="429"/>
      <c r="Y911" s="429"/>
      <c r="Z911" s="429"/>
    </row>
    <row r="912" spans="1:26" ht="18" customHeight="1">
      <c r="A912" s="464"/>
      <c r="B912" s="488"/>
      <c r="C912" s="489"/>
      <c r="D912" s="464"/>
      <c r="E912" s="464"/>
      <c r="F912" s="490"/>
      <c r="G912" s="491"/>
      <c r="H912" s="492"/>
      <c r="I912" s="164"/>
      <c r="J912" s="493"/>
      <c r="K912" s="481"/>
      <c r="L912" s="464"/>
      <c r="M912" s="164"/>
      <c r="N912" s="494"/>
      <c r="O912" s="493"/>
      <c r="P912" s="495"/>
      <c r="Q912" s="487"/>
      <c r="R912" s="164"/>
      <c r="S912" s="467"/>
      <c r="T912" s="468"/>
      <c r="U912" s="469"/>
      <c r="V912" s="429"/>
      <c r="W912" s="429"/>
      <c r="X912" s="429"/>
      <c r="Y912" s="429"/>
      <c r="Z912" s="429"/>
    </row>
    <row r="913" spans="1:26" ht="18" customHeight="1">
      <c r="A913" s="464"/>
      <c r="B913" s="488"/>
      <c r="C913" s="489"/>
      <c r="D913" s="464"/>
      <c r="E913" s="464"/>
      <c r="F913" s="490"/>
      <c r="G913" s="491"/>
      <c r="H913" s="492"/>
      <c r="I913" s="164"/>
      <c r="J913" s="493"/>
      <c r="K913" s="481"/>
      <c r="L913" s="464"/>
      <c r="M913" s="164"/>
      <c r="N913" s="494"/>
      <c r="O913" s="493"/>
      <c r="P913" s="495"/>
      <c r="Q913" s="487"/>
      <c r="R913" s="164"/>
      <c r="S913" s="467"/>
      <c r="T913" s="468"/>
      <c r="U913" s="469"/>
      <c r="V913" s="429"/>
      <c r="W913" s="429"/>
      <c r="X913" s="429"/>
      <c r="Y913" s="429"/>
      <c r="Z913" s="429"/>
    </row>
    <row r="914" spans="1:26" ht="18" customHeight="1">
      <c r="A914" s="464"/>
      <c r="B914" s="488"/>
      <c r="C914" s="489"/>
      <c r="D914" s="464"/>
      <c r="E914" s="464"/>
      <c r="F914" s="490"/>
      <c r="G914" s="491"/>
      <c r="H914" s="492"/>
      <c r="I914" s="164"/>
      <c r="J914" s="493"/>
      <c r="K914" s="481"/>
      <c r="L914" s="464"/>
      <c r="M914" s="164"/>
      <c r="N914" s="494"/>
      <c r="O914" s="493"/>
      <c r="P914" s="495"/>
      <c r="Q914" s="487"/>
      <c r="R914" s="164"/>
      <c r="S914" s="467"/>
      <c r="T914" s="468"/>
      <c r="U914" s="469"/>
      <c r="V914" s="429"/>
      <c r="W914" s="429"/>
      <c r="X914" s="429"/>
      <c r="Y914" s="429"/>
      <c r="Z914" s="429"/>
    </row>
    <row r="915" spans="1:26" ht="18" customHeight="1">
      <c r="A915" s="464"/>
      <c r="B915" s="488"/>
      <c r="C915" s="489"/>
      <c r="D915" s="464"/>
      <c r="E915" s="464"/>
      <c r="F915" s="490"/>
      <c r="G915" s="491"/>
      <c r="H915" s="492"/>
      <c r="I915" s="164"/>
      <c r="J915" s="493"/>
      <c r="K915" s="481"/>
      <c r="L915" s="464"/>
      <c r="M915" s="164"/>
      <c r="N915" s="494"/>
      <c r="O915" s="493"/>
      <c r="P915" s="495"/>
      <c r="Q915" s="487"/>
      <c r="R915" s="164"/>
      <c r="S915" s="467"/>
      <c r="T915" s="468"/>
      <c r="U915" s="469"/>
      <c r="V915" s="429"/>
      <c r="W915" s="429"/>
      <c r="X915" s="429"/>
      <c r="Y915" s="429"/>
      <c r="Z915" s="429"/>
    </row>
    <row r="916" spans="1:26" ht="18" customHeight="1">
      <c r="A916" s="464"/>
      <c r="B916" s="488"/>
      <c r="C916" s="489"/>
      <c r="D916" s="464"/>
      <c r="E916" s="464"/>
      <c r="F916" s="490"/>
      <c r="G916" s="491"/>
      <c r="H916" s="492"/>
      <c r="I916" s="164"/>
      <c r="J916" s="493"/>
      <c r="K916" s="481"/>
      <c r="L916" s="464"/>
      <c r="M916" s="164"/>
      <c r="N916" s="494"/>
      <c r="O916" s="493"/>
      <c r="P916" s="495"/>
      <c r="Q916" s="487"/>
      <c r="R916" s="164"/>
      <c r="S916" s="467"/>
      <c r="T916" s="468"/>
      <c r="U916" s="469"/>
      <c r="V916" s="429"/>
      <c r="W916" s="429"/>
      <c r="X916" s="429"/>
      <c r="Y916" s="429"/>
      <c r="Z916" s="429"/>
    </row>
    <row r="917" spans="1:26" ht="18" customHeight="1">
      <c r="A917" s="464"/>
      <c r="B917" s="488"/>
      <c r="C917" s="489"/>
      <c r="D917" s="464"/>
      <c r="E917" s="464"/>
      <c r="F917" s="490"/>
      <c r="G917" s="491"/>
      <c r="H917" s="492"/>
      <c r="I917" s="164"/>
      <c r="J917" s="493"/>
      <c r="K917" s="481"/>
      <c r="L917" s="464"/>
      <c r="M917" s="164"/>
      <c r="N917" s="494"/>
      <c r="O917" s="493"/>
      <c r="P917" s="495"/>
      <c r="Q917" s="487"/>
      <c r="R917" s="164"/>
      <c r="S917" s="467"/>
      <c r="T917" s="468"/>
      <c r="U917" s="469"/>
      <c r="V917" s="429"/>
      <c r="W917" s="429"/>
      <c r="X917" s="429"/>
      <c r="Y917" s="429"/>
      <c r="Z917" s="429"/>
    </row>
    <row r="918" spans="1:26" ht="18" customHeight="1">
      <c r="A918" s="464"/>
      <c r="B918" s="488"/>
      <c r="C918" s="489"/>
      <c r="D918" s="464"/>
      <c r="E918" s="464"/>
      <c r="F918" s="490"/>
      <c r="G918" s="491"/>
      <c r="H918" s="492"/>
      <c r="I918" s="164"/>
      <c r="J918" s="493"/>
      <c r="K918" s="481"/>
      <c r="L918" s="464"/>
      <c r="M918" s="164"/>
      <c r="N918" s="494"/>
      <c r="O918" s="493"/>
      <c r="P918" s="495"/>
      <c r="Q918" s="487"/>
      <c r="R918" s="164"/>
      <c r="S918" s="467"/>
      <c r="T918" s="468"/>
      <c r="U918" s="469"/>
      <c r="V918" s="429"/>
      <c r="W918" s="429"/>
      <c r="X918" s="429"/>
      <c r="Y918" s="429"/>
      <c r="Z918" s="429"/>
    </row>
    <row r="919" spans="1:26" ht="18" customHeight="1">
      <c r="A919" s="464"/>
      <c r="B919" s="488"/>
      <c r="C919" s="489"/>
      <c r="D919" s="464"/>
      <c r="E919" s="464"/>
      <c r="F919" s="490"/>
      <c r="G919" s="491"/>
      <c r="H919" s="492"/>
      <c r="I919" s="164"/>
      <c r="J919" s="493"/>
      <c r="K919" s="481"/>
      <c r="L919" s="464"/>
      <c r="M919" s="164"/>
      <c r="N919" s="494"/>
      <c r="O919" s="493"/>
      <c r="P919" s="495"/>
      <c r="Q919" s="487"/>
      <c r="R919" s="164"/>
      <c r="S919" s="467"/>
      <c r="T919" s="468"/>
      <c r="U919" s="469"/>
      <c r="V919" s="429"/>
      <c r="W919" s="429"/>
      <c r="X919" s="429"/>
      <c r="Y919" s="429"/>
      <c r="Z919" s="429"/>
    </row>
    <row r="920" spans="1:26" ht="18" customHeight="1">
      <c r="A920" s="464"/>
      <c r="B920" s="488"/>
      <c r="C920" s="489"/>
      <c r="D920" s="464"/>
      <c r="E920" s="464"/>
      <c r="F920" s="490"/>
      <c r="G920" s="491"/>
      <c r="H920" s="492"/>
      <c r="I920" s="164"/>
      <c r="J920" s="493"/>
      <c r="K920" s="481"/>
      <c r="L920" s="464"/>
      <c r="M920" s="164"/>
      <c r="N920" s="494"/>
      <c r="O920" s="493"/>
      <c r="P920" s="495"/>
      <c r="Q920" s="487"/>
      <c r="R920" s="164"/>
      <c r="S920" s="467"/>
      <c r="T920" s="468"/>
      <c r="U920" s="469"/>
      <c r="V920" s="429"/>
      <c r="W920" s="429"/>
      <c r="X920" s="429"/>
      <c r="Y920" s="429"/>
      <c r="Z920" s="429"/>
    </row>
    <row r="921" spans="1:26" ht="18" customHeight="1">
      <c r="A921" s="464"/>
      <c r="B921" s="488"/>
      <c r="C921" s="489"/>
      <c r="D921" s="464"/>
      <c r="E921" s="464"/>
      <c r="F921" s="490"/>
      <c r="G921" s="491"/>
      <c r="H921" s="492"/>
      <c r="I921" s="164"/>
      <c r="J921" s="493"/>
      <c r="K921" s="481"/>
      <c r="L921" s="464"/>
      <c r="M921" s="164"/>
      <c r="N921" s="494"/>
      <c r="O921" s="493"/>
      <c r="P921" s="495"/>
      <c r="Q921" s="487"/>
      <c r="R921" s="164"/>
      <c r="S921" s="467"/>
      <c r="T921" s="468"/>
      <c r="U921" s="469"/>
      <c r="V921" s="429"/>
      <c r="W921" s="429"/>
      <c r="X921" s="429"/>
      <c r="Y921" s="429"/>
      <c r="Z921" s="429"/>
    </row>
    <row r="922" spans="1:26" ht="18" customHeight="1">
      <c r="A922" s="464"/>
      <c r="B922" s="488"/>
      <c r="C922" s="489"/>
      <c r="D922" s="464"/>
      <c r="E922" s="464"/>
      <c r="F922" s="490"/>
      <c r="G922" s="491"/>
      <c r="H922" s="492"/>
      <c r="I922" s="164"/>
      <c r="J922" s="493"/>
      <c r="K922" s="481"/>
      <c r="L922" s="464"/>
      <c r="M922" s="164"/>
      <c r="N922" s="494"/>
      <c r="O922" s="493"/>
      <c r="P922" s="495"/>
      <c r="Q922" s="487"/>
      <c r="R922" s="164"/>
      <c r="S922" s="467"/>
      <c r="T922" s="468"/>
      <c r="U922" s="469"/>
      <c r="V922" s="429"/>
      <c r="W922" s="429"/>
      <c r="X922" s="429"/>
      <c r="Y922" s="429"/>
      <c r="Z922" s="429"/>
    </row>
    <row r="923" spans="1:26" ht="18" customHeight="1">
      <c r="A923" s="464"/>
      <c r="B923" s="488"/>
      <c r="C923" s="489"/>
      <c r="D923" s="464"/>
      <c r="E923" s="464"/>
      <c r="F923" s="490"/>
      <c r="G923" s="491"/>
      <c r="H923" s="492"/>
      <c r="I923" s="164"/>
      <c r="J923" s="493"/>
      <c r="K923" s="481"/>
      <c r="L923" s="464"/>
      <c r="M923" s="164"/>
      <c r="N923" s="494"/>
      <c r="O923" s="493"/>
      <c r="P923" s="495"/>
      <c r="Q923" s="487"/>
      <c r="R923" s="164"/>
      <c r="S923" s="467"/>
      <c r="T923" s="468"/>
      <c r="U923" s="469"/>
      <c r="V923" s="429"/>
      <c r="W923" s="429"/>
      <c r="X923" s="429"/>
      <c r="Y923" s="429"/>
      <c r="Z923" s="429"/>
    </row>
    <row r="924" spans="1:26" ht="18" customHeight="1">
      <c r="A924" s="464"/>
      <c r="B924" s="488"/>
      <c r="C924" s="489"/>
      <c r="D924" s="464"/>
      <c r="E924" s="464"/>
      <c r="F924" s="490"/>
      <c r="G924" s="491"/>
      <c r="H924" s="492"/>
      <c r="I924" s="164"/>
      <c r="J924" s="493"/>
      <c r="K924" s="481"/>
      <c r="L924" s="464"/>
      <c r="M924" s="164"/>
      <c r="N924" s="494"/>
      <c r="O924" s="493"/>
      <c r="P924" s="495"/>
      <c r="Q924" s="487"/>
      <c r="R924" s="164"/>
      <c r="S924" s="467"/>
      <c r="T924" s="468"/>
      <c r="U924" s="469"/>
      <c r="V924" s="429"/>
      <c r="W924" s="429"/>
      <c r="X924" s="429"/>
      <c r="Y924" s="429"/>
      <c r="Z924" s="429"/>
    </row>
    <row r="925" spans="1:26" ht="18" customHeight="1">
      <c r="A925" s="464"/>
      <c r="B925" s="488"/>
      <c r="C925" s="489"/>
      <c r="D925" s="464"/>
      <c r="E925" s="464"/>
      <c r="F925" s="490"/>
      <c r="G925" s="491"/>
      <c r="H925" s="492"/>
      <c r="I925" s="164"/>
      <c r="J925" s="493"/>
      <c r="K925" s="481"/>
      <c r="L925" s="464"/>
      <c r="M925" s="164"/>
      <c r="N925" s="494"/>
      <c r="O925" s="493"/>
      <c r="P925" s="495"/>
      <c r="Q925" s="487"/>
      <c r="R925" s="164"/>
      <c r="S925" s="467"/>
      <c r="T925" s="468"/>
      <c r="U925" s="469"/>
      <c r="V925" s="429"/>
      <c r="W925" s="429"/>
      <c r="X925" s="429"/>
      <c r="Y925" s="429"/>
      <c r="Z925" s="429"/>
    </row>
    <row r="926" spans="1:26" ht="18" customHeight="1">
      <c r="A926" s="464"/>
      <c r="B926" s="488"/>
      <c r="C926" s="489"/>
      <c r="D926" s="464"/>
      <c r="E926" s="464"/>
      <c r="F926" s="490"/>
      <c r="G926" s="491"/>
      <c r="H926" s="492"/>
      <c r="I926" s="164"/>
      <c r="J926" s="493"/>
      <c r="K926" s="481"/>
      <c r="L926" s="464"/>
      <c r="M926" s="164"/>
      <c r="N926" s="494"/>
      <c r="O926" s="493"/>
      <c r="P926" s="495"/>
      <c r="Q926" s="487"/>
      <c r="R926" s="164"/>
      <c r="S926" s="467"/>
      <c r="T926" s="468"/>
      <c r="U926" s="469"/>
      <c r="V926" s="429"/>
      <c r="W926" s="429"/>
      <c r="X926" s="429"/>
      <c r="Y926" s="429"/>
      <c r="Z926" s="429"/>
    </row>
    <row r="927" spans="1:26" ht="18" customHeight="1">
      <c r="A927" s="464"/>
      <c r="B927" s="488"/>
      <c r="C927" s="489"/>
      <c r="D927" s="464"/>
      <c r="E927" s="464"/>
      <c r="F927" s="490"/>
      <c r="G927" s="491"/>
      <c r="H927" s="492"/>
      <c r="I927" s="164"/>
      <c r="J927" s="493"/>
      <c r="K927" s="481"/>
      <c r="L927" s="464"/>
      <c r="M927" s="164"/>
      <c r="N927" s="494"/>
      <c r="O927" s="493"/>
      <c r="P927" s="495"/>
      <c r="Q927" s="487"/>
      <c r="R927" s="164"/>
      <c r="S927" s="467"/>
      <c r="T927" s="468"/>
      <c r="U927" s="469"/>
      <c r="V927" s="429"/>
      <c r="W927" s="429"/>
      <c r="X927" s="429"/>
      <c r="Y927" s="429"/>
      <c r="Z927" s="429"/>
    </row>
    <row r="928" spans="1:26" ht="18" customHeight="1">
      <c r="A928" s="464"/>
      <c r="B928" s="488"/>
      <c r="C928" s="489"/>
      <c r="D928" s="464"/>
      <c r="E928" s="464"/>
      <c r="F928" s="490"/>
      <c r="G928" s="491"/>
      <c r="H928" s="492"/>
      <c r="I928" s="164"/>
      <c r="J928" s="493"/>
      <c r="K928" s="481"/>
      <c r="L928" s="464"/>
      <c r="M928" s="164"/>
      <c r="N928" s="494"/>
      <c r="O928" s="493"/>
      <c r="P928" s="495"/>
      <c r="Q928" s="487"/>
      <c r="R928" s="164"/>
      <c r="S928" s="467"/>
      <c r="T928" s="468"/>
      <c r="U928" s="469"/>
      <c r="V928" s="429"/>
      <c r="W928" s="429"/>
      <c r="X928" s="429"/>
      <c r="Y928" s="429"/>
      <c r="Z928" s="429"/>
    </row>
    <row r="929" spans="1:26" ht="18" customHeight="1">
      <c r="A929" s="464"/>
      <c r="B929" s="488"/>
      <c r="C929" s="489"/>
      <c r="D929" s="464"/>
      <c r="E929" s="464"/>
      <c r="F929" s="490"/>
      <c r="G929" s="491"/>
      <c r="H929" s="492"/>
      <c r="I929" s="164"/>
      <c r="J929" s="493"/>
      <c r="K929" s="481"/>
      <c r="L929" s="464"/>
      <c r="M929" s="164"/>
      <c r="N929" s="494"/>
      <c r="O929" s="493"/>
      <c r="P929" s="495"/>
      <c r="Q929" s="487"/>
      <c r="R929" s="164"/>
      <c r="S929" s="467"/>
      <c r="T929" s="468"/>
      <c r="U929" s="469"/>
      <c r="V929" s="429"/>
      <c r="W929" s="429"/>
      <c r="X929" s="429"/>
      <c r="Y929" s="429"/>
      <c r="Z929" s="429"/>
    </row>
    <row r="930" spans="1:26" ht="18" customHeight="1">
      <c r="A930" s="464"/>
      <c r="B930" s="488"/>
      <c r="C930" s="489"/>
      <c r="D930" s="464"/>
      <c r="E930" s="464"/>
      <c r="F930" s="490"/>
      <c r="G930" s="491"/>
      <c r="H930" s="492"/>
      <c r="I930" s="164"/>
      <c r="J930" s="493"/>
      <c r="K930" s="481"/>
      <c r="L930" s="464"/>
      <c r="M930" s="164"/>
      <c r="N930" s="494"/>
      <c r="O930" s="493"/>
      <c r="P930" s="495"/>
      <c r="Q930" s="487"/>
      <c r="R930" s="164"/>
      <c r="S930" s="467"/>
      <c r="T930" s="468"/>
      <c r="U930" s="469"/>
      <c r="V930" s="429"/>
      <c r="W930" s="429"/>
      <c r="X930" s="429"/>
      <c r="Y930" s="429"/>
      <c r="Z930" s="429"/>
    </row>
    <row r="931" spans="1:26" ht="18" customHeight="1">
      <c r="A931" s="464"/>
      <c r="B931" s="488"/>
      <c r="C931" s="489"/>
      <c r="D931" s="464"/>
      <c r="E931" s="464"/>
      <c r="F931" s="490"/>
      <c r="G931" s="491"/>
      <c r="H931" s="492"/>
      <c r="I931" s="164"/>
      <c r="J931" s="493"/>
      <c r="K931" s="481"/>
      <c r="L931" s="464"/>
      <c r="M931" s="164"/>
      <c r="N931" s="494"/>
      <c r="O931" s="493"/>
      <c r="P931" s="495"/>
      <c r="Q931" s="487"/>
      <c r="R931" s="164"/>
      <c r="S931" s="467"/>
      <c r="T931" s="468"/>
      <c r="U931" s="469"/>
      <c r="V931" s="429"/>
      <c r="W931" s="429"/>
      <c r="X931" s="429"/>
      <c r="Y931" s="429"/>
      <c r="Z931" s="429"/>
    </row>
    <row r="932" spans="1:26" ht="18" customHeight="1">
      <c r="A932" s="464"/>
      <c r="B932" s="488"/>
      <c r="C932" s="489"/>
      <c r="D932" s="464"/>
      <c r="E932" s="464"/>
      <c r="F932" s="490"/>
      <c r="G932" s="491"/>
      <c r="H932" s="492"/>
      <c r="I932" s="164"/>
      <c r="J932" s="493"/>
      <c r="K932" s="481"/>
      <c r="L932" s="464"/>
      <c r="M932" s="164"/>
      <c r="N932" s="494"/>
      <c r="O932" s="493"/>
      <c r="P932" s="495"/>
      <c r="Q932" s="487"/>
      <c r="R932" s="164"/>
      <c r="S932" s="467"/>
      <c r="T932" s="468"/>
      <c r="U932" s="469"/>
      <c r="V932" s="429"/>
      <c r="W932" s="429"/>
      <c r="X932" s="429"/>
      <c r="Y932" s="429"/>
      <c r="Z932" s="429"/>
    </row>
    <row r="933" spans="1:26" ht="18" customHeight="1">
      <c r="A933" s="464"/>
      <c r="B933" s="488"/>
      <c r="C933" s="489"/>
      <c r="D933" s="464"/>
      <c r="E933" s="464"/>
      <c r="F933" s="490"/>
      <c r="G933" s="491"/>
      <c r="H933" s="492"/>
      <c r="I933" s="164"/>
      <c r="J933" s="493"/>
      <c r="K933" s="481"/>
      <c r="L933" s="464"/>
      <c r="M933" s="164"/>
      <c r="N933" s="494"/>
      <c r="O933" s="493"/>
      <c r="P933" s="495"/>
      <c r="Q933" s="487"/>
      <c r="R933" s="164"/>
      <c r="S933" s="467"/>
      <c r="T933" s="468"/>
      <c r="U933" s="469"/>
      <c r="V933" s="429"/>
      <c r="W933" s="429"/>
      <c r="X933" s="429"/>
      <c r="Y933" s="429"/>
      <c r="Z933" s="429"/>
    </row>
    <row r="934" spans="1:26" ht="18" customHeight="1">
      <c r="A934" s="464"/>
      <c r="B934" s="488"/>
      <c r="C934" s="489"/>
      <c r="D934" s="464"/>
      <c r="E934" s="464"/>
      <c r="F934" s="490"/>
      <c r="G934" s="491"/>
      <c r="H934" s="492"/>
      <c r="I934" s="164"/>
      <c r="J934" s="493"/>
      <c r="K934" s="481"/>
      <c r="L934" s="464"/>
      <c r="M934" s="164"/>
      <c r="N934" s="494"/>
      <c r="O934" s="493"/>
      <c r="P934" s="495"/>
      <c r="Q934" s="487"/>
      <c r="R934" s="164"/>
      <c r="S934" s="467"/>
      <c r="T934" s="468"/>
      <c r="U934" s="469"/>
      <c r="V934" s="429"/>
      <c r="W934" s="429"/>
      <c r="X934" s="429"/>
      <c r="Y934" s="429"/>
      <c r="Z934" s="429"/>
    </row>
    <row r="935" spans="1:26" ht="18" customHeight="1">
      <c r="A935" s="464"/>
      <c r="B935" s="488"/>
      <c r="C935" s="489"/>
      <c r="D935" s="464"/>
      <c r="E935" s="464"/>
      <c r="F935" s="490"/>
      <c r="G935" s="491"/>
      <c r="H935" s="492"/>
      <c r="I935" s="164"/>
      <c r="J935" s="493"/>
      <c r="K935" s="481"/>
      <c r="L935" s="464"/>
      <c r="M935" s="164"/>
      <c r="N935" s="494"/>
      <c r="O935" s="493"/>
      <c r="P935" s="495"/>
      <c r="Q935" s="487"/>
      <c r="R935" s="164"/>
      <c r="S935" s="467"/>
      <c r="T935" s="468"/>
      <c r="U935" s="469"/>
      <c r="V935" s="429"/>
      <c r="W935" s="429"/>
      <c r="X935" s="429"/>
      <c r="Y935" s="429"/>
      <c r="Z935" s="429"/>
    </row>
    <row r="936" spans="1:26" ht="18" customHeight="1">
      <c r="A936" s="464"/>
      <c r="B936" s="488"/>
      <c r="C936" s="489"/>
      <c r="D936" s="464"/>
      <c r="E936" s="464"/>
      <c r="F936" s="490"/>
      <c r="G936" s="491"/>
      <c r="H936" s="492"/>
      <c r="I936" s="164"/>
      <c r="J936" s="493"/>
      <c r="K936" s="481"/>
      <c r="L936" s="464"/>
      <c r="M936" s="164"/>
      <c r="N936" s="494"/>
      <c r="O936" s="493"/>
      <c r="P936" s="495"/>
      <c r="Q936" s="487"/>
      <c r="R936" s="164"/>
      <c r="S936" s="467"/>
      <c r="T936" s="468"/>
      <c r="U936" s="469"/>
      <c r="V936" s="429"/>
      <c r="W936" s="429"/>
      <c r="X936" s="429"/>
      <c r="Y936" s="429"/>
      <c r="Z936" s="429"/>
    </row>
    <row r="937" spans="1:26" ht="18" customHeight="1">
      <c r="A937" s="464"/>
      <c r="B937" s="488"/>
      <c r="C937" s="489"/>
      <c r="D937" s="464"/>
      <c r="E937" s="464"/>
      <c r="F937" s="490"/>
      <c r="G937" s="491"/>
      <c r="H937" s="492"/>
      <c r="I937" s="164"/>
      <c r="J937" s="493"/>
      <c r="K937" s="481"/>
      <c r="L937" s="464"/>
      <c r="M937" s="164"/>
      <c r="N937" s="494"/>
      <c r="O937" s="493"/>
      <c r="P937" s="495"/>
      <c r="Q937" s="487"/>
      <c r="R937" s="164"/>
      <c r="S937" s="467"/>
      <c r="T937" s="468"/>
      <c r="U937" s="469"/>
      <c r="V937" s="429"/>
      <c r="W937" s="429"/>
      <c r="X937" s="429"/>
      <c r="Y937" s="429"/>
      <c r="Z937" s="429"/>
    </row>
    <row r="938" spans="1:26" ht="18" customHeight="1">
      <c r="A938" s="464"/>
      <c r="B938" s="488"/>
      <c r="C938" s="489"/>
      <c r="D938" s="464"/>
      <c r="E938" s="464"/>
      <c r="F938" s="490"/>
      <c r="G938" s="491"/>
      <c r="H938" s="492"/>
      <c r="I938" s="164"/>
      <c r="J938" s="493"/>
      <c r="K938" s="481"/>
      <c r="L938" s="464"/>
      <c r="M938" s="164"/>
      <c r="N938" s="494"/>
      <c r="O938" s="493"/>
      <c r="P938" s="495"/>
      <c r="Q938" s="487"/>
      <c r="R938" s="164"/>
      <c r="S938" s="467"/>
      <c r="T938" s="468"/>
      <c r="U938" s="469"/>
      <c r="V938" s="429"/>
      <c r="W938" s="429"/>
      <c r="X938" s="429"/>
      <c r="Y938" s="429"/>
      <c r="Z938" s="429"/>
    </row>
    <row r="939" spans="1:26" ht="18" customHeight="1">
      <c r="A939" s="464"/>
      <c r="B939" s="488"/>
      <c r="C939" s="489"/>
      <c r="D939" s="464"/>
      <c r="E939" s="464"/>
      <c r="F939" s="490"/>
      <c r="G939" s="491"/>
      <c r="H939" s="492"/>
      <c r="I939" s="164"/>
      <c r="J939" s="493"/>
      <c r="K939" s="481"/>
      <c r="L939" s="464"/>
      <c r="M939" s="164"/>
      <c r="N939" s="494"/>
      <c r="O939" s="493"/>
      <c r="P939" s="495"/>
      <c r="Q939" s="487"/>
      <c r="R939" s="164"/>
      <c r="S939" s="467"/>
      <c r="T939" s="468"/>
      <c r="U939" s="469"/>
      <c r="V939" s="429"/>
      <c r="W939" s="429"/>
      <c r="X939" s="429"/>
      <c r="Y939" s="429"/>
      <c r="Z939" s="429"/>
    </row>
    <row r="940" spans="1:26" ht="18" customHeight="1">
      <c r="A940" s="464"/>
      <c r="B940" s="488"/>
      <c r="C940" s="489"/>
      <c r="D940" s="464"/>
      <c r="E940" s="464"/>
      <c r="F940" s="490"/>
      <c r="G940" s="491"/>
      <c r="H940" s="492"/>
      <c r="I940" s="164"/>
      <c r="J940" s="493"/>
      <c r="K940" s="481"/>
      <c r="L940" s="464"/>
      <c r="M940" s="164"/>
      <c r="N940" s="494"/>
      <c r="O940" s="493"/>
      <c r="P940" s="495"/>
      <c r="Q940" s="487"/>
      <c r="R940" s="164"/>
      <c r="S940" s="467"/>
      <c r="T940" s="468"/>
      <c r="U940" s="469"/>
      <c r="V940" s="429"/>
      <c r="W940" s="429"/>
      <c r="X940" s="429"/>
      <c r="Y940" s="429"/>
      <c r="Z940" s="429"/>
    </row>
    <row r="941" spans="1:26" ht="18" customHeight="1">
      <c r="A941" s="464"/>
      <c r="B941" s="488"/>
      <c r="C941" s="489"/>
      <c r="D941" s="464"/>
      <c r="E941" s="464"/>
      <c r="F941" s="490"/>
      <c r="G941" s="491"/>
      <c r="H941" s="492"/>
      <c r="I941" s="164"/>
      <c r="J941" s="493"/>
      <c r="K941" s="481"/>
      <c r="L941" s="464"/>
      <c r="M941" s="164"/>
      <c r="N941" s="494"/>
      <c r="O941" s="493"/>
      <c r="P941" s="495"/>
      <c r="Q941" s="487"/>
      <c r="R941" s="164"/>
      <c r="S941" s="467"/>
      <c r="T941" s="468"/>
      <c r="U941" s="469"/>
      <c r="V941" s="429"/>
      <c r="W941" s="429"/>
      <c r="X941" s="429"/>
      <c r="Y941" s="429"/>
      <c r="Z941" s="429"/>
    </row>
    <row r="942" spans="1:26" ht="18" customHeight="1">
      <c r="A942" s="464"/>
      <c r="B942" s="488"/>
      <c r="C942" s="489"/>
      <c r="D942" s="464"/>
      <c r="E942" s="464"/>
      <c r="F942" s="490"/>
      <c r="G942" s="491"/>
      <c r="H942" s="492"/>
      <c r="I942" s="164"/>
      <c r="J942" s="493"/>
      <c r="K942" s="481"/>
      <c r="L942" s="464"/>
      <c r="M942" s="164"/>
      <c r="N942" s="494"/>
      <c r="O942" s="493"/>
      <c r="P942" s="495"/>
      <c r="Q942" s="487"/>
      <c r="R942" s="164"/>
      <c r="S942" s="467"/>
      <c r="T942" s="468"/>
      <c r="U942" s="469"/>
      <c r="V942" s="429"/>
      <c r="W942" s="429"/>
      <c r="X942" s="429"/>
      <c r="Y942" s="429"/>
      <c r="Z942" s="429"/>
    </row>
    <row r="943" spans="1:26" ht="18" customHeight="1">
      <c r="A943" s="464"/>
      <c r="B943" s="488"/>
      <c r="C943" s="489"/>
      <c r="D943" s="464"/>
      <c r="E943" s="464"/>
      <c r="F943" s="490"/>
      <c r="G943" s="491"/>
      <c r="H943" s="492"/>
      <c r="I943" s="164"/>
      <c r="J943" s="493"/>
      <c r="K943" s="481"/>
      <c r="L943" s="464"/>
      <c r="M943" s="164"/>
      <c r="N943" s="494"/>
      <c r="O943" s="493"/>
      <c r="P943" s="495"/>
      <c r="Q943" s="487"/>
      <c r="R943" s="164"/>
      <c r="S943" s="467"/>
      <c r="T943" s="468"/>
      <c r="U943" s="469"/>
      <c r="V943" s="429"/>
      <c r="W943" s="429"/>
      <c r="X943" s="429"/>
      <c r="Y943" s="429"/>
      <c r="Z943" s="429"/>
    </row>
    <row r="944" spans="1:26" ht="18" customHeight="1">
      <c r="A944" s="464"/>
      <c r="B944" s="488"/>
      <c r="C944" s="489"/>
      <c r="D944" s="464"/>
      <c r="E944" s="464"/>
      <c r="F944" s="490"/>
      <c r="G944" s="491"/>
      <c r="H944" s="492"/>
      <c r="I944" s="164"/>
      <c r="J944" s="493"/>
      <c r="K944" s="481"/>
      <c r="L944" s="464"/>
      <c r="M944" s="164"/>
      <c r="N944" s="494"/>
      <c r="O944" s="493"/>
      <c r="P944" s="495"/>
      <c r="Q944" s="487"/>
      <c r="R944" s="164"/>
      <c r="S944" s="467"/>
      <c r="T944" s="468"/>
      <c r="U944" s="469"/>
      <c r="V944" s="429"/>
      <c r="W944" s="429"/>
      <c r="X944" s="429"/>
      <c r="Y944" s="429"/>
      <c r="Z944" s="429"/>
    </row>
    <row r="945" spans="1:26" ht="18" customHeight="1">
      <c r="A945" s="464"/>
      <c r="B945" s="488"/>
      <c r="C945" s="489"/>
      <c r="D945" s="464"/>
      <c r="E945" s="464"/>
      <c r="F945" s="490"/>
      <c r="G945" s="491"/>
      <c r="H945" s="492"/>
      <c r="I945" s="164"/>
      <c r="J945" s="493"/>
      <c r="K945" s="481"/>
      <c r="L945" s="464"/>
      <c r="M945" s="164"/>
      <c r="N945" s="494"/>
      <c r="O945" s="493"/>
      <c r="P945" s="495"/>
      <c r="Q945" s="487"/>
      <c r="R945" s="164"/>
      <c r="S945" s="467"/>
      <c r="T945" s="468"/>
      <c r="U945" s="469"/>
      <c r="V945" s="429"/>
      <c r="W945" s="429"/>
      <c r="X945" s="429"/>
      <c r="Y945" s="429"/>
      <c r="Z945" s="429"/>
    </row>
    <row r="946" spans="1:26" ht="18" customHeight="1">
      <c r="A946" s="464"/>
      <c r="B946" s="488"/>
      <c r="C946" s="489"/>
      <c r="D946" s="464"/>
      <c r="E946" s="464"/>
      <c r="F946" s="490"/>
      <c r="G946" s="491"/>
      <c r="H946" s="492"/>
      <c r="I946" s="164"/>
      <c r="J946" s="493"/>
      <c r="K946" s="481"/>
      <c r="L946" s="464"/>
      <c r="M946" s="164"/>
      <c r="N946" s="494"/>
      <c r="O946" s="493"/>
      <c r="P946" s="495"/>
      <c r="Q946" s="487"/>
      <c r="R946" s="164"/>
      <c r="S946" s="467"/>
      <c r="T946" s="468"/>
      <c r="U946" s="469"/>
      <c r="V946" s="429"/>
      <c r="W946" s="429"/>
      <c r="X946" s="429"/>
      <c r="Y946" s="429"/>
      <c r="Z946" s="429"/>
    </row>
    <row r="947" spans="1:26" ht="18" customHeight="1">
      <c r="A947" s="464"/>
      <c r="B947" s="488"/>
      <c r="C947" s="489"/>
      <c r="D947" s="464"/>
      <c r="E947" s="464"/>
      <c r="F947" s="490"/>
      <c r="G947" s="491"/>
      <c r="H947" s="492"/>
      <c r="I947" s="164"/>
      <c r="J947" s="493"/>
      <c r="K947" s="481"/>
      <c r="L947" s="464"/>
      <c r="M947" s="164"/>
      <c r="N947" s="494"/>
      <c r="O947" s="493"/>
      <c r="P947" s="495"/>
      <c r="Q947" s="487"/>
      <c r="R947" s="164"/>
      <c r="S947" s="467"/>
      <c r="T947" s="468"/>
      <c r="U947" s="469"/>
      <c r="V947" s="429"/>
      <c r="W947" s="429"/>
      <c r="X947" s="429"/>
      <c r="Y947" s="429"/>
      <c r="Z947" s="429"/>
    </row>
    <row r="948" spans="1:26" ht="18" customHeight="1">
      <c r="A948" s="464"/>
      <c r="B948" s="488"/>
      <c r="C948" s="489"/>
      <c r="D948" s="464"/>
      <c r="E948" s="464"/>
      <c r="F948" s="490"/>
      <c r="G948" s="491"/>
      <c r="H948" s="492"/>
      <c r="I948" s="164"/>
      <c r="J948" s="493"/>
      <c r="K948" s="481"/>
      <c r="L948" s="464"/>
      <c r="M948" s="164"/>
      <c r="N948" s="494"/>
      <c r="O948" s="493"/>
      <c r="P948" s="495"/>
      <c r="Q948" s="487"/>
      <c r="R948" s="164"/>
      <c r="S948" s="467"/>
      <c r="T948" s="468"/>
      <c r="U948" s="469"/>
      <c r="V948" s="429"/>
      <c r="W948" s="429"/>
      <c r="X948" s="429"/>
      <c r="Y948" s="429"/>
      <c r="Z948" s="429"/>
    </row>
    <row r="949" spans="1:26" ht="18" customHeight="1">
      <c r="A949" s="464"/>
      <c r="B949" s="488"/>
      <c r="C949" s="489"/>
      <c r="D949" s="464"/>
      <c r="E949" s="464"/>
      <c r="F949" s="490"/>
      <c r="G949" s="491"/>
      <c r="H949" s="492"/>
      <c r="I949" s="164"/>
      <c r="J949" s="493"/>
      <c r="K949" s="481"/>
      <c r="L949" s="464"/>
      <c r="M949" s="164"/>
      <c r="N949" s="494"/>
      <c r="O949" s="493"/>
      <c r="P949" s="495"/>
      <c r="Q949" s="487"/>
      <c r="R949" s="164"/>
      <c r="S949" s="467"/>
      <c r="T949" s="468"/>
      <c r="U949" s="469"/>
      <c r="V949" s="429"/>
      <c r="W949" s="429"/>
      <c r="X949" s="429"/>
      <c r="Y949" s="429"/>
      <c r="Z949" s="429"/>
    </row>
    <row r="950" spans="1:26" ht="18" customHeight="1">
      <c r="A950" s="464"/>
      <c r="B950" s="488"/>
      <c r="C950" s="489"/>
      <c r="D950" s="464"/>
      <c r="E950" s="464"/>
      <c r="F950" s="490"/>
      <c r="G950" s="491"/>
      <c r="H950" s="492"/>
      <c r="I950" s="164"/>
      <c r="J950" s="493"/>
      <c r="K950" s="481"/>
      <c r="L950" s="464"/>
      <c r="M950" s="164"/>
      <c r="N950" s="494"/>
      <c r="O950" s="493"/>
      <c r="P950" s="495"/>
      <c r="Q950" s="487"/>
      <c r="R950" s="164"/>
      <c r="S950" s="467"/>
      <c r="T950" s="468"/>
      <c r="U950" s="469"/>
      <c r="V950" s="429"/>
      <c r="W950" s="429"/>
      <c r="X950" s="429"/>
      <c r="Y950" s="429"/>
      <c r="Z950" s="429"/>
    </row>
    <row r="951" spans="1:26" ht="18" customHeight="1">
      <c r="A951" s="464"/>
      <c r="B951" s="488"/>
      <c r="C951" s="489"/>
      <c r="D951" s="464"/>
      <c r="E951" s="464"/>
      <c r="F951" s="490"/>
      <c r="G951" s="491"/>
      <c r="H951" s="492"/>
      <c r="I951" s="164"/>
      <c r="J951" s="493"/>
      <c r="K951" s="481"/>
      <c r="L951" s="464"/>
      <c r="M951" s="164"/>
      <c r="N951" s="494"/>
      <c r="O951" s="493"/>
      <c r="P951" s="495"/>
      <c r="Q951" s="487"/>
      <c r="R951" s="164"/>
      <c r="S951" s="467"/>
      <c r="T951" s="468"/>
      <c r="U951" s="469"/>
      <c r="V951" s="429"/>
      <c r="W951" s="429"/>
      <c r="X951" s="429"/>
      <c r="Y951" s="429"/>
      <c r="Z951" s="429"/>
    </row>
    <row r="952" spans="1:26" ht="18" customHeight="1">
      <c r="A952" s="464"/>
      <c r="B952" s="488"/>
      <c r="C952" s="489"/>
      <c r="D952" s="464"/>
      <c r="E952" s="464"/>
      <c r="F952" s="490"/>
      <c r="G952" s="491"/>
      <c r="H952" s="492"/>
      <c r="I952" s="164"/>
      <c r="J952" s="493"/>
      <c r="K952" s="481"/>
      <c r="L952" s="464"/>
      <c r="M952" s="164"/>
      <c r="N952" s="494"/>
      <c r="O952" s="493"/>
      <c r="P952" s="495"/>
      <c r="Q952" s="487"/>
      <c r="R952" s="164"/>
      <c r="S952" s="467"/>
      <c r="T952" s="468"/>
      <c r="U952" s="469"/>
      <c r="V952" s="429"/>
      <c r="W952" s="429"/>
      <c r="X952" s="429"/>
      <c r="Y952" s="429"/>
      <c r="Z952" s="429"/>
    </row>
    <row r="953" spans="1:26" ht="18" customHeight="1">
      <c r="A953" s="464"/>
      <c r="B953" s="488"/>
      <c r="C953" s="489"/>
      <c r="D953" s="464"/>
      <c r="E953" s="464"/>
      <c r="F953" s="490"/>
      <c r="G953" s="491"/>
      <c r="H953" s="492"/>
      <c r="I953" s="164"/>
      <c r="J953" s="493"/>
      <c r="K953" s="481"/>
      <c r="L953" s="464"/>
      <c r="M953" s="164"/>
      <c r="N953" s="494"/>
      <c r="O953" s="493"/>
      <c r="P953" s="495"/>
      <c r="Q953" s="487"/>
      <c r="R953" s="164"/>
      <c r="S953" s="467"/>
      <c r="T953" s="468"/>
      <c r="U953" s="469"/>
      <c r="V953" s="429"/>
      <c r="W953" s="429"/>
      <c r="X953" s="429"/>
      <c r="Y953" s="429"/>
      <c r="Z953" s="429"/>
    </row>
    <row r="954" spans="1:26" ht="18" customHeight="1">
      <c r="A954" s="464"/>
      <c r="B954" s="488"/>
      <c r="C954" s="489"/>
      <c r="D954" s="464"/>
      <c r="E954" s="464"/>
      <c r="F954" s="490"/>
      <c r="G954" s="491"/>
      <c r="H954" s="492"/>
      <c r="I954" s="164"/>
      <c r="J954" s="493"/>
      <c r="K954" s="481"/>
      <c r="L954" s="464"/>
      <c r="M954" s="164"/>
      <c r="N954" s="494"/>
      <c r="O954" s="493"/>
      <c r="P954" s="495"/>
      <c r="Q954" s="487"/>
      <c r="R954" s="164"/>
      <c r="S954" s="467"/>
      <c r="T954" s="468"/>
      <c r="U954" s="469"/>
      <c r="V954" s="429"/>
      <c r="W954" s="429"/>
      <c r="X954" s="429"/>
      <c r="Y954" s="429"/>
      <c r="Z954" s="429"/>
    </row>
    <row r="955" spans="1:26" ht="18" customHeight="1">
      <c r="A955" s="464"/>
      <c r="B955" s="488"/>
      <c r="C955" s="489"/>
      <c r="D955" s="464"/>
      <c r="E955" s="464"/>
      <c r="F955" s="490"/>
      <c r="G955" s="491"/>
      <c r="H955" s="492"/>
      <c r="I955" s="164"/>
      <c r="J955" s="493"/>
      <c r="K955" s="481"/>
      <c r="L955" s="464"/>
      <c r="M955" s="164"/>
      <c r="N955" s="494"/>
      <c r="O955" s="493"/>
      <c r="P955" s="495"/>
      <c r="Q955" s="487"/>
      <c r="R955" s="164"/>
      <c r="S955" s="467"/>
      <c r="T955" s="468"/>
      <c r="U955" s="469"/>
      <c r="V955" s="429"/>
      <c r="W955" s="429"/>
      <c r="X955" s="429"/>
      <c r="Y955" s="429"/>
      <c r="Z955" s="429"/>
    </row>
    <row r="956" spans="1:26" ht="18" customHeight="1">
      <c r="A956" s="464"/>
      <c r="B956" s="488"/>
      <c r="C956" s="489"/>
      <c r="D956" s="464"/>
      <c r="E956" s="464"/>
      <c r="F956" s="490"/>
      <c r="G956" s="491"/>
      <c r="H956" s="492"/>
      <c r="I956" s="164"/>
      <c r="J956" s="493"/>
      <c r="K956" s="481"/>
      <c r="L956" s="464"/>
      <c r="M956" s="164"/>
      <c r="N956" s="494"/>
      <c r="O956" s="493"/>
      <c r="P956" s="495"/>
      <c r="Q956" s="487"/>
      <c r="R956" s="164"/>
      <c r="S956" s="467"/>
      <c r="T956" s="468"/>
      <c r="U956" s="469"/>
      <c r="V956" s="429"/>
      <c r="W956" s="429"/>
      <c r="X956" s="429"/>
      <c r="Y956" s="429"/>
      <c r="Z956" s="429"/>
    </row>
    <row r="957" spans="1:26" ht="18" customHeight="1">
      <c r="A957" s="464"/>
      <c r="B957" s="488"/>
      <c r="C957" s="489"/>
      <c r="D957" s="464"/>
      <c r="E957" s="464"/>
      <c r="F957" s="490"/>
      <c r="G957" s="491"/>
      <c r="H957" s="492"/>
      <c r="I957" s="164"/>
      <c r="J957" s="493"/>
      <c r="K957" s="481"/>
      <c r="L957" s="464"/>
      <c r="M957" s="164"/>
      <c r="N957" s="494"/>
      <c r="O957" s="493"/>
      <c r="P957" s="495"/>
      <c r="Q957" s="487"/>
      <c r="R957" s="164"/>
      <c r="S957" s="467"/>
      <c r="T957" s="468"/>
      <c r="U957" s="469"/>
      <c r="V957" s="429"/>
      <c r="W957" s="429"/>
      <c r="X957" s="429"/>
      <c r="Y957" s="429"/>
      <c r="Z957" s="429"/>
    </row>
    <row r="958" spans="1:26" ht="18" customHeight="1">
      <c r="A958" s="464"/>
      <c r="B958" s="488"/>
      <c r="C958" s="489"/>
      <c r="D958" s="464"/>
      <c r="E958" s="464"/>
      <c r="F958" s="490"/>
      <c r="G958" s="491"/>
      <c r="H958" s="492"/>
      <c r="I958" s="164"/>
      <c r="J958" s="493"/>
      <c r="K958" s="481"/>
      <c r="L958" s="464"/>
      <c r="M958" s="164"/>
      <c r="N958" s="494"/>
      <c r="O958" s="493"/>
      <c r="P958" s="495"/>
      <c r="Q958" s="487"/>
      <c r="R958" s="164"/>
      <c r="S958" s="467"/>
      <c r="T958" s="468"/>
      <c r="U958" s="469"/>
      <c r="V958" s="429"/>
      <c r="W958" s="429"/>
      <c r="X958" s="429"/>
      <c r="Y958" s="429"/>
      <c r="Z958" s="429"/>
    </row>
    <row r="959" spans="1:26" ht="18" customHeight="1">
      <c r="A959" s="464"/>
      <c r="B959" s="488"/>
      <c r="C959" s="489"/>
      <c r="D959" s="464"/>
      <c r="E959" s="464"/>
      <c r="F959" s="490"/>
      <c r="G959" s="491"/>
      <c r="H959" s="492"/>
      <c r="I959" s="164"/>
      <c r="J959" s="493"/>
      <c r="K959" s="481"/>
      <c r="L959" s="464"/>
      <c r="M959" s="164"/>
      <c r="N959" s="494"/>
      <c r="O959" s="493"/>
      <c r="P959" s="495"/>
      <c r="Q959" s="487"/>
      <c r="R959" s="164"/>
      <c r="S959" s="467"/>
      <c r="T959" s="468"/>
      <c r="U959" s="469"/>
      <c r="V959" s="429"/>
      <c r="W959" s="429"/>
      <c r="X959" s="429"/>
      <c r="Y959" s="429"/>
      <c r="Z959" s="429"/>
    </row>
    <row r="960" spans="1:26" ht="18" customHeight="1">
      <c r="A960" s="464"/>
      <c r="B960" s="488"/>
      <c r="C960" s="489"/>
      <c r="D960" s="464"/>
      <c r="E960" s="464"/>
      <c r="F960" s="490"/>
      <c r="G960" s="491"/>
      <c r="H960" s="492"/>
      <c r="I960" s="164"/>
      <c r="J960" s="493"/>
      <c r="K960" s="481"/>
      <c r="L960" s="464"/>
      <c r="M960" s="164"/>
      <c r="N960" s="494"/>
      <c r="O960" s="493"/>
      <c r="P960" s="495"/>
      <c r="Q960" s="487"/>
      <c r="R960" s="164"/>
      <c r="S960" s="467"/>
      <c r="T960" s="468"/>
      <c r="U960" s="469"/>
      <c r="V960" s="429"/>
      <c r="W960" s="429"/>
      <c r="X960" s="429"/>
      <c r="Y960" s="429"/>
      <c r="Z960" s="429"/>
    </row>
    <row r="961" spans="1:26" ht="18" customHeight="1">
      <c r="A961" s="464"/>
      <c r="B961" s="488"/>
      <c r="C961" s="489"/>
      <c r="D961" s="464"/>
      <c r="E961" s="464"/>
      <c r="F961" s="490"/>
      <c r="G961" s="491"/>
      <c r="H961" s="492"/>
      <c r="I961" s="164"/>
      <c r="J961" s="493"/>
      <c r="K961" s="481"/>
      <c r="L961" s="464"/>
      <c r="M961" s="164"/>
      <c r="N961" s="494"/>
      <c r="O961" s="493"/>
      <c r="P961" s="495"/>
      <c r="Q961" s="487"/>
      <c r="R961" s="164"/>
      <c r="S961" s="467"/>
      <c r="T961" s="468"/>
      <c r="U961" s="469"/>
      <c r="V961" s="429"/>
      <c r="W961" s="429"/>
      <c r="X961" s="429"/>
      <c r="Y961" s="429"/>
      <c r="Z961" s="429"/>
    </row>
    <row r="962" spans="1:26" ht="18" customHeight="1">
      <c r="A962" s="464"/>
      <c r="B962" s="488"/>
      <c r="C962" s="489"/>
      <c r="D962" s="464"/>
      <c r="E962" s="464"/>
      <c r="F962" s="490"/>
      <c r="G962" s="491"/>
      <c r="H962" s="492"/>
      <c r="I962" s="164"/>
      <c r="J962" s="493"/>
      <c r="K962" s="481"/>
      <c r="L962" s="464"/>
      <c r="M962" s="164"/>
      <c r="N962" s="494"/>
      <c r="O962" s="493"/>
      <c r="P962" s="495"/>
      <c r="Q962" s="487"/>
      <c r="R962" s="164"/>
      <c r="S962" s="467"/>
      <c r="T962" s="468"/>
      <c r="U962" s="469"/>
      <c r="V962" s="429"/>
      <c r="W962" s="429"/>
      <c r="X962" s="429"/>
      <c r="Y962" s="429"/>
      <c r="Z962" s="429"/>
    </row>
    <row r="963" spans="1:26" ht="18" customHeight="1">
      <c r="A963" s="464"/>
      <c r="B963" s="488"/>
      <c r="C963" s="489"/>
      <c r="D963" s="464"/>
      <c r="E963" s="464"/>
      <c r="F963" s="490"/>
      <c r="G963" s="491"/>
      <c r="H963" s="492"/>
      <c r="I963" s="164"/>
      <c r="J963" s="493"/>
      <c r="K963" s="481"/>
      <c r="L963" s="464"/>
      <c r="M963" s="164"/>
      <c r="N963" s="494"/>
      <c r="O963" s="493"/>
      <c r="P963" s="495"/>
      <c r="Q963" s="487"/>
      <c r="R963" s="164"/>
      <c r="S963" s="467"/>
      <c r="T963" s="468"/>
      <c r="U963" s="469"/>
      <c r="V963" s="429"/>
      <c r="W963" s="429"/>
      <c r="X963" s="429"/>
      <c r="Y963" s="429"/>
      <c r="Z963" s="429"/>
    </row>
    <row r="964" spans="1:26" ht="18" customHeight="1">
      <c r="A964" s="464"/>
      <c r="B964" s="488"/>
      <c r="C964" s="489"/>
      <c r="D964" s="464"/>
      <c r="E964" s="464"/>
      <c r="F964" s="490"/>
      <c r="G964" s="491"/>
      <c r="H964" s="492"/>
      <c r="I964" s="164"/>
      <c r="J964" s="493"/>
      <c r="K964" s="481"/>
      <c r="L964" s="464"/>
      <c r="M964" s="164"/>
      <c r="N964" s="494"/>
      <c r="O964" s="493"/>
      <c r="P964" s="495"/>
      <c r="Q964" s="487"/>
      <c r="R964" s="164"/>
      <c r="S964" s="467"/>
      <c r="T964" s="468"/>
      <c r="U964" s="469"/>
      <c r="V964" s="429"/>
      <c r="W964" s="429"/>
      <c r="X964" s="429"/>
      <c r="Y964" s="429"/>
      <c r="Z964" s="429"/>
    </row>
    <row r="965" spans="1:26" ht="18" customHeight="1">
      <c r="A965" s="464"/>
      <c r="B965" s="488"/>
      <c r="C965" s="489"/>
      <c r="D965" s="464"/>
      <c r="E965" s="464"/>
      <c r="F965" s="490"/>
      <c r="G965" s="491"/>
      <c r="H965" s="492"/>
      <c r="I965" s="164"/>
      <c r="J965" s="493"/>
      <c r="K965" s="481"/>
      <c r="L965" s="464"/>
      <c r="M965" s="164"/>
      <c r="N965" s="494"/>
      <c r="O965" s="493"/>
      <c r="P965" s="495"/>
      <c r="Q965" s="487"/>
      <c r="R965" s="164"/>
      <c r="S965" s="467"/>
      <c r="T965" s="468"/>
      <c r="U965" s="469"/>
      <c r="V965" s="429"/>
      <c r="W965" s="429"/>
      <c r="X965" s="429"/>
      <c r="Y965" s="429"/>
      <c r="Z965" s="429"/>
    </row>
    <row r="966" spans="1:26" ht="18" customHeight="1">
      <c r="A966" s="464"/>
      <c r="B966" s="488"/>
      <c r="C966" s="489"/>
      <c r="D966" s="464"/>
      <c r="E966" s="464"/>
      <c r="F966" s="490"/>
      <c r="G966" s="491"/>
      <c r="H966" s="492"/>
      <c r="I966" s="164"/>
      <c r="J966" s="493"/>
      <c r="K966" s="481"/>
      <c r="L966" s="464"/>
      <c r="M966" s="164"/>
      <c r="N966" s="494"/>
      <c r="O966" s="493"/>
      <c r="P966" s="495"/>
      <c r="Q966" s="487"/>
      <c r="R966" s="164"/>
      <c r="S966" s="467"/>
      <c r="T966" s="468"/>
      <c r="U966" s="469"/>
      <c r="V966" s="429"/>
      <c r="W966" s="429"/>
      <c r="X966" s="429"/>
      <c r="Y966" s="429"/>
      <c r="Z966" s="429"/>
    </row>
    <row r="967" spans="1:26" ht="18" customHeight="1">
      <c r="A967" s="464"/>
      <c r="B967" s="488"/>
      <c r="C967" s="489"/>
      <c r="D967" s="464"/>
      <c r="E967" s="464"/>
      <c r="F967" s="490"/>
      <c r="G967" s="491"/>
      <c r="H967" s="492"/>
      <c r="I967" s="164"/>
      <c r="J967" s="493"/>
      <c r="K967" s="481"/>
      <c r="L967" s="464"/>
      <c r="M967" s="164"/>
      <c r="N967" s="494"/>
      <c r="O967" s="493"/>
      <c r="P967" s="495"/>
      <c r="Q967" s="487"/>
      <c r="R967" s="164"/>
      <c r="S967" s="467"/>
      <c r="T967" s="468"/>
      <c r="U967" s="469"/>
      <c r="V967" s="429"/>
      <c r="W967" s="429"/>
      <c r="X967" s="429"/>
      <c r="Y967" s="429"/>
      <c r="Z967" s="429"/>
    </row>
    <row r="968" spans="1:26" ht="18" customHeight="1">
      <c r="A968" s="464"/>
      <c r="B968" s="488"/>
      <c r="C968" s="489"/>
      <c r="D968" s="464"/>
      <c r="E968" s="464"/>
      <c r="F968" s="490"/>
      <c r="G968" s="491"/>
      <c r="H968" s="492"/>
      <c r="I968" s="164"/>
      <c r="J968" s="493"/>
      <c r="K968" s="481"/>
      <c r="L968" s="464"/>
      <c r="M968" s="164"/>
      <c r="N968" s="494"/>
      <c r="O968" s="493"/>
      <c r="P968" s="495"/>
      <c r="Q968" s="487"/>
      <c r="R968" s="164"/>
      <c r="S968" s="467"/>
      <c r="T968" s="468"/>
      <c r="U968" s="469"/>
      <c r="V968" s="429"/>
      <c r="W968" s="429"/>
      <c r="X968" s="429"/>
      <c r="Y968" s="429"/>
      <c r="Z968" s="429"/>
    </row>
    <row r="969" spans="1:26" ht="18" customHeight="1">
      <c r="A969" s="464"/>
      <c r="B969" s="488"/>
      <c r="C969" s="489"/>
      <c r="D969" s="464"/>
      <c r="E969" s="464"/>
      <c r="F969" s="490"/>
      <c r="G969" s="491"/>
      <c r="H969" s="492"/>
      <c r="I969" s="164"/>
      <c r="J969" s="493"/>
      <c r="K969" s="481"/>
      <c r="L969" s="464"/>
      <c r="M969" s="164"/>
      <c r="N969" s="494"/>
      <c r="O969" s="493"/>
      <c r="P969" s="495"/>
      <c r="Q969" s="487"/>
      <c r="R969" s="164"/>
      <c r="S969" s="467"/>
      <c r="T969" s="468"/>
      <c r="U969" s="469"/>
      <c r="V969" s="429"/>
      <c r="W969" s="429"/>
      <c r="X969" s="429"/>
      <c r="Y969" s="429"/>
      <c r="Z969" s="429"/>
    </row>
    <row r="970" spans="1:26" ht="18" customHeight="1">
      <c r="A970" s="464"/>
      <c r="B970" s="488"/>
      <c r="C970" s="489"/>
      <c r="D970" s="464"/>
      <c r="E970" s="464"/>
      <c r="F970" s="490"/>
      <c r="G970" s="491"/>
      <c r="H970" s="492"/>
      <c r="I970" s="164"/>
      <c r="J970" s="493"/>
      <c r="K970" s="481"/>
      <c r="L970" s="464"/>
      <c r="M970" s="164"/>
      <c r="N970" s="494"/>
      <c r="O970" s="493"/>
      <c r="P970" s="495"/>
      <c r="Q970" s="487"/>
      <c r="R970" s="164"/>
      <c r="S970" s="467"/>
      <c r="T970" s="468"/>
      <c r="U970" s="469"/>
      <c r="V970" s="429"/>
      <c r="W970" s="429"/>
      <c r="X970" s="429"/>
      <c r="Y970" s="429"/>
      <c r="Z970" s="429"/>
    </row>
    <row r="971" spans="1:26" ht="18" customHeight="1">
      <c r="A971" s="464"/>
      <c r="B971" s="488"/>
      <c r="C971" s="489"/>
      <c r="D971" s="464"/>
      <c r="E971" s="464"/>
      <c r="F971" s="490"/>
      <c r="G971" s="491"/>
      <c r="H971" s="492"/>
      <c r="I971" s="164"/>
      <c r="J971" s="493"/>
      <c r="K971" s="481"/>
      <c r="L971" s="464"/>
      <c r="M971" s="164"/>
      <c r="N971" s="494"/>
      <c r="O971" s="493"/>
      <c r="P971" s="495"/>
      <c r="Q971" s="487"/>
      <c r="R971" s="164"/>
      <c r="S971" s="467"/>
      <c r="T971" s="468"/>
      <c r="U971" s="469"/>
      <c r="V971" s="429"/>
      <c r="W971" s="429"/>
      <c r="X971" s="429"/>
      <c r="Y971" s="429"/>
      <c r="Z971" s="429"/>
    </row>
    <row r="972" spans="1:26" ht="18" customHeight="1">
      <c r="A972" s="464"/>
      <c r="B972" s="488"/>
      <c r="C972" s="489"/>
      <c r="D972" s="464"/>
      <c r="E972" s="464"/>
      <c r="F972" s="490"/>
      <c r="G972" s="491"/>
      <c r="H972" s="492"/>
      <c r="I972" s="164"/>
      <c r="J972" s="493"/>
      <c r="K972" s="481"/>
      <c r="L972" s="464"/>
      <c r="M972" s="164"/>
      <c r="N972" s="494"/>
      <c r="O972" s="493"/>
      <c r="P972" s="495"/>
      <c r="Q972" s="487"/>
      <c r="R972" s="164"/>
      <c r="S972" s="467"/>
      <c r="T972" s="468"/>
      <c r="U972" s="469"/>
      <c r="V972" s="429"/>
      <c r="W972" s="429"/>
      <c r="X972" s="429"/>
      <c r="Y972" s="429"/>
      <c r="Z972" s="429"/>
    </row>
    <row r="973" spans="1:26" ht="18" customHeight="1">
      <c r="A973" s="464"/>
      <c r="B973" s="488"/>
      <c r="C973" s="489"/>
      <c r="D973" s="464"/>
      <c r="E973" s="464"/>
      <c r="F973" s="490"/>
      <c r="G973" s="491"/>
      <c r="H973" s="492"/>
      <c r="I973" s="164"/>
      <c r="J973" s="493"/>
      <c r="K973" s="481"/>
      <c r="L973" s="464"/>
      <c r="M973" s="164"/>
      <c r="N973" s="494"/>
      <c r="O973" s="493"/>
      <c r="P973" s="495"/>
      <c r="Q973" s="487"/>
      <c r="R973" s="164"/>
      <c r="S973" s="467"/>
      <c r="T973" s="468"/>
      <c r="U973" s="469"/>
      <c r="V973" s="429"/>
      <c r="W973" s="429"/>
      <c r="X973" s="429"/>
      <c r="Y973" s="429"/>
      <c r="Z973" s="429"/>
    </row>
    <row r="974" spans="1:26" ht="18" customHeight="1">
      <c r="A974" s="464"/>
      <c r="B974" s="488"/>
      <c r="C974" s="489"/>
      <c r="D974" s="464"/>
      <c r="E974" s="464"/>
      <c r="F974" s="490"/>
      <c r="G974" s="491"/>
      <c r="H974" s="492"/>
      <c r="I974" s="164"/>
      <c r="J974" s="493"/>
      <c r="K974" s="481"/>
      <c r="L974" s="464"/>
      <c r="M974" s="164"/>
      <c r="N974" s="494"/>
      <c r="O974" s="493"/>
      <c r="P974" s="495"/>
      <c r="Q974" s="487"/>
      <c r="R974" s="164"/>
      <c r="S974" s="467"/>
      <c r="T974" s="468"/>
      <c r="U974" s="469"/>
      <c r="V974" s="429"/>
      <c r="W974" s="429"/>
      <c r="X974" s="429"/>
      <c r="Y974" s="429"/>
      <c r="Z974" s="429"/>
    </row>
    <row r="975" spans="1:26" ht="18" customHeight="1">
      <c r="A975" s="464"/>
      <c r="B975" s="488"/>
      <c r="C975" s="489"/>
      <c r="D975" s="464"/>
      <c r="E975" s="464"/>
      <c r="F975" s="490"/>
      <c r="G975" s="491"/>
      <c r="H975" s="492"/>
      <c r="I975" s="164"/>
      <c r="J975" s="493"/>
      <c r="K975" s="481"/>
      <c r="L975" s="464"/>
      <c r="M975" s="164"/>
      <c r="N975" s="494"/>
      <c r="O975" s="493"/>
      <c r="P975" s="495"/>
      <c r="Q975" s="487"/>
      <c r="R975" s="164"/>
      <c r="S975" s="467"/>
      <c r="T975" s="468"/>
      <c r="U975" s="469"/>
      <c r="V975" s="429"/>
      <c r="W975" s="429"/>
      <c r="X975" s="429"/>
      <c r="Y975" s="429"/>
      <c r="Z975" s="429"/>
    </row>
    <row r="976" spans="1:26" ht="18" customHeight="1">
      <c r="A976" s="464"/>
      <c r="B976" s="488"/>
      <c r="C976" s="489"/>
      <c r="D976" s="464"/>
      <c r="E976" s="464"/>
      <c r="F976" s="490"/>
      <c r="G976" s="491"/>
      <c r="H976" s="492"/>
      <c r="I976" s="164"/>
      <c r="J976" s="493"/>
      <c r="K976" s="481"/>
      <c r="L976" s="464"/>
      <c r="M976" s="164"/>
      <c r="N976" s="494"/>
      <c r="O976" s="493"/>
      <c r="P976" s="495"/>
      <c r="Q976" s="487"/>
      <c r="R976" s="164"/>
      <c r="S976" s="467"/>
      <c r="T976" s="468"/>
      <c r="U976" s="469"/>
      <c r="V976" s="429"/>
      <c r="W976" s="429"/>
      <c r="X976" s="429"/>
      <c r="Y976" s="429"/>
      <c r="Z976" s="429"/>
    </row>
    <row r="977" spans="1:26" ht="18" customHeight="1">
      <c r="A977" s="464"/>
      <c r="B977" s="488"/>
      <c r="C977" s="489"/>
      <c r="D977" s="464"/>
      <c r="E977" s="464"/>
      <c r="F977" s="490"/>
      <c r="G977" s="491"/>
      <c r="H977" s="492"/>
      <c r="I977" s="164"/>
      <c r="J977" s="493"/>
      <c r="K977" s="481"/>
      <c r="L977" s="464"/>
      <c r="M977" s="164"/>
      <c r="N977" s="494"/>
      <c r="O977" s="493"/>
      <c r="P977" s="495"/>
      <c r="Q977" s="487"/>
      <c r="R977" s="164"/>
      <c r="S977" s="467"/>
      <c r="T977" s="468"/>
      <c r="U977" s="469"/>
      <c r="V977" s="429"/>
      <c r="W977" s="429"/>
      <c r="X977" s="429"/>
      <c r="Y977" s="429"/>
      <c r="Z977" s="429"/>
    </row>
    <row r="978" spans="1:26" ht="18" customHeight="1">
      <c r="A978" s="464"/>
      <c r="B978" s="488"/>
      <c r="C978" s="489"/>
      <c r="D978" s="464"/>
      <c r="E978" s="464"/>
      <c r="F978" s="490"/>
      <c r="G978" s="491"/>
      <c r="H978" s="492"/>
      <c r="I978" s="164"/>
      <c r="J978" s="493"/>
      <c r="K978" s="481"/>
      <c r="L978" s="464"/>
      <c r="M978" s="164"/>
      <c r="N978" s="494"/>
      <c r="O978" s="493"/>
      <c r="P978" s="495"/>
      <c r="Q978" s="487"/>
      <c r="R978" s="164"/>
      <c r="S978" s="467"/>
      <c r="T978" s="468"/>
      <c r="U978" s="469"/>
      <c r="V978" s="429"/>
      <c r="W978" s="429"/>
      <c r="X978" s="429"/>
      <c r="Y978" s="429"/>
      <c r="Z978" s="429"/>
    </row>
    <row r="979" spans="1:26" ht="18" customHeight="1">
      <c r="A979" s="464"/>
      <c r="B979" s="488"/>
      <c r="C979" s="489"/>
      <c r="D979" s="464"/>
      <c r="E979" s="464"/>
      <c r="F979" s="490"/>
      <c r="G979" s="491"/>
      <c r="H979" s="492"/>
      <c r="I979" s="164"/>
      <c r="J979" s="493"/>
      <c r="K979" s="481"/>
      <c r="L979" s="464"/>
      <c r="M979" s="164"/>
      <c r="N979" s="494"/>
      <c r="O979" s="493"/>
      <c r="P979" s="495"/>
      <c r="Q979" s="487"/>
      <c r="R979" s="164"/>
      <c r="S979" s="467"/>
      <c r="T979" s="468"/>
      <c r="U979" s="469"/>
      <c r="V979" s="429"/>
      <c r="W979" s="429"/>
      <c r="X979" s="429"/>
      <c r="Y979" s="429"/>
      <c r="Z979" s="429"/>
    </row>
    <row r="980" spans="1:26" ht="18" customHeight="1">
      <c r="A980" s="464"/>
      <c r="B980" s="488"/>
      <c r="C980" s="489"/>
      <c r="D980" s="464"/>
      <c r="E980" s="464"/>
      <c r="F980" s="490"/>
      <c r="G980" s="491"/>
      <c r="H980" s="492"/>
      <c r="I980" s="164"/>
      <c r="J980" s="493"/>
      <c r="K980" s="481"/>
      <c r="L980" s="464"/>
      <c r="M980" s="164"/>
      <c r="N980" s="494"/>
      <c r="O980" s="493"/>
      <c r="P980" s="495"/>
      <c r="Q980" s="487"/>
      <c r="R980" s="164"/>
      <c r="S980" s="467"/>
      <c r="T980" s="468"/>
      <c r="U980" s="469"/>
      <c r="V980" s="429"/>
      <c r="W980" s="429"/>
      <c r="X980" s="429"/>
      <c r="Y980" s="429"/>
      <c r="Z980" s="429"/>
    </row>
    <row r="981" spans="1:26" ht="18" customHeight="1">
      <c r="A981" s="464"/>
      <c r="B981" s="488"/>
      <c r="C981" s="489"/>
      <c r="D981" s="464"/>
      <c r="E981" s="464"/>
      <c r="F981" s="490"/>
      <c r="G981" s="491"/>
      <c r="H981" s="492"/>
      <c r="I981" s="164"/>
      <c r="J981" s="493"/>
      <c r="K981" s="481"/>
      <c r="L981" s="464"/>
      <c r="M981" s="164"/>
      <c r="N981" s="494"/>
      <c r="O981" s="493"/>
      <c r="P981" s="495"/>
      <c r="Q981" s="487"/>
      <c r="R981" s="164"/>
      <c r="S981" s="467"/>
      <c r="T981" s="468"/>
      <c r="U981" s="469"/>
      <c r="V981" s="429"/>
      <c r="W981" s="429"/>
      <c r="X981" s="429"/>
      <c r="Y981" s="429"/>
      <c r="Z981" s="429"/>
    </row>
    <row r="982" spans="1:26" ht="18" customHeight="1">
      <c r="A982" s="464"/>
      <c r="B982" s="488"/>
      <c r="C982" s="489"/>
      <c r="D982" s="464"/>
      <c r="E982" s="464"/>
      <c r="F982" s="490"/>
      <c r="G982" s="491"/>
      <c r="H982" s="492"/>
      <c r="I982" s="164"/>
      <c r="J982" s="493"/>
      <c r="K982" s="481"/>
      <c r="L982" s="464"/>
      <c r="M982" s="164"/>
      <c r="N982" s="494"/>
      <c r="O982" s="493"/>
      <c r="P982" s="495"/>
      <c r="Q982" s="487"/>
      <c r="R982" s="164"/>
      <c r="S982" s="467"/>
      <c r="T982" s="468"/>
      <c r="U982" s="469"/>
      <c r="V982" s="429"/>
      <c r="W982" s="429"/>
      <c r="X982" s="429"/>
      <c r="Y982" s="429"/>
      <c r="Z982" s="429"/>
    </row>
    <row r="983" spans="1:26" ht="18" customHeight="1">
      <c r="A983" s="464"/>
      <c r="B983" s="488"/>
      <c r="C983" s="489"/>
      <c r="D983" s="464"/>
      <c r="E983" s="464"/>
      <c r="F983" s="490"/>
      <c r="G983" s="491"/>
      <c r="H983" s="492"/>
      <c r="I983" s="164"/>
      <c r="J983" s="493"/>
      <c r="K983" s="481"/>
      <c r="L983" s="464"/>
      <c r="M983" s="164"/>
      <c r="N983" s="494"/>
      <c r="O983" s="493"/>
      <c r="P983" s="495"/>
      <c r="Q983" s="487"/>
      <c r="R983" s="164"/>
      <c r="S983" s="467"/>
      <c r="T983" s="468"/>
      <c r="U983" s="469"/>
      <c r="V983" s="429"/>
      <c r="W983" s="429"/>
      <c r="X983" s="429"/>
      <c r="Y983" s="429"/>
      <c r="Z983" s="429"/>
    </row>
    <row r="984" spans="1:26" ht="18" customHeight="1">
      <c r="A984" s="464"/>
      <c r="B984" s="488"/>
      <c r="C984" s="489"/>
      <c r="D984" s="464"/>
      <c r="E984" s="464"/>
      <c r="F984" s="490"/>
      <c r="G984" s="491"/>
      <c r="H984" s="492"/>
      <c r="I984" s="164"/>
      <c r="J984" s="493"/>
      <c r="K984" s="481"/>
      <c r="L984" s="464"/>
      <c r="M984" s="164"/>
      <c r="N984" s="494"/>
      <c r="O984" s="493"/>
      <c r="P984" s="495"/>
      <c r="Q984" s="487"/>
      <c r="R984" s="164"/>
      <c r="S984" s="467"/>
      <c r="T984" s="468"/>
      <c r="U984" s="469"/>
      <c r="V984" s="429"/>
      <c r="W984" s="429"/>
      <c r="X984" s="429"/>
      <c r="Y984" s="429"/>
      <c r="Z984" s="429"/>
    </row>
    <row r="985" spans="1:26" ht="18" customHeight="1">
      <c r="A985" s="464"/>
      <c r="B985" s="488"/>
      <c r="C985" s="489"/>
      <c r="D985" s="464"/>
      <c r="E985" s="464"/>
      <c r="F985" s="490"/>
      <c r="G985" s="491"/>
      <c r="H985" s="492"/>
      <c r="I985" s="164"/>
      <c r="J985" s="493"/>
      <c r="K985" s="481"/>
      <c r="L985" s="464"/>
      <c r="M985" s="164"/>
      <c r="N985" s="494"/>
      <c r="O985" s="493"/>
      <c r="P985" s="495"/>
      <c r="Q985" s="487"/>
      <c r="R985" s="164"/>
      <c r="S985" s="467"/>
      <c r="T985" s="468"/>
      <c r="U985" s="469"/>
      <c r="V985" s="429"/>
      <c r="W985" s="429"/>
      <c r="X985" s="429"/>
      <c r="Y985" s="429"/>
      <c r="Z985" s="429"/>
    </row>
    <row r="986" spans="1:26" ht="18" customHeight="1">
      <c r="A986" s="464"/>
      <c r="B986" s="488"/>
      <c r="C986" s="489"/>
      <c r="D986" s="464"/>
      <c r="E986" s="464"/>
      <c r="F986" s="490"/>
      <c r="G986" s="491"/>
      <c r="H986" s="492"/>
      <c r="I986" s="164"/>
      <c r="J986" s="493"/>
      <c r="K986" s="481"/>
      <c r="L986" s="464"/>
      <c r="M986" s="164"/>
      <c r="N986" s="494"/>
      <c r="O986" s="493"/>
      <c r="P986" s="495"/>
      <c r="Q986" s="487"/>
      <c r="R986" s="164"/>
      <c r="S986" s="467"/>
      <c r="T986" s="468"/>
      <c r="U986" s="469"/>
      <c r="V986" s="429"/>
      <c r="W986" s="429"/>
      <c r="X986" s="429"/>
      <c r="Y986" s="429"/>
      <c r="Z986" s="429"/>
    </row>
    <row r="987" spans="1:26" ht="18" customHeight="1">
      <c r="A987" s="464"/>
      <c r="B987" s="488"/>
      <c r="C987" s="489"/>
      <c r="D987" s="464"/>
      <c r="E987" s="464"/>
      <c r="F987" s="490"/>
      <c r="G987" s="491"/>
      <c r="H987" s="492"/>
      <c r="I987" s="164"/>
      <c r="J987" s="493"/>
      <c r="K987" s="481"/>
      <c r="L987" s="464"/>
      <c r="M987" s="164"/>
      <c r="N987" s="494"/>
      <c r="O987" s="493"/>
      <c r="P987" s="495"/>
      <c r="Q987" s="487"/>
      <c r="R987" s="164"/>
      <c r="S987" s="467"/>
      <c r="T987" s="468"/>
      <c r="U987" s="469"/>
      <c r="V987" s="429"/>
      <c r="W987" s="429"/>
      <c r="X987" s="429"/>
      <c r="Y987" s="429"/>
      <c r="Z987" s="429"/>
    </row>
    <row r="988" spans="1:26" ht="18" customHeight="1">
      <c r="A988" s="464"/>
      <c r="B988" s="488"/>
      <c r="C988" s="489"/>
      <c r="D988" s="464"/>
      <c r="E988" s="464"/>
      <c r="F988" s="490"/>
      <c r="G988" s="491"/>
      <c r="H988" s="492"/>
      <c r="I988" s="164"/>
      <c r="J988" s="493"/>
      <c r="K988" s="481"/>
      <c r="L988" s="464"/>
      <c r="M988" s="164"/>
      <c r="N988" s="494"/>
      <c r="O988" s="493"/>
      <c r="P988" s="495"/>
      <c r="Q988" s="487"/>
      <c r="R988" s="164"/>
      <c r="S988" s="467"/>
      <c r="T988" s="468"/>
      <c r="U988" s="469"/>
      <c r="V988" s="429"/>
      <c r="W988" s="429"/>
      <c r="X988" s="429"/>
      <c r="Y988" s="429"/>
      <c r="Z988" s="429"/>
    </row>
    <row r="989" spans="1:26" ht="18" customHeight="1">
      <c r="A989" s="464"/>
      <c r="B989" s="488"/>
      <c r="C989" s="489"/>
      <c r="D989" s="464"/>
      <c r="E989" s="464"/>
      <c r="F989" s="490"/>
      <c r="G989" s="491"/>
      <c r="H989" s="492"/>
      <c r="I989" s="164"/>
      <c r="J989" s="493"/>
      <c r="K989" s="481"/>
      <c r="L989" s="464"/>
      <c r="M989" s="164"/>
      <c r="N989" s="494"/>
      <c r="O989" s="493"/>
      <c r="P989" s="495"/>
      <c r="Q989" s="487"/>
      <c r="R989" s="164"/>
      <c r="S989" s="467"/>
      <c r="T989" s="468"/>
      <c r="U989" s="469"/>
      <c r="V989" s="429"/>
      <c r="W989" s="429"/>
      <c r="X989" s="429"/>
      <c r="Y989" s="429"/>
      <c r="Z989" s="429"/>
    </row>
    <row r="990" spans="1:26" ht="18" customHeight="1">
      <c r="A990" s="464"/>
      <c r="B990" s="488"/>
      <c r="C990" s="489"/>
      <c r="D990" s="464"/>
      <c r="E990" s="464"/>
      <c r="F990" s="490"/>
      <c r="G990" s="491"/>
      <c r="H990" s="492"/>
      <c r="I990" s="164"/>
      <c r="J990" s="493"/>
      <c r="K990" s="481"/>
      <c r="L990" s="464"/>
      <c r="M990" s="164"/>
      <c r="N990" s="494"/>
      <c r="O990" s="493"/>
      <c r="P990" s="495"/>
      <c r="Q990" s="487"/>
      <c r="R990" s="164"/>
      <c r="S990" s="467"/>
      <c r="T990" s="468"/>
      <c r="U990" s="469"/>
      <c r="V990" s="429"/>
      <c r="W990" s="429"/>
      <c r="X990" s="429"/>
      <c r="Y990" s="429"/>
      <c r="Z990" s="429"/>
    </row>
    <row r="991" spans="1:26" ht="18" customHeight="1">
      <c r="A991" s="464"/>
      <c r="B991" s="488"/>
      <c r="C991" s="489"/>
      <c r="D991" s="464"/>
      <c r="E991" s="464"/>
      <c r="F991" s="490"/>
      <c r="G991" s="491"/>
      <c r="H991" s="492"/>
      <c r="I991" s="164"/>
      <c r="J991" s="493"/>
      <c r="K991" s="481"/>
      <c r="L991" s="464"/>
      <c r="M991" s="164"/>
      <c r="N991" s="494"/>
      <c r="O991" s="493"/>
      <c r="P991" s="495"/>
      <c r="Q991" s="487"/>
      <c r="R991" s="164"/>
      <c r="S991" s="467"/>
      <c r="T991" s="468"/>
      <c r="U991" s="469"/>
      <c r="V991" s="429"/>
      <c r="W991" s="429"/>
      <c r="X991" s="429"/>
      <c r="Y991" s="429"/>
      <c r="Z991" s="429"/>
    </row>
    <row r="992" spans="1:26" ht="18" customHeight="1">
      <c r="A992" s="464"/>
      <c r="B992" s="488"/>
      <c r="C992" s="489"/>
      <c r="D992" s="464"/>
      <c r="E992" s="464"/>
      <c r="F992" s="490"/>
      <c r="G992" s="491"/>
      <c r="H992" s="492"/>
      <c r="I992" s="164"/>
      <c r="J992" s="493"/>
      <c r="K992" s="481"/>
      <c r="L992" s="464"/>
      <c r="M992" s="164"/>
      <c r="N992" s="494"/>
      <c r="O992" s="493"/>
      <c r="P992" s="495"/>
      <c r="Q992" s="487"/>
      <c r="R992" s="164"/>
      <c r="S992" s="467"/>
      <c r="T992" s="468"/>
      <c r="U992" s="469"/>
      <c r="V992" s="429"/>
      <c r="W992" s="429"/>
      <c r="X992" s="429"/>
      <c r="Y992" s="429"/>
      <c r="Z992" s="429"/>
    </row>
    <row r="993" spans="1:26" ht="18" customHeight="1">
      <c r="A993" s="464"/>
      <c r="B993" s="488"/>
      <c r="C993" s="489"/>
      <c r="D993" s="464"/>
      <c r="E993" s="464"/>
      <c r="F993" s="490"/>
      <c r="G993" s="491"/>
      <c r="H993" s="492"/>
      <c r="I993" s="164"/>
      <c r="J993" s="493"/>
      <c r="K993" s="481"/>
      <c r="L993" s="464"/>
      <c r="M993" s="164"/>
      <c r="N993" s="494"/>
      <c r="O993" s="493"/>
      <c r="P993" s="495"/>
      <c r="Q993" s="487"/>
      <c r="R993" s="164"/>
      <c r="S993" s="467"/>
      <c r="T993" s="468"/>
      <c r="U993" s="469"/>
      <c r="V993" s="429"/>
      <c r="W993" s="429"/>
      <c r="X993" s="429"/>
      <c r="Y993" s="429"/>
      <c r="Z993" s="429"/>
    </row>
    <row r="994" spans="1:26" ht="18" customHeight="1">
      <c r="A994" s="464"/>
      <c r="B994" s="488"/>
      <c r="C994" s="489"/>
      <c r="D994" s="464"/>
      <c r="E994" s="464"/>
      <c r="F994" s="490"/>
      <c r="G994" s="491"/>
      <c r="H994" s="492"/>
      <c r="I994" s="164"/>
      <c r="J994" s="493"/>
      <c r="K994" s="481"/>
      <c r="L994" s="464"/>
      <c r="M994" s="164"/>
      <c r="N994" s="494"/>
      <c r="O994" s="493"/>
      <c r="P994" s="495"/>
      <c r="Q994" s="487"/>
      <c r="R994" s="164"/>
      <c r="S994" s="467"/>
      <c r="T994" s="468"/>
      <c r="U994" s="469"/>
      <c r="V994" s="429"/>
      <c r="W994" s="429"/>
      <c r="X994" s="429"/>
      <c r="Y994" s="429"/>
      <c r="Z994" s="429"/>
    </row>
    <row r="995" spans="1:26" ht="18" customHeight="1">
      <c r="A995" s="464"/>
      <c r="B995" s="488"/>
      <c r="C995" s="489"/>
      <c r="D995" s="464"/>
      <c r="E995" s="464"/>
      <c r="F995" s="490"/>
      <c r="G995" s="491"/>
      <c r="H995" s="492"/>
      <c r="I995" s="164"/>
      <c r="J995" s="493"/>
      <c r="K995" s="481"/>
      <c r="L995" s="464"/>
      <c r="M995" s="164"/>
      <c r="N995" s="494"/>
      <c r="O995" s="493"/>
      <c r="P995" s="495"/>
      <c r="Q995" s="487"/>
      <c r="R995" s="164"/>
      <c r="S995" s="467"/>
      <c r="T995" s="468"/>
      <c r="U995" s="469"/>
      <c r="V995" s="429"/>
      <c r="W995" s="429"/>
      <c r="X995" s="429"/>
      <c r="Y995" s="429"/>
      <c r="Z995" s="429"/>
    </row>
    <row r="996" spans="1:26" ht="18" customHeight="1">
      <c r="A996" s="464"/>
      <c r="B996" s="488"/>
      <c r="C996" s="489"/>
      <c r="D996" s="464"/>
      <c r="E996" s="464"/>
      <c r="F996" s="490"/>
      <c r="G996" s="491"/>
      <c r="H996" s="492"/>
      <c r="I996" s="164"/>
      <c r="J996" s="493"/>
      <c r="K996" s="481"/>
      <c r="L996" s="464"/>
      <c r="M996" s="164"/>
      <c r="N996" s="494"/>
      <c r="O996" s="493"/>
      <c r="P996" s="495"/>
      <c r="Q996" s="487"/>
      <c r="R996" s="164"/>
      <c r="S996" s="467"/>
      <c r="T996" s="468"/>
      <c r="U996" s="469"/>
      <c r="V996" s="429"/>
      <c r="W996" s="429"/>
      <c r="X996" s="429"/>
      <c r="Y996" s="429"/>
      <c r="Z996" s="429"/>
    </row>
    <row r="997" spans="1:26" ht="18" customHeight="1">
      <c r="A997" s="464"/>
      <c r="B997" s="488"/>
      <c r="C997" s="489"/>
      <c r="D997" s="464"/>
      <c r="E997" s="464"/>
      <c r="F997" s="490"/>
      <c r="G997" s="491"/>
      <c r="H997" s="492"/>
      <c r="I997" s="164"/>
      <c r="J997" s="493"/>
      <c r="K997" s="481"/>
      <c r="L997" s="464"/>
      <c r="M997" s="164"/>
      <c r="N997" s="494"/>
      <c r="O997" s="493"/>
      <c r="P997" s="495"/>
      <c r="Q997" s="487"/>
      <c r="R997" s="164"/>
      <c r="S997" s="467"/>
      <c r="T997" s="468"/>
      <c r="U997" s="469"/>
      <c r="V997" s="429"/>
      <c r="W997" s="429"/>
      <c r="X997" s="429"/>
      <c r="Y997" s="429"/>
      <c r="Z997" s="429"/>
    </row>
    <row r="998" spans="1:26" ht="18" customHeight="1">
      <c r="A998" s="464"/>
      <c r="B998" s="488"/>
      <c r="C998" s="489"/>
      <c r="D998" s="464"/>
      <c r="E998" s="464"/>
      <c r="F998" s="490"/>
      <c r="G998" s="491"/>
      <c r="H998" s="492"/>
      <c r="I998" s="164"/>
      <c r="J998" s="493"/>
      <c r="K998" s="481"/>
      <c r="L998" s="464"/>
      <c r="M998" s="164"/>
      <c r="N998" s="494"/>
      <c r="O998" s="493"/>
      <c r="P998" s="495"/>
      <c r="Q998" s="487"/>
      <c r="R998" s="164"/>
      <c r="S998" s="467"/>
      <c r="T998" s="468"/>
      <c r="U998" s="469"/>
      <c r="V998" s="429"/>
      <c r="W998" s="429"/>
      <c r="X998" s="429"/>
      <c r="Y998" s="429"/>
      <c r="Z998" s="429"/>
    </row>
    <row r="999" spans="1:26" ht="18" customHeight="1">
      <c r="A999" s="464"/>
      <c r="B999" s="488"/>
      <c r="C999" s="489"/>
      <c r="D999" s="464"/>
      <c r="E999" s="464"/>
      <c r="F999" s="490"/>
      <c r="G999" s="491"/>
      <c r="H999" s="492"/>
      <c r="I999" s="164"/>
      <c r="J999" s="493"/>
      <c r="K999" s="481"/>
      <c r="L999" s="464"/>
      <c r="M999" s="164"/>
      <c r="N999" s="494"/>
      <c r="O999" s="493"/>
      <c r="P999" s="495"/>
      <c r="Q999" s="487"/>
      <c r="R999" s="164"/>
      <c r="S999" s="467"/>
      <c r="T999" s="468"/>
      <c r="U999" s="469"/>
      <c r="V999" s="429"/>
      <c r="W999" s="429"/>
      <c r="X999" s="429"/>
      <c r="Y999" s="429"/>
      <c r="Z999" s="429"/>
    </row>
    <row r="1000" spans="1:26" ht="18" customHeight="1">
      <c r="A1000" s="464"/>
      <c r="B1000" s="488"/>
      <c r="C1000" s="489"/>
      <c r="D1000" s="464"/>
      <c r="E1000" s="464"/>
      <c r="F1000" s="490"/>
      <c r="G1000" s="491"/>
      <c r="H1000" s="492"/>
      <c r="I1000" s="164"/>
      <c r="J1000" s="493"/>
      <c r="K1000" s="481"/>
      <c r="L1000" s="464"/>
      <c r="M1000" s="164"/>
      <c r="N1000" s="494"/>
      <c r="O1000" s="493"/>
      <c r="P1000" s="495"/>
      <c r="Q1000" s="487"/>
      <c r="R1000" s="164"/>
      <c r="S1000" s="467"/>
      <c r="T1000" s="468"/>
      <c r="U1000" s="469"/>
      <c r="V1000" s="429"/>
      <c r="W1000" s="429"/>
      <c r="X1000" s="429"/>
      <c r="Y1000" s="429"/>
      <c r="Z1000" s="429"/>
    </row>
  </sheetData>
  <autoFilter ref="A1:Z37">
    <filterColumn colId="4">
      <filters>
        <filter val="Computer Application &amp; G&amp;G"/>
      </filters>
    </filterColumn>
  </autoFilter>
  <dataValidations count="5">
    <dataValidation type="list" allowBlank="1" showErrorMessage="1" sqref="Q2:Q35">
      <formula1>"Scopus,SCOPUS,Scopus-journal"</formula1>
    </dataValidation>
    <dataValidation type="list" allowBlank="1" showErrorMessage="1" sqref="L1:L1000">
      <formula1>"September,November,August,July,October,December,May"</formula1>
    </dataValidation>
    <dataValidation type="list" allowBlank="1" showErrorMessage="1" sqref="D2:D35">
      <formula1>"Assistant Professor,Assistant Professor ,Associate Professor,Professor"</formula1>
    </dataValidation>
    <dataValidation type="list" allowBlank="1" showErrorMessage="1" sqref="A2:A37">
      <formula1>"Dr ,Ms.,Dr.,Mr ,Mr.,Dr"</formula1>
    </dataValidation>
    <dataValidation type="list" allowBlank="1" showErrorMessage="1" sqref="E2:E35">
      <formula1>#REF!</formula1>
    </dataValidation>
  </dataValidations>
  <hyperlinks>
    <hyperlink ref="O2" r:id="rId1"/>
    <hyperlink ref="P2" r:id="rId2"/>
    <hyperlink ref="S2" r:id="rId3"/>
    <hyperlink ref="O3" r:id="rId4"/>
    <hyperlink ref="P3" r:id="rId5"/>
    <hyperlink ref="S3" r:id="rId6"/>
    <hyperlink ref="O4" r:id="rId7"/>
    <hyperlink ref="P4" r:id="rId8"/>
    <hyperlink ref="S4" r:id="rId9"/>
    <hyperlink ref="G5" r:id="rId10"/>
    <hyperlink ref="O5" r:id="rId11"/>
    <hyperlink ref="P5" r:id="rId12"/>
    <hyperlink ref="S5" r:id="rId13"/>
    <hyperlink ref="G6" r:id="rId14"/>
    <hyperlink ref="O6" r:id="rId15"/>
    <hyperlink ref="P6" r:id="rId16"/>
    <hyperlink ref="S6" r:id="rId17"/>
    <hyperlink ref="P7" r:id="rId18"/>
    <hyperlink ref="F8" r:id="rId19"/>
    <hyperlink ref="O8" r:id="rId20"/>
    <hyperlink ref="P8" r:id="rId21"/>
    <hyperlink ref="S8" r:id="rId22"/>
    <hyperlink ref="O9" r:id="rId23"/>
    <hyperlink ref="P9" r:id="rId24"/>
    <hyperlink ref="S9" r:id="rId25"/>
    <hyperlink ref="O10" r:id="rId26" location="bios"/>
    <hyperlink ref="O11" r:id="rId27"/>
    <hyperlink ref="P11" r:id="rId28"/>
    <hyperlink ref="S11" r:id="rId29"/>
    <hyperlink ref="O12" r:id="rId30"/>
    <hyperlink ref="P12" r:id="rId31"/>
    <hyperlink ref="S12" r:id="rId32"/>
    <hyperlink ref="O13" r:id="rId33"/>
    <hyperlink ref="P13" r:id="rId34"/>
    <hyperlink ref="S13" r:id="rId35"/>
    <hyperlink ref="O14" r:id="rId36"/>
    <hyperlink ref="P14" r:id="rId37"/>
    <hyperlink ref="S14" r:id="rId38"/>
    <hyperlink ref="O15" r:id="rId39"/>
    <hyperlink ref="P15" r:id="rId40"/>
    <hyperlink ref="S15" r:id="rId41"/>
    <hyperlink ref="O16" r:id="rId42"/>
    <hyperlink ref="P16" r:id="rId43"/>
    <hyperlink ref="S16" r:id="rId44"/>
    <hyperlink ref="O17" r:id="rId45"/>
    <hyperlink ref="P17" r:id="rId46"/>
    <hyperlink ref="O18" r:id="rId47"/>
    <hyperlink ref="S18" r:id="rId48"/>
    <hyperlink ref="O19" r:id="rId49"/>
    <hyperlink ref="S19" r:id="rId50"/>
    <hyperlink ref="O20" r:id="rId51"/>
    <hyperlink ref="S20" r:id="rId52"/>
    <hyperlink ref="O21" r:id="rId53"/>
    <hyperlink ref="S21" r:id="rId54"/>
    <hyperlink ref="P22" r:id="rId55"/>
    <hyperlink ref="P23" r:id="rId56"/>
    <hyperlink ref="P24" r:id="rId57"/>
    <hyperlink ref="O25" r:id="rId58"/>
    <hyperlink ref="P25" r:id="rId59"/>
    <hyperlink ref="S25" r:id="rId60"/>
    <hyperlink ref="O26" r:id="rId61"/>
    <hyperlink ref="P26" r:id="rId62"/>
    <hyperlink ref="S26" r:id="rId63"/>
    <hyperlink ref="O27" r:id="rId64"/>
    <hyperlink ref="P27" r:id="rId65"/>
    <hyperlink ref="S27" r:id="rId66"/>
    <hyperlink ref="O28" r:id="rId67"/>
    <hyperlink ref="P28" r:id="rId68"/>
    <hyperlink ref="S28" r:id="rId69"/>
    <hyperlink ref="O29" r:id="rId70"/>
    <hyperlink ref="F30" r:id="rId71"/>
    <hyperlink ref="O30" r:id="rId72"/>
    <hyperlink ref="P30" r:id="rId73"/>
    <hyperlink ref="S30" r:id="rId74"/>
    <hyperlink ref="O31" r:id="rId75"/>
    <hyperlink ref="P31" r:id="rId76"/>
    <hyperlink ref="P32" r:id="rId77"/>
    <hyperlink ref="O33" r:id="rId78"/>
    <hyperlink ref="P33" r:id="rId79"/>
    <hyperlink ref="F34" r:id="rId80"/>
    <hyperlink ref="O34" r:id="rId81"/>
    <hyperlink ref="P34" r:id="rId82"/>
    <hyperlink ref="F35" r:id="rId83"/>
    <hyperlink ref="O35" r:id="rId84"/>
    <hyperlink ref="P35" r:id="rId85"/>
    <hyperlink ref="F36" r:id="rId86"/>
    <hyperlink ref="O36" r:id="rId87"/>
    <hyperlink ref="P36" r:id="rId88"/>
    <hyperlink ref="S36" r:id="rId89"/>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9"/>
  <sheetViews>
    <sheetView topLeftCell="M1" workbookViewId="0">
      <pane ySplit="1" topLeftCell="A2" activePane="bottomLeft" state="frozen"/>
      <selection pane="bottomLeft" activeCell="A4" sqref="A4"/>
    </sheetView>
  </sheetViews>
  <sheetFormatPr defaultColWidth="12.6328125" defaultRowHeight="15" customHeight="1"/>
  <cols>
    <col min="1" max="1" width="5.6328125" customWidth="1"/>
    <col min="2" max="2" width="17.6328125" customWidth="1"/>
    <col min="3" max="3" width="19.08984375" customWidth="1"/>
    <col min="4" max="4" width="17.81640625" customWidth="1"/>
    <col min="5" max="5" width="26.36328125" customWidth="1"/>
    <col min="6" max="6" width="12.6328125" customWidth="1"/>
    <col min="8" max="8" width="30.08984375" customWidth="1"/>
    <col min="9" max="9" width="22.08984375" customWidth="1"/>
    <col min="10" max="10" width="26.36328125" customWidth="1"/>
    <col min="11" max="11" width="24.36328125" customWidth="1"/>
    <col min="12" max="12" width="15.81640625" customWidth="1"/>
    <col min="13" max="13" width="15.90625" customWidth="1"/>
    <col min="14" max="14" width="16" customWidth="1"/>
    <col min="15" max="15" width="85.453125" customWidth="1"/>
    <col min="16" max="17" width="19" customWidth="1"/>
  </cols>
  <sheetData>
    <row r="1" spans="1:26" ht="37.5" customHeight="1">
      <c r="A1" s="496" t="s">
        <v>1789</v>
      </c>
      <c r="B1" s="497" t="s">
        <v>61</v>
      </c>
      <c r="C1" s="497" t="s">
        <v>62</v>
      </c>
      <c r="D1" s="497" t="s">
        <v>63</v>
      </c>
      <c r="E1" s="6" t="s">
        <v>64</v>
      </c>
      <c r="F1" s="497" t="s">
        <v>1790</v>
      </c>
      <c r="G1" s="497" t="s">
        <v>1791</v>
      </c>
      <c r="H1" s="497" t="s">
        <v>1792</v>
      </c>
      <c r="I1" s="497" t="s">
        <v>1793</v>
      </c>
      <c r="J1" s="497" t="s">
        <v>1794</v>
      </c>
      <c r="K1" s="497" t="s">
        <v>1795</v>
      </c>
      <c r="L1" s="497" t="s">
        <v>1796</v>
      </c>
      <c r="M1" s="497" t="s">
        <v>142</v>
      </c>
      <c r="N1" s="497" t="s">
        <v>1797</v>
      </c>
      <c r="O1" s="497" t="s">
        <v>1798</v>
      </c>
      <c r="P1" s="52"/>
      <c r="Q1" s="52"/>
    </row>
    <row r="2" spans="1:26" ht="37.5" customHeight="1">
      <c r="A2" s="498" t="s">
        <v>65</v>
      </c>
      <c r="B2" s="499" t="s">
        <v>29</v>
      </c>
      <c r="C2" s="500" t="s">
        <v>66</v>
      </c>
      <c r="D2" s="500" t="s">
        <v>67</v>
      </c>
      <c r="E2" s="500" t="s">
        <v>5</v>
      </c>
      <c r="F2" s="500" t="s">
        <v>1799</v>
      </c>
      <c r="G2" s="500" t="s">
        <v>1800</v>
      </c>
      <c r="H2" s="500" t="s">
        <v>1801</v>
      </c>
      <c r="I2" s="500" t="s">
        <v>1802</v>
      </c>
      <c r="J2" s="500" t="s">
        <v>1803</v>
      </c>
      <c r="K2" s="500" t="s">
        <v>1803</v>
      </c>
      <c r="L2" s="500" t="s">
        <v>1804</v>
      </c>
      <c r="M2" s="501">
        <v>45805</v>
      </c>
      <c r="N2" s="500">
        <v>2025</v>
      </c>
      <c r="O2" s="45" t="s">
        <v>1805</v>
      </c>
      <c r="P2" s="502"/>
      <c r="Q2" s="503"/>
    </row>
    <row r="3" spans="1:26" ht="37.5" customHeight="1">
      <c r="A3" s="504" t="s">
        <v>1806</v>
      </c>
      <c r="B3" s="504" t="s">
        <v>30</v>
      </c>
      <c r="C3" s="504" t="s">
        <v>153</v>
      </c>
      <c r="D3" s="504" t="s">
        <v>70</v>
      </c>
      <c r="E3" s="504" t="s">
        <v>5</v>
      </c>
      <c r="F3" s="504" t="s">
        <v>1799</v>
      </c>
      <c r="G3" s="504" t="s">
        <v>1800</v>
      </c>
      <c r="H3" s="504" t="s">
        <v>1807</v>
      </c>
      <c r="I3" s="504" t="s">
        <v>1808</v>
      </c>
      <c r="J3" s="504" t="s">
        <v>1809</v>
      </c>
      <c r="K3" s="504" t="s">
        <v>30</v>
      </c>
      <c r="L3" s="504" t="s">
        <v>1804</v>
      </c>
      <c r="M3" s="505">
        <v>45689</v>
      </c>
      <c r="N3" s="504">
        <v>2025</v>
      </c>
      <c r="O3" s="506"/>
      <c r="P3" s="507"/>
      <c r="Q3" s="508"/>
    </row>
    <row r="4" spans="1:26" ht="37.5" customHeight="1">
      <c r="A4" s="500" t="s">
        <v>68</v>
      </c>
      <c r="B4" s="500" t="s">
        <v>1810</v>
      </c>
      <c r="C4" s="500" t="s">
        <v>72</v>
      </c>
      <c r="D4" s="500" t="s">
        <v>67</v>
      </c>
      <c r="E4" s="500" t="s">
        <v>2</v>
      </c>
      <c r="F4" s="500" t="s">
        <v>1799</v>
      </c>
      <c r="G4" s="500" t="s">
        <v>1800</v>
      </c>
      <c r="H4" s="500" t="s">
        <v>1801</v>
      </c>
      <c r="I4" s="500" t="s">
        <v>1802</v>
      </c>
      <c r="J4" s="500" t="s">
        <v>1803</v>
      </c>
      <c r="K4" s="500" t="s">
        <v>1803</v>
      </c>
      <c r="L4" s="500" t="s">
        <v>1804</v>
      </c>
      <c r="M4" s="501">
        <v>45805</v>
      </c>
      <c r="N4" s="500">
        <v>2025</v>
      </c>
      <c r="O4" s="45" t="s">
        <v>1811</v>
      </c>
      <c r="P4" s="500"/>
      <c r="Q4" s="509"/>
    </row>
    <row r="5" spans="1:26" ht="37.5" customHeight="1">
      <c r="A5" s="504" t="s">
        <v>68</v>
      </c>
      <c r="B5" s="504" t="s">
        <v>1810</v>
      </c>
      <c r="C5" s="504" t="s">
        <v>72</v>
      </c>
      <c r="D5" s="504" t="s">
        <v>67</v>
      </c>
      <c r="E5" s="504" t="s">
        <v>2</v>
      </c>
      <c r="F5" s="504" t="s">
        <v>1799</v>
      </c>
      <c r="G5" s="504" t="s">
        <v>1800</v>
      </c>
      <c r="H5" s="504" t="s">
        <v>1812</v>
      </c>
      <c r="I5" s="504" t="s">
        <v>1813</v>
      </c>
      <c r="J5" s="504" t="s">
        <v>1803</v>
      </c>
      <c r="K5" s="504" t="s">
        <v>1814</v>
      </c>
      <c r="L5" s="504" t="s">
        <v>1804</v>
      </c>
      <c r="M5" s="510">
        <v>46051</v>
      </c>
      <c r="N5" s="504">
        <v>2026</v>
      </c>
      <c r="O5" s="511" t="s">
        <v>1815</v>
      </c>
      <c r="P5" s="504"/>
      <c r="Q5" s="508"/>
    </row>
    <row r="6" spans="1:26" ht="37.5" customHeight="1">
      <c r="A6" s="500" t="s">
        <v>73</v>
      </c>
      <c r="B6" s="500" t="s">
        <v>32</v>
      </c>
      <c r="C6" s="512" t="s">
        <v>75</v>
      </c>
      <c r="D6" s="512" t="s">
        <v>76</v>
      </c>
      <c r="E6" s="500" t="s">
        <v>5</v>
      </c>
      <c r="F6" s="500" t="s">
        <v>1799</v>
      </c>
      <c r="G6" s="500" t="s">
        <v>1816</v>
      </c>
      <c r="H6" s="500" t="s">
        <v>1817</v>
      </c>
      <c r="I6" s="500">
        <v>202411048798</v>
      </c>
      <c r="J6" s="500" t="s">
        <v>1818</v>
      </c>
      <c r="K6" s="500" t="s">
        <v>1818</v>
      </c>
      <c r="L6" s="500" t="s">
        <v>1819</v>
      </c>
      <c r="M6" s="500" t="s">
        <v>934</v>
      </c>
      <c r="N6" s="500">
        <v>2024</v>
      </c>
      <c r="O6" s="513" t="s">
        <v>1820</v>
      </c>
      <c r="P6" s="502"/>
      <c r="Q6" s="73"/>
      <c r="R6" s="48"/>
      <c r="S6" s="48"/>
      <c r="T6" s="48"/>
      <c r="U6" s="48"/>
      <c r="V6" s="48"/>
      <c r="W6" s="48"/>
      <c r="X6" s="48"/>
      <c r="Y6" s="48"/>
      <c r="Z6" s="48"/>
    </row>
    <row r="7" spans="1:26" ht="37.5" customHeight="1">
      <c r="A7" s="500" t="s">
        <v>73</v>
      </c>
      <c r="B7" s="500" t="s">
        <v>32</v>
      </c>
      <c r="C7" s="512" t="s">
        <v>75</v>
      </c>
      <c r="D7" s="512" t="s">
        <v>76</v>
      </c>
      <c r="E7" s="500" t="s">
        <v>5</v>
      </c>
      <c r="F7" s="500" t="s">
        <v>1799</v>
      </c>
      <c r="G7" s="500" t="s">
        <v>1821</v>
      </c>
      <c r="H7" s="500" t="s">
        <v>1822</v>
      </c>
      <c r="I7" s="500" t="s">
        <v>1823</v>
      </c>
      <c r="J7" s="500" t="s">
        <v>1824</v>
      </c>
      <c r="K7" s="500" t="s">
        <v>1825</v>
      </c>
      <c r="L7" s="500" t="s">
        <v>1819</v>
      </c>
      <c r="M7" s="500" t="s">
        <v>626</v>
      </c>
      <c r="N7" s="500">
        <v>2025</v>
      </c>
      <c r="O7" s="45" t="s">
        <v>1826</v>
      </c>
      <c r="P7" s="502"/>
      <c r="Q7" s="514"/>
      <c r="R7" s="515"/>
      <c r="S7" s="515"/>
      <c r="T7" s="515"/>
      <c r="U7" s="515"/>
      <c r="V7" s="515"/>
      <c r="W7" s="515"/>
      <c r="X7" s="515"/>
      <c r="Y7" s="515"/>
      <c r="Z7" s="515"/>
    </row>
    <row r="8" spans="1:26" ht="37.5" customHeight="1">
      <c r="A8" s="500" t="s">
        <v>88</v>
      </c>
      <c r="B8" s="500" t="s">
        <v>8</v>
      </c>
      <c r="C8" s="500" t="s">
        <v>92</v>
      </c>
      <c r="D8" s="500" t="s">
        <v>67</v>
      </c>
      <c r="E8" s="500" t="s">
        <v>0</v>
      </c>
      <c r="F8" s="500" t="s">
        <v>1799</v>
      </c>
      <c r="G8" s="500" t="s">
        <v>1800</v>
      </c>
      <c r="H8" s="500" t="s">
        <v>1827</v>
      </c>
      <c r="I8" s="500" t="s">
        <v>1828</v>
      </c>
      <c r="J8" s="500" t="s">
        <v>1829</v>
      </c>
      <c r="K8" s="516"/>
      <c r="L8" s="500" t="s">
        <v>1819</v>
      </c>
      <c r="M8" s="500" t="s">
        <v>390</v>
      </c>
      <c r="N8" s="500">
        <v>2025</v>
      </c>
      <c r="O8" s="45" t="s">
        <v>1830</v>
      </c>
      <c r="P8" s="502"/>
      <c r="Q8" s="502"/>
    </row>
    <row r="9" spans="1:26" ht="37.5" customHeight="1">
      <c r="A9" s="500" t="s">
        <v>751</v>
      </c>
      <c r="B9" s="500" t="s">
        <v>752</v>
      </c>
      <c r="C9" s="500" t="s">
        <v>753</v>
      </c>
      <c r="D9" s="500" t="s">
        <v>67</v>
      </c>
      <c r="E9" s="504" t="s">
        <v>2</v>
      </c>
      <c r="F9" s="500" t="s">
        <v>1799</v>
      </c>
      <c r="G9" s="500" t="s">
        <v>1821</v>
      </c>
      <c r="H9" s="500" t="s">
        <v>1831</v>
      </c>
      <c r="I9" s="500" t="s">
        <v>1832</v>
      </c>
      <c r="J9" s="500" t="s">
        <v>1833</v>
      </c>
      <c r="K9" s="500" t="s">
        <v>1833</v>
      </c>
      <c r="L9" s="500" t="s">
        <v>1819</v>
      </c>
      <c r="M9" s="517">
        <v>45931</v>
      </c>
      <c r="N9" s="500">
        <v>2025</v>
      </c>
      <c r="O9" s="45" t="s">
        <v>1834</v>
      </c>
      <c r="P9" s="514"/>
      <c r="Q9" s="514"/>
      <c r="R9" s="400"/>
      <c r="S9" s="400"/>
      <c r="T9" s="400"/>
      <c r="U9" s="400"/>
      <c r="V9" s="400"/>
      <c r="W9" s="400"/>
      <c r="X9" s="400"/>
      <c r="Y9" s="400"/>
      <c r="Z9" s="400"/>
    </row>
    <row r="10" spans="1:26" ht="37.5" customHeight="1">
      <c r="A10" s="518" t="s">
        <v>751</v>
      </c>
      <c r="B10" s="518" t="s">
        <v>752</v>
      </c>
      <c r="C10" s="518" t="s">
        <v>753</v>
      </c>
      <c r="D10" s="518" t="s">
        <v>67</v>
      </c>
      <c r="E10" s="518" t="s">
        <v>2</v>
      </c>
      <c r="F10" s="518" t="s">
        <v>1835</v>
      </c>
      <c r="G10" s="518" t="s">
        <v>1836</v>
      </c>
      <c r="H10" s="518" t="s">
        <v>1837</v>
      </c>
      <c r="I10" s="518">
        <v>1237113</v>
      </c>
      <c r="J10" s="518" t="s">
        <v>1838</v>
      </c>
      <c r="K10" s="518" t="s">
        <v>1839</v>
      </c>
      <c r="L10" s="518" t="s">
        <v>1819</v>
      </c>
      <c r="M10" s="518" t="s">
        <v>390</v>
      </c>
      <c r="N10" s="518">
        <v>2025</v>
      </c>
      <c r="O10" s="519" t="s">
        <v>1840</v>
      </c>
      <c r="P10" s="520"/>
      <c r="Q10" s="521"/>
      <c r="R10" s="522"/>
      <c r="S10" s="522"/>
      <c r="T10" s="522"/>
      <c r="U10" s="522"/>
      <c r="V10" s="522"/>
      <c r="W10" s="522"/>
      <c r="X10" s="522"/>
      <c r="Y10" s="522"/>
      <c r="Z10" s="522"/>
    </row>
    <row r="11" spans="1:26" ht="37.5" customHeight="1">
      <c r="A11" s="518" t="s">
        <v>751</v>
      </c>
      <c r="B11" s="518" t="s">
        <v>752</v>
      </c>
      <c r="C11" s="518" t="s">
        <v>753</v>
      </c>
      <c r="D11" s="518" t="s">
        <v>67</v>
      </c>
      <c r="E11" s="518" t="s">
        <v>2</v>
      </c>
      <c r="F11" s="518" t="s">
        <v>1799</v>
      </c>
      <c r="G11" s="518" t="s">
        <v>1821</v>
      </c>
      <c r="H11" s="518" t="s">
        <v>1841</v>
      </c>
      <c r="I11" s="518" t="s">
        <v>1842</v>
      </c>
      <c r="J11" s="518" t="s">
        <v>1843</v>
      </c>
      <c r="K11" s="518" t="s">
        <v>1843</v>
      </c>
      <c r="L11" s="518" t="s">
        <v>1819</v>
      </c>
      <c r="M11" s="518" t="s">
        <v>390</v>
      </c>
      <c r="N11" s="518">
        <v>2025</v>
      </c>
      <c r="O11" s="519" t="s">
        <v>1844</v>
      </c>
      <c r="P11" s="521"/>
      <c r="Q11" s="521"/>
      <c r="R11" s="522"/>
      <c r="S11" s="522"/>
      <c r="T11" s="522"/>
      <c r="U11" s="522"/>
      <c r="V11" s="522"/>
      <c r="W11" s="522"/>
      <c r="X11" s="522"/>
      <c r="Y11" s="522"/>
      <c r="Z11" s="522"/>
    </row>
    <row r="12" spans="1:26" ht="37.5" customHeight="1">
      <c r="A12" s="518" t="s">
        <v>751</v>
      </c>
      <c r="B12" s="518" t="s">
        <v>752</v>
      </c>
      <c r="C12" s="518" t="s">
        <v>753</v>
      </c>
      <c r="D12" s="518" t="s">
        <v>67</v>
      </c>
      <c r="E12" s="518" t="s">
        <v>2</v>
      </c>
      <c r="F12" s="518" t="s">
        <v>1845</v>
      </c>
      <c r="G12" s="518" t="s">
        <v>1836</v>
      </c>
      <c r="H12" s="518" t="s">
        <v>1846</v>
      </c>
      <c r="I12" s="518">
        <v>1235955</v>
      </c>
      <c r="J12" s="518" t="s">
        <v>1847</v>
      </c>
      <c r="K12" s="518" t="s">
        <v>1847</v>
      </c>
      <c r="L12" s="518" t="s">
        <v>1848</v>
      </c>
      <c r="M12" s="518" t="s">
        <v>307</v>
      </c>
      <c r="N12" s="518">
        <v>2025</v>
      </c>
      <c r="O12" s="519" t="s">
        <v>1849</v>
      </c>
      <c r="P12" s="521"/>
      <c r="Q12" s="521"/>
      <c r="R12" s="522"/>
      <c r="S12" s="522"/>
      <c r="T12" s="522"/>
      <c r="U12" s="522"/>
      <c r="V12" s="522"/>
      <c r="W12" s="522"/>
      <c r="X12" s="522"/>
      <c r="Y12" s="522"/>
      <c r="Z12" s="522"/>
    </row>
    <row r="13" spans="1:26" ht="37.5" customHeight="1">
      <c r="A13" s="518" t="s">
        <v>751</v>
      </c>
      <c r="B13" s="518" t="s">
        <v>752</v>
      </c>
      <c r="C13" s="518" t="s">
        <v>753</v>
      </c>
      <c r="D13" s="518" t="s">
        <v>67</v>
      </c>
      <c r="E13" s="518" t="s">
        <v>2</v>
      </c>
      <c r="F13" s="518" t="s">
        <v>1845</v>
      </c>
      <c r="G13" s="518" t="s">
        <v>1836</v>
      </c>
      <c r="H13" s="518" t="s">
        <v>1850</v>
      </c>
      <c r="I13" s="518">
        <v>1235432</v>
      </c>
      <c r="J13" s="518" t="s">
        <v>1851</v>
      </c>
      <c r="K13" s="518" t="s">
        <v>1851</v>
      </c>
      <c r="L13" s="518" t="s">
        <v>1819</v>
      </c>
      <c r="M13" s="518" t="s">
        <v>934</v>
      </c>
      <c r="N13" s="518">
        <v>2025</v>
      </c>
      <c r="O13" s="519" t="s">
        <v>1852</v>
      </c>
      <c r="P13" s="521"/>
      <c r="Q13" s="521"/>
      <c r="R13" s="522"/>
      <c r="S13" s="522"/>
      <c r="T13" s="522"/>
      <c r="U13" s="522"/>
      <c r="V13" s="522"/>
      <c r="W13" s="522"/>
      <c r="X13" s="522"/>
      <c r="Y13" s="522"/>
      <c r="Z13" s="522"/>
    </row>
    <row r="14" spans="1:26" ht="37.5" customHeight="1">
      <c r="A14" s="518" t="s">
        <v>751</v>
      </c>
      <c r="B14" s="518" t="s">
        <v>752</v>
      </c>
      <c r="C14" s="518" t="s">
        <v>753</v>
      </c>
      <c r="D14" s="518" t="s">
        <v>67</v>
      </c>
      <c r="E14" s="518" t="s">
        <v>2</v>
      </c>
      <c r="F14" s="518" t="s">
        <v>1799</v>
      </c>
      <c r="G14" s="518" t="s">
        <v>1821</v>
      </c>
      <c r="H14" s="518" t="s">
        <v>1853</v>
      </c>
      <c r="I14" s="518" t="s">
        <v>1854</v>
      </c>
      <c r="J14" s="518" t="s">
        <v>1855</v>
      </c>
      <c r="K14" s="518" t="s">
        <v>1855</v>
      </c>
      <c r="L14" s="518" t="s">
        <v>1819</v>
      </c>
      <c r="M14" s="518" t="s">
        <v>951</v>
      </c>
      <c r="N14" s="518">
        <v>2025</v>
      </c>
      <c r="O14" s="519" t="s">
        <v>1856</v>
      </c>
      <c r="P14" s="521"/>
      <c r="Q14" s="521"/>
      <c r="R14" s="522"/>
      <c r="S14" s="522"/>
      <c r="T14" s="522"/>
      <c r="U14" s="522"/>
      <c r="V14" s="522"/>
      <c r="W14" s="522"/>
      <c r="X14" s="522"/>
      <c r="Y14" s="522"/>
      <c r="Z14" s="522"/>
    </row>
    <row r="15" spans="1:26" ht="37.5" customHeight="1">
      <c r="A15" s="518" t="s">
        <v>751</v>
      </c>
      <c r="B15" s="518" t="s">
        <v>752</v>
      </c>
      <c r="C15" s="518" t="s">
        <v>753</v>
      </c>
      <c r="D15" s="518" t="s">
        <v>67</v>
      </c>
      <c r="E15" s="518" t="s">
        <v>2</v>
      </c>
      <c r="F15" s="518" t="s">
        <v>1799</v>
      </c>
      <c r="G15" s="518" t="s">
        <v>1821</v>
      </c>
      <c r="H15" s="518" t="s">
        <v>1857</v>
      </c>
      <c r="I15" s="518" t="s">
        <v>1858</v>
      </c>
      <c r="J15" s="518" t="s">
        <v>1859</v>
      </c>
      <c r="K15" s="518" t="s">
        <v>1859</v>
      </c>
      <c r="L15" s="518" t="s">
        <v>1819</v>
      </c>
      <c r="M15" s="518" t="s">
        <v>553</v>
      </c>
      <c r="N15" s="518">
        <v>2025</v>
      </c>
      <c r="O15" s="519" t="s">
        <v>1860</v>
      </c>
      <c r="P15" s="521"/>
      <c r="Q15" s="521"/>
      <c r="R15" s="522"/>
      <c r="S15" s="522"/>
      <c r="T15" s="522"/>
      <c r="U15" s="522"/>
      <c r="V15" s="522"/>
      <c r="W15" s="522"/>
      <c r="X15" s="522"/>
      <c r="Y15" s="522"/>
      <c r="Z15" s="522"/>
    </row>
    <row r="16" spans="1:26" ht="37.5" customHeight="1">
      <c r="A16" s="518" t="s">
        <v>751</v>
      </c>
      <c r="B16" s="518" t="s">
        <v>752</v>
      </c>
      <c r="C16" s="518" t="s">
        <v>753</v>
      </c>
      <c r="D16" s="518" t="s">
        <v>67</v>
      </c>
      <c r="E16" s="518" t="s">
        <v>2</v>
      </c>
      <c r="F16" s="518" t="s">
        <v>1861</v>
      </c>
      <c r="G16" s="518" t="s">
        <v>1821</v>
      </c>
      <c r="H16" s="518" t="s">
        <v>1862</v>
      </c>
      <c r="I16" s="518">
        <v>6442660</v>
      </c>
      <c r="J16" s="518" t="s">
        <v>1863</v>
      </c>
      <c r="K16" s="518" t="s">
        <v>1863</v>
      </c>
      <c r="L16" s="518" t="s">
        <v>1804</v>
      </c>
      <c r="M16" s="518" t="s">
        <v>553</v>
      </c>
      <c r="N16" s="518">
        <v>2025</v>
      </c>
      <c r="O16" s="519" t="s">
        <v>1864</v>
      </c>
      <c r="P16" s="521"/>
      <c r="Q16" s="521"/>
      <c r="R16" s="522"/>
      <c r="S16" s="522"/>
      <c r="T16" s="522"/>
      <c r="U16" s="522"/>
      <c r="V16" s="522"/>
      <c r="W16" s="522"/>
      <c r="X16" s="522"/>
      <c r="Y16" s="522"/>
      <c r="Z16" s="522"/>
    </row>
    <row r="17" spans="1:26" ht="37.5" customHeight="1">
      <c r="A17" s="518" t="s">
        <v>751</v>
      </c>
      <c r="B17" s="518" t="s">
        <v>752</v>
      </c>
      <c r="C17" s="518" t="s">
        <v>753</v>
      </c>
      <c r="D17" s="518" t="s">
        <v>67</v>
      </c>
      <c r="E17" s="518" t="s">
        <v>2</v>
      </c>
      <c r="F17" s="518" t="s">
        <v>1799</v>
      </c>
      <c r="G17" s="518" t="s">
        <v>1821</v>
      </c>
      <c r="H17" s="518" t="s">
        <v>1865</v>
      </c>
      <c r="I17" s="518" t="s">
        <v>1866</v>
      </c>
      <c r="J17" s="518" t="s">
        <v>1867</v>
      </c>
      <c r="K17" s="518" t="s">
        <v>1867</v>
      </c>
      <c r="L17" s="518" t="s">
        <v>1819</v>
      </c>
      <c r="M17" s="518" t="s">
        <v>568</v>
      </c>
      <c r="N17" s="518">
        <v>2025</v>
      </c>
      <c r="O17" s="519" t="s">
        <v>1868</v>
      </c>
      <c r="P17" s="521"/>
      <c r="Q17" s="521"/>
      <c r="R17" s="522"/>
      <c r="S17" s="522"/>
      <c r="T17" s="522"/>
      <c r="U17" s="522"/>
      <c r="V17" s="522"/>
      <c r="W17" s="522"/>
      <c r="X17" s="522"/>
      <c r="Y17" s="522"/>
      <c r="Z17" s="522"/>
    </row>
    <row r="18" spans="1:26" ht="37.5" customHeight="1">
      <c r="A18" s="518" t="s">
        <v>751</v>
      </c>
      <c r="B18" s="518" t="s">
        <v>752</v>
      </c>
      <c r="C18" s="518" t="s">
        <v>753</v>
      </c>
      <c r="D18" s="518" t="s">
        <v>67</v>
      </c>
      <c r="E18" s="518" t="s">
        <v>2</v>
      </c>
      <c r="F18" s="518" t="s">
        <v>1799</v>
      </c>
      <c r="G18" s="518" t="s">
        <v>1821</v>
      </c>
      <c r="H18" s="518" t="s">
        <v>1869</v>
      </c>
      <c r="I18" s="518" t="s">
        <v>1870</v>
      </c>
      <c r="J18" s="518" t="s">
        <v>1871</v>
      </c>
      <c r="K18" s="518" t="s">
        <v>1871</v>
      </c>
      <c r="L18" s="518" t="s">
        <v>1819</v>
      </c>
      <c r="M18" s="518" t="s">
        <v>568</v>
      </c>
      <c r="N18" s="518">
        <v>2025</v>
      </c>
      <c r="O18" s="519" t="s">
        <v>1872</v>
      </c>
      <c r="P18" s="521"/>
      <c r="Q18" s="521"/>
      <c r="R18" s="522"/>
      <c r="S18" s="522"/>
      <c r="T18" s="522"/>
      <c r="U18" s="522"/>
      <c r="V18" s="522"/>
      <c r="W18" s="522"/>
      <c r="X18" s="522"/>
      <c r="Y18" s="522"/>
      <c r="Z18" s="522"/>
    </row>
    <row r="19" spans="1:26" ht="37.5" customHeight="1">
      <c r="A19" s="518" t="s">
        <v>751</v>
      </c>
      <c r="B19" s="518" t="s">
        <v>752</v>
      </c>
      <c r="C19" s="518" t="s">
        <v>753</v>
      </c>
      <c r="D19" s="518" t="s">
        <v>67</v>
      </c>
      <c r="E19" s="518" t="s">
        <v>2</v>
      </c>
      <c r="F19" s="518" t="s">
        <v>1799</v>
      </c>
      <c r="G19" s="518" t="s">
        <v>1821</v>
      </c>
      <c r="H19" s="518" t="s">
        <v>1873</v>
      </c>
      <c r="I19" s="518" t="s">
        <v>1874</v>
      </c>
      <c r="J19" s="518" t="s">
        <v>1875</v>
      </c>
      <c r="K19" s="518" t="s">
        <v>1876</v>
      </c>
      <c r="L19" s="518" t="s">
        <v>1819</v>
      </c>
      <c r="M19" s="518" t="s">
        <v>168</v>
      </c>
      <c r="N19" s="518">
        <v>2024</v>
      </c>
      <c r="O19" s="519" t="s">
        <v>1877</v>
      </c>
      <c r="P19" s="521"/>
      <c r="Q19" s="521"/>
      <c r="R19" s="522"/>
      <c r="S19" s="522"/>
      <c r="T19" s="522"/>
      <c r="U19" s="522"/>
      <c r="V19" s="522"/>
      <c r="W19" s="522"/>
      <c r="X19" s="522"/>
      <c r="Y19" s="522"/>
      <c r="Z19" s="522"/>
    </row>
    <row r="20" spans="1:26" ht="37.5" customHeight="1">
      <c r="A20" s="518" t="s">
        <v>751</v>
      </c>
      <c r="B20" s="518" t="s">
        <v>752</v>
      </c>
      <c r="C20" s="518" t="s">
        <v>753</v>
      </c>
      <c r="D20" s="518" t="s">
        <v>67</v>
      </c>
      <c r="E20" s="518" t="s">
        <v>2</v>
      </c>
      <c r="F20" s="518" t="s">
        <v>1799</v>
      </c>
      <c r="G20" s="518" t="s">
        <v>1816</v>
      </c>
      <c r="H20" s="518" t="s">
        <v>1878</v>
      </c>
      <c r="I20" s="518">
        <v>202421068388</v>
      </c>
      <c r="J20" s="518" t="s">
        <v>1879</v>
      </c>
      <c r="K20" s="518" t="s">
        <v>1880</v>
      </c>
      <c r="L20" s="518" t="s">
        <v>1819</v>
      </c>
      <c r="M20" s="518" t="s">
        <v>168</v>
      </c>
      <c r="N20" s="518">
        <v>2024</v>
      </c>
      <c r="O20" s="519" t="s">
        <v>1881</v>
      </c>
      <c r="P20" s="521"/>
      <c r="Q20" s="521"/>
      <c r="R20" s="522"/>
      <c r="S20" s="522"/>
      <c r="T20" s="522"/>
      <c r="U20" s="522"/>
      <c r="V20" s="522"/>
      <c r="W20" s="522"/>
      <c r="X20" s="522"/>
      <c r="Y20" s="522"/>
      <c r="Z20" s="522"/>
    </row>
    <row r="21" spans="1:26" ht="37.5" customHeight="1">
      <c r="A21" s="504" t="s">
        <v>68</v>
      </c>
      <c r="B21" s="504" t="s">
        <v>33</v>
      </c>
      <c r="C21" s="504" t="s">
        <v>77</v>
      </c>
      <c r="D21" s="504" t="s">
        <v>76</v>
      </c>
      <c r="E21" s="504" t="s">
        <v>6</v>
      </c>
      <c r="F21" s="504" t="s">
        <v>1799</v>
      </c>
      <c r="G21" s="504" t="s">
        <v>1821</v>
      </c>
      <c r="H21" s="504" t="s">
        <v>1882</v>
      </c>
      <c r="I21" s="523" t="s">
        <v>1808</v>
      </c>
      <c r="J21" s="504" t="s">
        <v>1883</v>
      </c>
      <c r="K21" s="504" t="s">
        <v>1883</v>
      </c>
      <c r="L21" s="504" t="s">
        <v>1819</v>
      </c>
      <c r="M21" s="504" t="s">
        <v>321</v>
      </c>
      <c r="N21" s="504">
        <v>2025</v>
      </c>
      <c r="O21" s="524" t="s">
        <v>1884</v>
      </c>
      <c r="P21" s="504"/>
      <c r="Q21" s="508"/>
    </row>
    <row r="22" spans="1:26" ht="37.5" customHeight="1">
      <c r="A22" s="500" t="s">
        <v>68</v>
      </c>
      <c r="B22" s="500" t="s">
        <v>33</v>
      </c>
      <c r="C22" s="500" t="s">
        <v>77</v>
      </c>
      <c r="D22" s="500" t="s">
        <v>76</v>
      </c>
      <c r="E22" s="500" t="s">
        <v>6</v>
      </c>
      <c r="F22" s="500" t="s">
        <v>1799</v>
      </c>
      <c r="G22" s="500" t="s">
        <v>1816</v>
      </c>
      <c r="H22" s="500" t="s">
        <v>1885</v>
      </c>
      <c r="I22" s="525">
        <v>202511047401</v>
      </c>
      <c r="J22" s="500" t="s">
        <v>1886</v>
      </c>
      <c r="K22" s="500" t="s">
        <v>1886</v>
      </c>
      <c r="L22" s="500" t="s">
        <v>1819</v>
      </c>
      <c r="M22" s="500" t="s">
        <v>553</v>
      </c>
      <c r="N22" s="500">
        <v>2025</v>
      </c>
      <c r="O22" s="513" t="s">
        <v>1887</v>
      </c>
      <c r="P22" s="526"/>
      <c r="Q22" s="509"/>
    </row>
    <row r="23" spans="1:26" ht="37.5" customHeight="1">
      <c r="A23" s="504" t="s">
        <v>1806</v>
      </c>
      <c r="B23" s="504" t="s">
        <v>34</v>
      </c>
      <c r="C23" s="9" t="s">
        <v>79</v>
      </c>
      <c r="D23" s="504" t="s">
        <v>80</v>
      </c>
      <c r="E23" s="504" t="s">
        <v>5</v>
      </c>
      <c r="F23" s="504" t="s">
        <v>1799</v>
      </c>
      <c r="G23" s="504" t="s">
        <v>1816</v>
      </c>
      <c r="H23" s="504" t="s">
        <v>1888</v>
      </c>
      <c r="I23" s="504">
        <v>202511066718</v>
      </c>
      <c r="J23" s="504" t="s">
        <v>1889</v>
      </c>
      <c r="K23" s="504" t="s">
        <v>1889</v>
      </c>
      <c r="L23" s="504" t="s">
        <v>1819</v>
      </c>
      <c r="M23" s="504" t="s">
        <v>1890</v>
      </c>
      <c r="N23" s="504">
        <v>2025</v>
      </c>
      <c r="O23" s="527"/>
      <c r="P23" s="528"/>
      <c r="Q23" s="528"/>
    </row>
    <row r="24" spans="1:26" ht="37.5" customHeight="1">
      <c r="A24" s="500" t="s">
        <v>88</v>
      </c>
      <c r="B24" s="500" t="s">
        <v>27</v>
      </c>
      <c r="C24" s="500" t="s">
        <v>82</v>
      </c>
      <c r="D24" s="500" t="s">
        <v>67</v>
      </c>
      <c r="E24" s="500" t="s">
        <v>6</v>
      </c>
      <c r="F24" s="500" t="s">
        <v>1799</v>
      </c>
      <c r="G24" s="500" t="s">
        <v>1800</v>
      </c>
      <c r="H24" s="500" t="s">
        <v>1891</v>
      </c>
      <c r="I24" s="500">
        <v>202411104712</v>
      </c>
      <c r="J24" s="500" t="s">
        <v>1892</v>
      </c>
      <c r="K24" s="516"/>
      <c r="L24" s="500" t="s">
        <v>1819</v>
      </c>
      <c r="M24" s="529">
        <v>45689</v>
      </c>
      <c r="N24" s="500">
        <v>2025</v>
      </c>
      <c r="O24" s="513" t="s">
        <v>1893</v>
      </c>
      <c r="P24" s="530"/>
      <c r="Q24" s="531"/>
    </row>
    <row r="25" spans="1:26" ht="37.5" customHeight="1">
      <c r="A25" s="504" t="s">
        <v>68</v>
      </c>
      <c r="B25" s="504" t="s">
        <v>37</v>
      </c>
      <c r="C25" s="504" t="s">
        <v>87</v>
      </c>
      <c r="D25" s="504" t="s">
        <v>70</v>
      </c>
      <c r="E25" s="504" t="s">
        <v>5</v>
      </c>
      <c r="F25" s="504" t="s">
        <v>1799</v>
      </c>
      <c r="G25" s="504" t="s">
        <v>1816</v>
      </c>
      <c r="H25" s="504" t="s">
        <v>1894</v>
      </c>
      <c r="I25" s="504">
        <v>202511047401</v>
      </c>
      <c r="J25" s="504" t="s">
        <v>1895</v>
      </c>
      <c r="K25" s="504" t="s">
        <v>55</v>
      </c>
      <c r="L25" s="504" t="s">
        <v>1819</v>
      </c>
      <c r="M25" s="532">
        <v>45778</v>
      </c>
      <c r="N25" s="504">
        <v>2025</v>
      </c>
      <c r="O25" s="524" t="s">
        <v>1896</v>
      </c>
      <c r="P25" s="507"/>
      <c r="Q25" s="92"/>
    </row>
    <row r="26" spans="1:26" ht="37.5" customHeight="1">
      <c r="A26" s="500" t="s">
        <v>88</v>
      </c>
      <c r="B26" s="500" t="s">
        <v>38</v>
      </c>
      <c r="C26" s="500" t="s">
        <v>89</v>
      </c>
      <c r="D26" s="500" t="s">
        <v>76</v>
      </c>
      <c r="E26" s="500" t="s">
        <v>5</v>
      </c>
      <c r="F26" s="500" t="s">
        <v>1799</v>
      </c>
      <c r="G26" s="500" t="s">
        <v>1816</v>
      </c>
      <c r="H26" s="500" t="s">
        <v>1897</v>
      </c>
      <c r="I26" s="500">
        <v>202511055254</v>
      </c>
      <c r="J26" s="500" t="s">
        <v>1898</v>
      </c>
      <c r="K26" s="500" t="s">
        <v>38</v>
      </c>
      <c r="L26" s="500" t="s">
        <v>1819</v>
      </c>
      <c r="M26" s="500" t="s">
        <v>1899</v>
      </c>
      <c r="N26" s="500">
        <v>2025</v>
      </c>
      <c r="O26" s="513" t="s">
        <v>1900</v>
      </c>
      <c r="P26" s="502"/>
      <c r="Q26" s="73"/>
    </row>
    <row r="27" spans="1:26" ht="37.5" customHeight="1">
      <c r="A27" s="533" t="s">
        <v>751</v>
      </c>
      <c r="B27" s="533" t="s">
        <v>1901</v>
      </c>
      <c r="C27" s="533" t="s">
        <v>90</v>
      </c>
      <c r="D27" s="533" t="s">
        <v>67</v>
      </c>
      <c r="E27" s="533" t="s">
        <v>3</v>
      </c>
      <c r="F27" s="533" t="s">
        <v>1799</v>
      </c>
      <c r="G27" s="533" t="s">
        <v>1816</v>
      </c>
      <c r="H27" s="533" t="s">
        <v>1902</v>
      </c>
      <c r="I27" s="534" t="s">
        <v>1903</v>
      </c>
      <c r="J27" s="533" t="s">
        <v>1904</v>
      </c>
      <c r="K27" s="533" t="s">
        <v>1905</v>
      </c>
      <c r="L27" s="533" t="s">
        <v>1819</v>
      </c>
      <c r="M27" s="533" t="s">
        <v>934</v>
      </c>
      <c r="N27" s="533">
        <v>2025</v>
      </c>
      <c r="O27" s="535"/>
      <c r="P27" s="536"/>
      <c r="Q27" s="533"/>
      <c r="R27" s="537"/>
      <c r="S27" s="537"/>
      <c r="T27" s="537"/>
      <c r="U27" s="537"/>
      <c r="V27" s="537"/>
      <c r="W27" s="537"/>
      <c r="X27" s="537"/>
      <c r="Y27" s="537"/>
      <c r="Z27" s="537"/>
    </row>
    <row r="28" spans="1:26" ht="37.5" customHeight="1">
      <c r="A28" s="4" t="s">
        <v>68</v>
      </c>
      <c r="B28" s="4" t="s">
        <v>42</v>
      </c>
      <c r="C28" s="9" t="s">
        <v>93</v>
      </c>
      <c r="D28" s="9" t="s">
        <v>80</v>
      </c>
      <c r="E28" s="500" t="s">
        <v>5</v>
      </c>
      <c r="F28" s="4" t="s">
        <v>1799</v>
      </c>
      <c r="G28" s="4" t="s">
        <v>1821</v>
      </c>
      <c r="H28" s="4" t="s">
        <v>1906</v>
      </c>
      <c r="I28" s="4">
        <v>202541004675</v>
      </c>
      <c r="J28" s="4" t="s">
        <v>1907</v>
      </c>
      <c r="K28" s="4" t="s">
        <v>1907</v>
      </c>
      <c r="L28" s="4" t="s">
        <v>1819</v>
      </c>
      <c r="M28" s="4" t="s">
        <v>626</v>
      </c>
      <c r="N28" s="4">
        <v>2025</v>
      </c>
      <c r="O28" s="513" t="s">
        <v>1494</v>
      </c>
      <c r="P28" s="502"/>
      <c r="Q28" s="500"/>
    </row>
    <row r="29" spans="1:26" ht="37.5" customHeight="1">
      <c r="A29" s="504" t="s">
        <v>68</v>
      </c>
      <c r="B29" s="9" t="s">
        <v>43</v>
      </c>
      <c r="C29" s="504" t="s">
        <v>334</v>
      </c>
      <c r="D29" s="504" t="s">
        <v>80</v>
      </c>
      <c r="E29" s="504" t="s">
        <v>7</v>
      </c>
      <c r="F29" s="504" t="s">
        <v>1799</v>
      </c>
      <c r="G29" s="504" t="s">
        <v>1800</v>
      </c>
      <c r="H29" s="504" t="s">
        <v>1908</v>
      </c>
      <c r="I29" s="504" t="s">
        <v>1909</v>
      </c>
      <c r="J29" s="504" t="s">
        <v>1910</v>
      </c>
      <c r="K29" s="506"/>
      <c r="L29" s="504" t="s">
        <v>1804</v>
      </c>
      <c r="M29" s="504" t="s">
        <v>1911</v>
      </c>
      <c r="N29" s="504">
        <v>2025</v>
      </c>
      <c r="O29" s="44" t="s">
        <v>1912</v>
      </c>
      <c r="P29" s="504"/>
      <c r="Q29" s="508"/>
    </row>
    <row r="30" spans="1:26" ht="37.5" customHeight="1">
      <c r="A30" s="500" t="s">
        <v>68</v>
      </c>
      <c r="B30" s="4" t="s">
        <v>43</v>
      </c>
      <c r="C30" s="500" t="s">
        <v>334</v>
      </c>
      <c r="D30" s="500" t="s">
        <v>80</v>
      </c>
      <c r="E30" s="500" t="s">
        <v>7</v>
      </c>
      <c r="F30" s="500" t="s">
        <v>1799</v>
      </c>
      <c r="G30" s="500" t="s">
        <v>1800</v>
      </c>
      <c r="H30" s="500" t="s">
        <v>1801</v>
      </c>
      <c r="I30" s="500" t="s">
        <v>1802</v>
      </c>
      <c r="J30" s="500" t="s">
        <v>1803</v>
      </c>
      <c r="K30" s="500" t="s">
        <v>1803</v>
      </c>
      <c r="L30" s="500" t="s">
        <v>1804</v>
      </c>
      <c r="M30" s="501">
        <v>45805</v>
      </c>
      <c r="N30" s="500">
        <v>2025</v>
      </c>
      <c r="O30" s="45" t="s">
        <v>1913</v>
      </c>
      <c r="P30" s="500"/>
      <c r="Q30" s="509"/>
    </row>
    <row r="31" spans="1:26" ht="37.5" customHeight="1">
      <c r="A31" s="9" t="s">
        <v>73</v>
      </c>
      <c r="B31" s="504" t="s">
        <v>20</v>
      </c>
      <c r="C31" s="504" t="s">
        <v>130</v>
      </c>
      <c r="D31" s="504" t="s">
        <v>76</v>
      </c>
      <c r="E31" s="504" t="s">
        <v>6</v>
      </c>
      <c r="F31" s="504" t="s">
        <v>1799</v>
      </c>
      <c r="G31" s="504" t="s">
        <v>1821</v>
      </c>
      <c r="H31" s="504" t="s">
        <v>1914</v>
      </c>
      <c r="I31" s="504" t="s">
        <v>1915</v>
      </c>
      <c r="J31" s="504" t="s">
        <v>1916</v>
      </c>
      <c r="K31" s="504" t="s">
        <v>1917</v>
      </c>
      <c r="L31" s="504" t="s">
        <v>1918</v>
      </c>
      <c r="M31" s="504" t="s">
        <v>1919</v>
      </c>
      <c r="N31" s="504">
        <v>2025</v>
      </c>
      <c r="O31" s="524" t="s">
        <v>1920</v>
      </c>
      <c r="P31" s="538"/>
      <c r="Q31" s="508"/>
    </row>
    <row r="32" spans="1:26" ht="37.5" customHeight="1">
      <c r="A32" s="500" t="s">
        <v>65</v>
      </c>
      <c r="B32" s="500" t="s">
        <v>46</v>
      </c>
      <c r="C32" s="500" t="s">
        <v>99</v>
      </c>
      <c r="D32" s="500" t="s">
        <v>67</v>
      </c>
      <c r="E32" s="500" t="s">
        <v>7</v>
      </c>
      <c r="F32" s="500" t="s">
        <v>1799</v>
      </c>
      <c r="G32" s="500" t="s">
        <v>1800</v>
      </c>
      <c r="H32" s="500" t="s">
        <v>1921</v>
      </c>
      <c r="I32" s="500" t="s">
        <v>1922</v>
      </c>
      <c r="J32" s="500" t="s">
        <v>1923</v>
      </c>
      <c r="K32" s="500" t="s">
        <v>1924</v>
      </c>
      <c r="L32" s="500" t="s">
        <v>1804</v>
      </c>
      <c r="M32" s="517">
        <v>45839</v>
      </c>
      <c r="N32" s="500">
        <v>2025</v>
      </c>
      <c r="O32" s="502" t="s">
        <v>1925</v>
      </c>
      <c r="P32" s="4"/>
      <c r="Q32" s="539"/>
    </row>
    <row r="33" spans="1:26" ht="37.5" customHeight="1">
      <c r="A33" s="9" t="s">
        <v>73</v>
      </c>
      <c r="B33" s="9" t="s">
        <v>18</v>
      </c>
      <c r="C33" s="9" t="s">
        <v>100</v>
      </c>
      <c r="D33" s="504" t="s">
        <v>76</v>
      </c>
      <c r="E33" s="504" t="s">
        <v>6</v>
      </c>
      <c r="F33" s="504" t="s">
        <v>1799</v>
      </c>
      <c r="G33" s="504" t="s">
        <v>1821</v>
      </c>
      <c r="H33" s="9" t="s">
        <v>1926</v>
      </c>
      <c r="I33" s="9" t="s">
        <v>1927</v>
      </c>
      <c r="J33" s="9" t="s">
        <v>1928</v>
      </c>
      <c r="K33" s="9" t="s">
        <v>1928</v>
      </c>
      <c r="L33" s="504" t="s">
        <v>1819</v>
      </c>
      <c r="M33" s="504" t="s">
        <v>1929</v>
      </c>
      <c r="N33" s="504">
        <v>2025</v>
      </c>
      <c r="O33" s="524" t="s">
        <v>1930</v>
      </c>
      <c r="P33" s="538"/>
      <c r="Q33" s="508"/>
    </row>
    <row r="34" spans="1:26" ht="37.5" customHeight="1">
      <c r="A34" s="500" t="s">
        <v>68</v>
      </c>
      <c r="B34" s="500" t="s">
        <v>11</v>
      </c>
      <c r="C34" s="500" t="s">
        <v>102</v>
      </c>
      <c r="D34" s="500" t="s">
        <v>76</v>
      </c>
      <c r="E34" s="500" t="s">
        <v>0</v>
      </c>
      <c r="F34" s="500" t="s">
        <v>1799</v>
      </c>
      <c r="G34" s="500" t="s">
        <v>1816</v>
      </c>
      <c r="H34" s="500" t="s">
        <v>1931</v>
      </c>
      <c r="I34" s="500" t="s">
        <v>1932</v>
      </c>
      <c r="J34" s="500" t="s">
        <v>1933</v>
      </c>
      <c r="K34" s="500" t="s">
        <v>1933</v>
      </c>
      <c r="L34" s="500" t="s">
        <v>1804</v>
      </c>
      <c r="M34" s="500" t="s">
        <v>1934</v>
      </c>
      <c r="N34" s="500">
        <v>2025</v>
      </c>
      <c r="O34" s="45" t="s">
        <v>1935</v>
      </c>
      <c r="P34" s="514"/>
      <c r="Q34" s="514"/>
    </row>
    <row r="35" spans="1:26" ht="37.5" customHeight="1">
      <c r="A35" s="504" t="s">
        <v>68</v>
      </c>
      <c r="B35" s="504" t="s">
        <v>11</v>
      </c>
      <c r="C35" s="504" t="s">
        <v>102</v>
      </c>
      <c r="D35" s="504" t="s">
        <v>76</v>
      </c>
      <c r="E35" s="504" t="s">
        <v>0</v>
      </c>
      <c r="F35" s="504" t="s">
        <v>1799</v>
      </c>
      <c r="G35" s="504" t="s">
        <v>1816</v>
      </c>
      <c r="H35" s="504" t="s">
        <v>1936</v>
      </c>
      <c r="I35" s="504" t="s">
        <v>1937</v>
      </c>
      <c r="J35" s="504" t="s">
        <v>1938</v>
      </c>
      <c r="K35" s="504" t="s">
        <v>1938</v>
      </c>
      <c r="L35" s="504" t="s">
        <v>1804</v>
      </c>
      <c r="M35" s="504" t="s">
        <v>1939</v>
      </c>
      <c r="N35" s="504">
        <v>2025</v>
      </c>
      <c r="O35" s="44" t="s">
        <v>1940</v>
      </c>
      <c r="P35" s="540"/>
      <c r="Q35" s="540"/>
    </row>
    <row r="36" spans="1:26" ht="37.5" customHeight="1">
      <c r="A36" s="500" t="s">
        <v>68</v>
      </c>
      <c r="B36" s="500" t="s">
        <v>11</v>
      </c>
      <c r="C36" s="500" t="s">
        <v>102</v>
      </c>
      <c r="D36" s="500" t="s">
        <v>76</v>
      </c>
      <c r="E36" s="500" t="s">
        <v>0</v>
      </c>
      <c r="F36" s="500" t="s">
        <v>1799</v>
      </c>
      <c r="G36" s="500" t="s">
        <v>1816</v>
      </c>
      <c r="H36" s="500" t="s">
        <v>1941</v>
      </c>
      <c r="I36" s="500" t="s">
        <v>1942</v>
      </c>
      <c r="J36" s="500" t="s">
        <v>1943</v>
      </c>
      <c r="K36" s="500" t="s">
        <v>1944</v>
      </c>
      <c r="L36" s="500" t="s">
        <v>1804</v>
      </c>
      <c r="M36" s="500" t="s">
        <v>613</v>
      </c>
      <c r="N36" s="500">
        <v>2025</v>
      </c>
      <c r="O36" s="45" t="s">
        <v>1945</v>
      </c>
      <c r="P36" s="502"/>
      <c r="Q36" s="514"/>
      <c r="R36" s="1"/>
      <c r="S36" s="1"/>
      <c r="T36" s="1"/>
      <c r="U36" s="1"/>
      <c r="V36" s="1"/>
      <c r="W36" s="1"/>
      <c r="X36" s="1"/>
      <c r="Y36" s="1"/>
      <c r="Z36" s="1"/>
    </row>
    <row r="37" spans="1:26" ht="37.5" customHeight="1">
      <c r="A37" s="9" t="s">
        <v>1146</v>
      </c>
      <c r="B37" s="504" t="s">
        <v>1140</v>
      </c>
      <c r="C37" s="504" t="s">
        <v>104</v>
      </c>
      <c r="D37" s="504" t="s">
        <v>76</v>
      </c>
      <c r="E37" s="504" t="s">
        <v>0</v>
      </c>
      <c r="F37" s="504" t="s">
        <v>1799</v>
      </c>
      <c r="G37" s="504" t="s">
        <v>1800</v>
      </c>
      <c r="H37" s="504" t="s">
        <v>1807</v>
      </c>
      <c r="I37" s="504" t="s">
        <v>1808</v>
      </c>
      <c r="J37" s="541"/>
      <c r="K37" s="504" t="s">
        <v>103</v>
      </c>
      <c r="L37" s="504" t="s">
        <v>1804</v>
      </c>
      <c r="M37" s="505">
        <v>45689</v>
      </c>
      <c r="N37" s="504">
        <v>2025</v>
      </c>
      <c r="O37" s="524" t="s">
        <v>1884</v>
      </c>
      <c r="P37" s="504"/>
      <c r="Q37" s="504"/>
    </row>
    <row r="38" spans="1:26" ht="37.5" customHeight="1">
      <c r="A38" s="4" t="s">
        <v>1146</v>
      </c>
      <c r="B38" s="500" t="s">
        <v>1140</v>
      </c>
      <c r="C38" s="500" t="s">
        <v>104</v>
      </c>
      <c r="D38" s="500" t="s">
        <v>76</v>
      </c>
      <c r="E38" s="500" t="s">
        <v>0</v>
      </c>
      <c r="F38" s="500" t="s">
        <v>1799</v>
      </c>
      <c r="G38" s="500" t="s">
        <v>1816</v>
      </c>
      <c r="H38" s="500" t="s">
        <v>1894</v>
      </c>
      <c r="I38" s="500">
        <v>202511047401</v>
      </c>
      <c r="J38" s="500" t="s">
        <v>1946</v>
      </c>
      <c r="K38" s="500" t="s">
        <v>103</v>
      </c>
      <c r="L38" s="500" t="s">
        <v>1819</v>
      </c>
      <c r="M38" s="517">
        <v>45778</v>
      </c>
      <c r="N38" s="500">
        <v>2025</v>
      </c>
      <c r="O38" s="513" t="s">
        <v>1896</v>
      </c>
      <c r="P38" s="423"/>
      <c r="Q38" s="423"/>
    </row>
    <row r="39" spans="1:26" ht="37.5" customHeight="1">
      <c r="A39" s="504" t="s">
        <v>68</v>
      </c>
      <c r="B39" s="504" t="s">
        <v>48</v>
      </c>
      <c r="C39" s="504" t="s">
        <v>105</v>
      </c>
      <c r="D39" s="504" t="s">
        <v>67</v>
      </c>
      <c r="E39" s="504" t="s">
        <v>3</v>
      </c>
      <c r="F39" s="504" t="s">
        <v>1799</v>
      </c>
      <c r="G39" s="504" t="s">
        <v>1816</v>
      </c>
      <c r="H39" s="504" t="s">
        <v>1902</v>
      </c>
      <c r="I39" s="525" t="s">
        <v>1903</v>
      </c>
      <c r="J39" s="504" t="s">
        <v>1904</v>
      </c>
      <c r="K39" s="504" t="s">
        <v>1905</v>
      </c>
      <c r="L39" s="504" t="s">
        <v>1819</v>
      </c>
      <c r="M39" s="504" t="s">
        <v>934</v>
      </c>
      <c r="N39" s="504">
        <v>2025</v>
      </c>
      <c r="O39" s="44" t="s">
        <v>1947</v>
      </c>
      <c r="P39" s="542"/>
      <c r="Q39" s="543"/>
    </row>
    <row r="40" spans="1:26" ht="37.5" customHeight="1">
      <c r="A40" s="4" t="s">
        <v>73</v>
      </c>
      <c r="B40" s="500" t="s">
        <v>49</v>
      </c>
      <c r="C40" s="500" t="s">
        <v>1948</v>
      </c>
      <c r="D40" s="500" t="s">
        <v>67</v>
      </c>
      <c r="E40" s="500" t="s">
        <v>5</v>
      </c>
      <c r="F40" s="500" t="s">
        <v>1799</v>
      </c>
      <c r="G40" s="500" t="s">
        <v>1821</v>
      </c>
      <c r="H40" s="500" t="s">
        <v>1914</v>
      </c>
      <c r="I40" s="500" t="s">
        <v>1915</v>
      </c>
      <c r="J40" s="500" t="s">
        <v>1949</v>
      </c>
      <c r="K40" s="500" t="s">
        <v>1917</v>
      </c>
      <c r="L40" s="500" t="s">
        <v>1918</v>
      </c>
      <c r="M40" s="500" t="s">
        <v>1919</v>
      </c>
      <c r="N40" s="500">
        <v>2025</v>
      </c>
      <c r="O40" s="513" t="s">
        <v>1950</v>
      </c>
      <c r="P40" s="544"/>
      <c r="Q40" s="423"/>
    </row>
    <row r="41" spans="1:26" ht="37.5" customHeight="1">
      <c r="A41" s="504" t="s">
        <v>73</v>
      </c>
      <c r="B41" s="504" t="s">
        <v>12</v>
      </c>
      <c r="C41" s="504" t="s">
        <v>106</v>
      </c>
      <c r="D41" s="504" t="s">
        <v>67</v>
      </c>
      <c r="E41" s="504" t="s">
        <v>0</v>
      </c>
      <c r="F41" s="504" t="s">
        <v>1799</v>
      </c>
      <c r="G41" s="504" t="s">
        <v>1816</v>
      </c>
      <c r="H41" s="504" t="s">
        <v>1951</v>
      </c>
      <c r="I41" s="504">
        <v>202531018963</v>
      </c>
      <c r="J41" s="504"/>
      <c r="K41" s="504" t="s">
        <v>1952</v>
      </c>
      <c r="L41" s="504" t="s">
        <v>1819</v>
      </c>
      <c r="M41" s="504" t="s">
        <v>559</v>
      </c>
      <c r="N41" s="504">
        <v>2025</v>
      </c>
      <c r="O41" s="524" t="s">
        <v>1953</v>
      </c>
      <c r="P41" s="545"/>
      <c r="Q41" s="545"/>
    </row>
    <row r="42" spans="1:26" ht="37.5" customHeight="1">
      <c r="A42" s="500" t="s">
        <v>73</v>
      </c>
      <c r="B42" s="500" t="s">
        <v>12</v>
      </c>
      <c r="C42" s="500" t="s">
        <v>106</v>
      </c>
      <c r="D42" s="500" t="s">
        <v>67</v>
      </c>
      <c r="E42" s="500" t="s">
        <v>0</v>
      </c>
      <c r="F42" s="500" t="s">
        <v>1954</v>
      </c>
      <c r="G42" s="500" t="s">
        <v>1800</v>
      </c>
      <c r="H42" s="500" t="s">
        <v>1955</v>
      </c>
      <c r="I42" s="500">
        <v>6480565</v>
      </c>
      <c r="J42" s="500" t="s">
        <v>1956</v>
      </c>
      <c r="K42" s="500" t="s">
        <v>1957</v>
      </c>
      <c r="L42" s="500" t="s">
        <v>1804</v>
      </c>
      <c r="M42" s="517">
        <v>45931</v>
      </c>
      <c r="N42" s="500">
        <v>2025</v>
      </c>
      <c r="O42" s="502"/>
      <c r="P42" s="546"/>
      <c r="Q42" s="546"/>
    </row>
    <row r="43" spans="1:26" ht="37.5" customHeight="1">
      <c r="A43" s="504" t="s">
        <v>1806</v>
      </c>
      <c r="B43" s="504" t="s">
        <v>107</v>
      </c>
      <c r="C43" s="504" t="s">
        <v>108</v>
      </c>
      <c r="D43" s="504" t="s">
        <v>70</v>
      </c>
      <c r="E43" s="504" t="s">
        <v>2</v>
      </c>
      <c r="F43" s="504" t="s">
        <v>1799</v>
      </c>
      <c r="G43" s="504" t="s">
        <v>1800</v>
      </c>
      <c r="H43" s="504" t="s">
        <v>1807</v>
      </c>
      <c r="I43" s="504" t="s">
        <v>1808</v>
      </c>
      <c r="J43" s="541"/>
      <c r="K43" s="504" t="s">
        <v>55</v>
      </c>
      <c r="L43" s="504" t="s">
        <v>1804</v>
      </c>
      <c r="M43" s="505">
        <v>45689</v>
      </c>
      <c r="N43" s="504">
        <v>2025</v>
      </c>
      <c r="O43" s="44" t="s">
        <v>1884</v>
      </c>
      <c r="P43" s="547"/>
      <c r="Q43" s="547"/>
    </row>
    <row r="44" spans="1:26" ht="37.5" customHeight="1">
      <c r="A44" s="500" t="s">
        <v>1806</v>
      </c>
      <c r="B44" s="500" t="s">
        <v>107</v>
      </c>
      <c r="C44" s="500" t="s">
        <v>108</v>
      </c>
      <c r="D44" s="500" t="s">
        <v>70</v>
      </c>
      <c r="E44" s="500" t="s">
        <v>2</v>
      </c>
      <c r="F44" s="500" t="s">
        <v>1799</v>
      </c>
      <c r="G44" s="500" t="s">
        <v>1816</v>
      </c>
      <c r="H44" s="500" t="s">
        <v>1958</v>
      </c>
      <c r="I44" s="500">
        <v>202511081529</v>
      </c>
      <c r="J44" s="516"/>
      <c r="K44" s="500" t="s">
        <v>55</v>
      </c>
      <c r="L44" s="500" t="s">
        <v>1819</v>
      </c>
      <c r="M44" s="529">
        <v>45870</v>
      </c>
      <c r="N44" s="500">
        <v>2025</v>
      </c>
      <c r="O44" s="45" t="s">
        <v>1959</v>
      </c>
      <c r="P44" s="547"/>
      <c r="Q44" s="547"/>
    </row>
    <row r="45" spans="1:26" ht="37.5" customHeight="1">
      <c r="A45" s="504" t="s">
        <v>1806</v>
      </c>
      <c r="B45" s="504" t="s">
        <v>107</v>
      </c>
      <c r="C45" s="504" t="s">
        <v>108</v>
      </c>
      <c r="D45" s="504" t="s">
        <v>70</v>
      </c>
      <c r="E45" s="504" t="s">
        <v>2</v>
      </c>
      <c r="F45" s="504" t="s">
        <v>1799</v>
      </c>
      <c r="G45" s="504" t="s">
        <v>1816</v>
      </c>
      <c r="H45" s="504" t="s">
        <v>1894</v>
      </c>
      <c r="I45" s="504">
        <v>202511047401</v>
      </c>
      <c r="J45" s="504" t="s">
        <v>1946</v>
      </c>
      <c r="K45" s="504" t="s">
        <v>55</v>
      </c>
      <c r="L45" s="504" t="s">
        <v>1819</v>
      </c>
      <c r="M45" s="532">
        <v>45778</v>
      </c>
      <c r="N45" s="504">
        <v>2025</v>
      </c>
      <c r="O45" s="524" t="s">
        <v>1896</v>
      </c>
      <c r="P45" s="544"/>
      <c r="Q45" s="544"/>
    </row>
    <row r="46" spans="1:26" ht="37.5" customHeight="1">
      <c r="A46" s="500" t="s">
        <v>1806</v>
      </c>
      <c r="B46" s="500" t="s">
        <v>107</v>
      </c>
      <c r="C46" s="500" t="s">
        <v>108</v>
      </c>
      <c r="D46" s="500" t="s">
        <v>70</v>
      </c>
      <c r="E46" s="500" t="s">
        <v>2</v>
      </c>
      <c r="F46" s="500" t="s">
        <v>1845</v>
      </c>
      <c r="G46" s="500" t="s">
        <v>1836</v>
      </c>
      <c r="H46" s="500" t="s">
        <v>1960</v>
      </c>
      <c r="I46" s="500">
        <v>1232782</v>
      </c>
      <c r="J46" s="500" t="s">
        <v>1961</v>
      </c>
      <c r="K46" s="500" t="s">
        <v>55</v>
      </c>
      <c r="L46" s="500" t="s">
        <v>1819</v>
      </c>
      <c r="M46" s="529">
        <v>45748</v>
      </c>
      <c r="N46" s="500">
        <v>2025</v>
      </c>
      <c r="O46" s="513" t="s">
        <v>1962</v>
      </c>
      <c r="P46" s="544"/>
      <c r="Q46" s="544"/>
    </row>
    <row r="47" spans="1:26" ht="37.5" customHeight="1">
      <c r="A47" s="504" t="s">
        <v>1806</v>
      </c>
      <c r="B47" s="504" t="s">
        <v>107</v>
      </c>
      <c r="C47" s="504" t="s">
        <v>108</v>
      </c>
      <c r="D47" s="504" t="s">
        <v>70</v>
      </c>
      <c r="E47" s="504" t="s">
        <v>2</v>
      </c>
      <c r="F47" s="504" t="s">
        <v>1799</v>
      </c>
      <c r="G47" s="504" t="s">
        <v>1816</v>
      </c>
      <c r="H47" s="504" t="s">
        <v>1963</v>
      </c>
      <c r="I47" s="504">
        <v>202521018181</v>
      </c>
      <c r="J47" s="504" t="s">
        <v>1964</v>
      </c>
      <c r="K47" s="504"/>
      <c r="L47" s="504" t="s">
        <v>1819</v>
      </c>
      <c r="M47" s="532">
        <v>45717</v>
      </c>
      <c r="N47" s="504">
        <v>2025</v>
      </c>
      <c r="O47" s="524" t="s">
        <v>1965</v>
      </c>
      <c r="P47" s="544"/>
      <c r="Q47" s="544"/>
    </row>
    <row r="48" spans="1:26" ht="37.5" customHeight="1">
      <c r="A48" s="500" t="s">
        <v>118</v>
      </c>
      <c r="B48" s="500" t="s">
        <v>619</v>
      </c>
      <c r="C48" s="500" t="s">
        <v>620</v>
      </c>
      <c r="D48" s="500" t="s">
        <v>67</v>
      </c>
      <c r="E48" s="500" t="s">
        <v>3</v>
      </c>
      <c r="F48" s="500" t="s">
        <v>1799</v>
      </c>
      <c r="G48" s="500" t="s">
        <v>1816</v>
      </c>
      <c r="H48" s="500" t="s">
        <v>1966</v>
      </c>
      <c r="I48" s="500">
        <v>202511065482</v>
      </c>
      <c r="J48" s="500" t="s">
        <v>1967</v>
      </c>
      <c r="K48" s="500" t="s">
        <v>1968</v>
      </c>
      <c r="L48" s="500" t="s">
        <v>1819</v>
      </c>
      <c r="M48" s="500" t="s">
        <v>390</v>
      </c>
      <c r="N48" s="500">
        <v>2025</v>
      </c>
      <c r="O48" s="513" t="s">
        <v>1969</v>
      </c>
      <c r="P48" s="544"/>
      <c r="Q48" s="546"/>
    </row>
    <row r="49" spans="1:26" ht="37.5" customHeight="1">
      <c r="A49" s="504" t="s">
        <v>88</v>
      </c>
      <c r="B49" s="504" t="s">
        <v>24</v>
      </c>
      <c r="C49" s="4" t="s">
        <v>112</v>
      </c>
      <c r="D49" s="9" t="s">
        <v>67</v>
      </c>
      <c r="E49" s="504" t="s">
        <v>6</v>
      </c>
      <c r="F49" s="504" t="s">
        <v>1799</v>
      </c>
      <c r="G49" s="504" t="s">
        <v>1821</v>
      </c>
      <c r="H49" s="504" t="s">
        <v>1914</v>
      </c>
      <c r="I49" s="504" t="s">
        <v>1915</v>
      </c>
      <c r="J49" s="504" t="s">
        <v>24</v>
      </c>
      <c r="K49" s="504" t="s">
        <v>1917</v>
      </c>
      <c r="L49" s="504" t="s">
        <v>1918</v>
      </c>
      <c r="M49" s="504" t="s">
        <v>1919</v>
      </c>
      <c r="N49" s="504">
        <v>2025</v>
      </c>
      <c r="O49" s="524" t="s">
        <v>1920</v>
      </c>
      <c r="P49" s="548"/>
      <c r="Q49" s="546"/>
    </row>
    <row r="50" spans="1:26" ht="37.5" customHeight="1">
      <c r="A50" s="9" t="s">
        <v>78</v>
      </c>
      <c r="B50" s="9" t="s">
        <v>50</v>
      </c>
      <c r="C50" s="4" t="s">
        <v>113</v>
      </c>
      <c r="D50" s="9" t="s">
        <v>67</v>
      </c>
      <c r="E50" s="500" t="s">
        <v>6</v>
      </c>
      <c r="F50" s="4" t="s">
        <v>1970</v>
      </c>
      <c r="G50" s="4" t="s">
        <v>1821</v>
      </c>
      <c r="H50" s="4" t="s">
        <v>1971</v>
      </c>
      <c r="I50" s="4">
        <v>6437964</v>
      </c>
      <c r="J50" s="4" t="s">
        <v>1972</v>
      </c>
      <c r="K50" s="4" t="s">
        <v>50</v>
      </c>
      <c r="L50" s="4" t="s">
        <v>1804</v>
      </c>
      <c r="M50" s="549">
        <v>45827</v>
      </c>
      <c r="N50" s="4">
        <v>2025</v>
      </c>
      <c r="O50" s="513" t="s">
        <v>1973</v>
      </c>
      <c r="P50" s="4"/>
      <c r="Q50" s="8"/>
    </row>
    <row r="51" spans="1:26" ht="37.5" customHeight="1">
      <c r="A51" s="9" t="s">
        <v>88</v>
      </c>
      <c r="B51" s="9" t="s">
        <v>16</v>
      </c>
      <c r="C51" s="9" t="s">
        <v>127</v>
      </c>
      <c r="D51" s="504" t="s">
        <v>76</v>
      </c>
      <c r="E51" s="504" t="s">
        <v>0</v>
      </c>
      <c r="F51" s="504" t="s">
        <v>1799</v>
      </c>
      <c r="G51" s="504" t="s">
        <v>1800</v>
      </c>
      <c r="H51" s="504" t="s">
        <v>1827</v>
      </c>
      <c r="I51" s="504" t="s">
        <v>1828</v>
      </c>
      <c r="J51" s="504" t="s">
        <v>1829</v>
      </c>
      <c r="K51" s="541"/>
      <c r="L51" s="504" t="s">
        <v>1819</v>
      </c>
      <c r="M51" s="504" t="s">
        <v>390</v>
      </c>
      <c r="N51" s="504">
        <v>2025</v>
      </c>
      <c r="O51" s="524" t="s">
        <v>1830</v>
      </c>
      <c r="P51" s="423"/>
      <c r="Q51" s="423"/>
    </row>
    <row r="52" spans="1:26" ht="37.5" customHeight="1">
      <c r="A52" s="500" t="s">
        <v>73</v>
      </c>
      <c r="B52" s="500" t="s">
        <v>116</v>
      </c>
      <c r="C52" s="500" t="s">
        <v>117</v>
      </c>
      <c r="D52" s="500" t="s">
        <v>70</v>
      </c>
      <c r="E52" s="500" t="s">
        <v>2</v>
      </c>
      <c r="F52" s="500" t="s">
        <v>1974</v>
      </c>
      <c r="G52" s="500" t="s">
        <v>1800</v>
      </c>
      <c r="H52" s="500" t="s">
        <v>1975</v>
      </c>
      <c r="I52" s="516"/>
      <c r="J52" s="516"/>
      <c r="K52" s="516"/>
      <c r="L52" s="500" t="s">
        <v>1918</v>
      </c>
      <c r="M52" s="500" t="s">
        <v>1976</v>
      </c>
      <c r="N52" s="500">
        <v>2025</v>
      </c>
      <c r="O52" s="513" t="s">
        <v>1977</v>
      </c>
      <c r="P52" s="4"/>
      <c r="Q52" s="4"/>
    </row>
    <row r="53" spans="1:26" ht="37.5" customHeight="1">
      <c r="A53" s="9" t="s">
        <v>65</v>
      </c>
      <c r="B53" s="504" t="s">
        <v>23</v>
      </c>
      <c r="C53" s="504" t="s">
        <v>119</v>
      </c>
      <c r="D53" s="504" t="s">
        <v>67</v>
      </c>
      <c r="E53" s="504" t="s">
        <v>6</v>
      </c>
      <c r="F53" s="504" t="s">
        <v>1799</v>
      </c>
      <c r="G53" s="504" t="s">
        <v>1800</v>
      </c>
      <c r="H53" s="504" t="s">
        <v>1978</v>
      </c>
      <c r="I53" s="504">
        <v>202441097588</v>
      </c>
      <c r="J53" s="504" t="s">
        <v>1979</v>
      </c>
      <c r="K53" s="504" t="s">
        <v>1979</v>
      </c>
      <c r="L53" s="504" t="s">
        <v>1819</v>
      </c>
      <c r="M53" s="504" t="s">
        <v>364</v>
      </c>
      <c r="N53" s="504">
        <v>2024</v>
      </c>
      <c r="O53" s="44" t="s">
        <v>1980</v>
      </c>
      <c r="P53" s="423"/>
      <c r="Q53" s="423"/>
    </row>
    <row r="54" spans="1:26" ht="37.5" customHeight="1">
      <c r="A54" s="4" t="s">
        <v>65</v>
      </c>
      <c r="B54" s="500" t="s">
        <v>23</v>
      </c>
      <c r="C54" s="500" t="s">
        <v>119</v>
      </c>
      <c r="D54" s="500" t="s">
        <v>67</v>
      </c>
      <c r="E54" s="500" t="s">
        <v>6</v>
      </c>
      <c r="F54" s="500" t="s">
        <v>1954</v>
      </c>
      <c r="G54" s="500" t="s">
        <v>1821</v>
      </c>
      <c r="H54" s="500" t="s">
        <v>1981</v>
      </c>
      <c r="I54" s="500">
        <v>6414350</v>
      </c>
      <c r="J54" s="500" t="s">
        <v>1982</v>
      </c>
      <c r="K54" s="500" t="s">
        <v>1982</v>
      </c>
      <c r="L54" s="500" t="s">
        <v>1804</v>
      </c>
      <c r="M54" s="500" t="s">
        <v>1983</v>
      </c>
      <c r="N54" s="500">
        <v>2025</v>
      </c>
      <c r="O54" s="45" t="s">
        <v>1984</v>
      </c>
      <c r="P54" s="423"/>
      <c r="Q54" s="423"/>
    </row>
    <row r="55" spans="1:26" ht="37.5" customHeight="1">
      <c r="A55" s="504" t="s">
        <v>78</v>
      </c>
      <c r="B55" s="504" t="s">
        <v>56</v>
      </c>
      <c r="C55" s="4" t="s">
        <v>122</v>
      </c>
      <c r="D55" s="9" t="s">
        <v>67</v>
      </c>
      <c r="E55" s="9" t="s">
        <v>3</v>
      </c>
      <c r="F55" s="504" t="s">
        <v>1799</v>
      </c>
      <c r="G55" s="504" t="s">
        <v>1821</v>
      </c>
      <c r="H55" s="504" t="s">
        <v>1914</v>
      </c>
      <c r="I55" s="504" t="s">
        <v>1915</v>
      </c>
      <c r="J55" s="504" t="s">
        <v>1916</v>
      </c>
      <c r="K55" s="504" t="s">
        <v>1917</v>
      </c>
      <c r="L55" s="504" t="s">
        <v>1918</v>
      </c>
      <c r="M55" s="504" t="s">
        <v>1919</v>
      </c>
      <c r="N55" s="504">
        <v>2025</v>
      </c>
      <c r="O55" s="524" t="s">
        <v>1920</v>
      </c>
      <c r="P55" s="544"/>
      <c r="Q55" s="546"/>
      <c r="R55" s="48"/>
      <c r="S55" s="48"/>
      <c r="T55" s="48"/>
      <c r="U55" s="48"/>
      <c r="V55" s="48"/>
      <c r="W55" s="48"/>
      <c r="X55" s="48"/>
      <c r="Y55" s="48"/>
      <c r="Z55" s="48"/>
    </row>
    <row r="56" spans="1:26" ht="37.5" customHeight="1">
      <c r="A56" s="9" t="s">
        <v>118</v>
      </c>
      <c r="B56" s="504" t="s">
        <v>123</v>
      </c>
      <c r="C56" s="504" t="s">
        <v>124</v>
      </c>
      <c r="D56" s="504" t="s">
        <v>67</v>
      </c>
      <c r="E56" s="504" t="s">
        <v>6</v>
      </c>
      <c r="F56" s="504" t="s">
        <v>1799</v>
      </c>
      <c r="G56" s="504" t="s">
        <v>1800</v>
      </c>
      <c r="H56" s="504" t="s">
        <v>1985</v>
      </c>
      <c r="I56" s="504" t="s">
        <v>1986</v>
      </c>
      <c r="J56" s="504" t="s">
        <v>1987</v>
      </c>
      <c r="K56" s="504" t="s">
        <v>1987</v>
      </c>
      <c r="L56" s="504" t="s">
        <v>1804</v>
      </c>
      <c r="M56" s="504" t="s">
        <v>307</v>
      </c>
      <c r="N56" s="504">
        <v>2024</v>
      </c>
      <c r="O56" s="44" t="s">
        <v>1988</v>
      </c>
      <c r="P56" s="504"/>
      <c r="Q56" s="508"/>
    </row>
    <row r="57" spans="1:26" ht="37.5" customHeight="1">
      <c r="A57" s="4" t="s">
        <v>118</v>
      </c>
      <c r="B57" s="500" t="s">
        <v>123</v>
      </c>
      <c r="C57" s="500" t="s">
        <v>124</v>
      </c>
      <c r="D57" s="500" t="s">
        <v>67</v>
      </c>
      <c r="E57" s="500" t="s">
        <v>6</v>
      </c>
      <c r="F57" s="500" t="s">
        <v>1799</v>
      </c>
      <c r="G57" s="500" t="s">
        <v>1821</v>
      </c>
      <c r="H57" s="550" t="s">
        <v>1989</v>
      </c>
      <c r="I57" s="500" t="s">
        <v>1990</v>
      </c>
      <c r="J57" s="500" t="s">
        <v>1991</v>
      </c>
      <c r="K57" s="500" t="s">
        <v>1992</v>
      </c>
      <c r="L57" s="500" t="s">
        <v>1804</v>
      </c>
      <c r="M57" s="500" t="s">
        <v>613</v>
      </c>
      <c r="N57" s="500">
        <v>2025</v>
      </c>
      <c r="O57" s="513" t="s">
        <v>1993</v>
      </c>
      <c r="P57" s="500"/>
      <c r="Q57" s="509"/>
    </row>
    <row r="58" spans="1:26" ht="37.5" customHeight="1">
      <c r="A58" s="9" t="s">
        <v>118</v>
      </c>
      <c r="B58" s="504" t="s">
        <v>123</v>
      </c>
      <c r="C58" s="504" t="s">
        <v>124</v>
      </c>
      <c r="D58" s="504" t="s">
        <v>67</v>
      </c>
      <c r="E58" s="504" t="s">
        <v>6</v>
      </c>
      <c r="F58" s="504" t="s">
        <v>1970</v>
      </c>
      <c r="G58" s="504" t="s">
        <v>1821</v>
      </c>
      <c r="H58" s="551" t="s">
        <v>1994</v>
      </c>
      <c r="I58" s="504">
        <v>6472831</v>
      </c>
      <c r="J58" s="504" t="s">
        <v>1995</v>
      </c>
      <c r="K58" s="504" t="s">
        <v>1996</v>
      </c>
      <c r="L58" s="504" t="s">
        <v>1804</v>
      </c>
      <c r="M58" s="504" t="s">
        <v>613</v>
      </c>
      <c r="N58" s="504">
        <v>2025</v>
      </c>
      <c r="O58" s="524" t="s">
        <v>1997</v>
      </c>
      <c r="P58" s="504"/>
      <c r="Q58" s="508"/>
    </row>
    <row r="59" spans="1:26" ht="37.5" customHeight="1">
      <c r="A59" s="500" t="s">
        <v>65</v>
      </c>
      <c r="B59" s="500" t="s">
        <v>26</v>
      </c>
      <c r="C59" s="500" t="s">
        <v>1300</v>
      </c>
      <c r="D59" s="500" t="s">
        <v>67</v>
      </c>
      <c r="E59" s="500" t="s">
        <v>6</v>
      </c>
      <c r="F59" s="500" t="s">
        <v>1799</v>
      </c>
      <c r="G59" s="500" t="s">
        <v>1800</v>
      </c>
      <c r="H59" s="500" t="s">
        <v>1998</v>
      </c>
      <c r="I59" s="500" t="s">
        <v>1999</v>
      </c>
      <c r="J59" s="500" t="s">
        <v>2000</v>
      </c>
      <c r="K59" s="500" t="s">
        <v>2000</v>
      </c>
      <c r="L59" s="500" t="s">
        <v>1804</v>
      </c>
      <c r="M59" s="517">
        <v>45931</v>
      </c>
      <c r="N59" s="500">
        <v>2025</v>
      </c>
      <c r="O59" s="45" t="s">
        <v>2001</v>
      </c>
      <c r="P59" s="502"/>
      <c r="Q59" s="531"/>
    </row>
    <row r="60" spans="1:26" ht="37.5" customHeight="1">
      <c r="A60" s="504" t="s">
        <v>65</v>
      </c>
      <c r="B60" s="504" t="s">
        <v>26</v>
      </c>
      <c r="C60" s="504" t="s">
        <v>1300</v>
      </c>
      <c r="D60" s="504" t="s">
        <v>67</v>
      </c>
      <c r="E60" s="504" t="s">
        <v>6</v>
      </c>
      <c r="F60" s="504" t="s">
        <v>1799</v>
      </c>
      <c r="G60" s="504" t="s">
        <v>1800</v>
      </c>
      <c r="H60" s="552" t="s">
        <v>2002</v>
      </c>
      <c r="I60" s="552" t="s">
        <v>2003</v>
      </c>
      <c r="J60" s="551" t="s">
        <v>2004</v>
      </c>
      <c r="K60" s="551" t="s">
        <v>2004</v>
      </c>
      <c r="L60" s="504" t="s">
        <v>1804</v>
      </c>
      <c r="M60" s="532">
        <v>45992</v>
      </c>
      <c r="N60" s="504">
        <v>2025</v>
      </c>
      <c r="O60" s="44" t="s">
        <v>2005</v>
      </c>
      <c r="P60" s="507"/>
      <c r="Q60" s="507"/>
    </row>
    <row r="61" spans="1:26" ht="37.5" customHeight="1">
      <c r="A61" s="500" t="s">
        <v>88</v>
      </c>
      <c r="B61" s="500" t="s">
        <v>13</v>
      </c>
      <c r="C61" s="500" t="s">
        <v>126</v>
      </c>
      <c r="D61" s="500" t="s">
        <v>67</v>
      </c>
      <c r="E61" s="500" t="s">
        <v>0</v>
      </c>
      <c r="F61" s="500" t="s">
        <v>1799</v>
      </c>
      <c r="G61" s="500" t="s">
        <v>1800</v>
      </c>
      <c r="H61" s="500" t="s">
        <v>1827</v>
      </c>
      <c r="I61" s="500" t="s">
        <v>1828</v>
      </c>
      <c r="J61" s="500" t="s">
        <v>1829</v>
      </c>
      <c r="K61" s="516"/>
      <c r="L61" s="500" t="s">
        <v>1819</v>
      </c>
      <c r="M61" s="500" t="s">
        <v>390</v>
      </c>
      <c r="N61" s="500">
        <v>2025</v>
      </c>
      <c r="O61" s="45" t="s">
        <v>1830</v>
      </c>
      <c r="P61" s="502"/>
      <c r="Q61" s="502"/>
    </row>
    <row r="62" spans="1:26" ht="56.25" customHeight="1">
      <c r="A62" s="504" t="s">
        <v>88</v>
      </c>
      <c r="B62" s="504" t="s">
        <v>18</v>
      </c>
      <c r="C62" s="9" t="s">
        <v>100</v>
      </c>
      <c r="D62" s="9" t="s">
        <v>76</v>
      </c>
      <c r="E62" s="9" t="s">
        <v>6</v>
      </c>
      <c r="F62" s="553" t="s">
        <v>1799</v>
      </c>
      <c r="G62" s="504" t="s">
        <v>1821</v>
      </c>
      <c r="H62" s="554" t="s">
        <v>1926</v>
      </c>
      <c r="I62" s="555" t="s">
        <v>1927</v>
      </c>
      <c r="J62" s="504" t="s">
        <v>2006</v>
      </c>
      <c r="K62" s="504" t="s">
        <v>2006</v>
      </c>
      <c r="L62" s="504" t="s">
        <v>1819</v>
      </c>
      <c r="M62" s="504" t="s">
        <v>568</v>
      </c>
      <c r="N62" s="504">
        <v>2025</v>
      </c>
      <c r="O62" s="44" t="s">
        <v>2007</v>
      </c>
      <c r="P62" s="556"/>
      <c r="Q62" s="557"/>
      <c r="R62" s="1"/>
      <c r="S62" s="1"/>
      <c r="T62" s="1"/>
      <c r="U62" s="1"/>
      <c r="V62" s="1"/>
      <c r="W62" s="1"/>
      <c r="X62" s="1"/>
      <c r="Y62" s="1"/>
      <c r="Z62" s="1"/>
    </row>
    <row r="63" spans="1:26" ht="62.5">
      <c r="A63" s="4" t="s">
        <v>68</v>
      </c>
      <c r="B63" s="4" t="s">
        <v>33</v>
      </c>
      <c r="C63" s="4" t="s">
        <v>77</v>
      </c>
      <c r="D63" s="4" t="s">
        <v>76</v>
      </c>
      <c r="E63" s="4" t="s">
        <v>6</v>
      </c>
      <c r="F63" s="46" t="s">
        <v>1799</v>
      </c>
      <c r="G63" s="500" t="s">
        <v>1821</v>
      </c>
      <c r="H63" s="558" t="s">
        <v>1882</v>
      </c>
      <c r="I63" s="559" t="s">
        <v>2008</v>
      </c>
      <c r="J63" s="560" t="s">
        <v>1883</v>
      </c>
      <c r="K63" s="560" t="s">
        <v>1883</v>
      </c>
      <c r="L63" s="500" t="s">
        <v>1819</v>
      </c>
      <c r="M63" s="560" t="s">
        <v>472</v>
      </c>
      <c r="N63" s="500">
        <v>2025</v>
      </c>
      <c r="O63" s="561" t="s">
        <v>2009</v>
      </c>
      <c r="P63" s="502"/>
      <c r="Q63" s="502"/>
    </row>
    <row r="64" spans="1:26" ht="93">
      <c r="A64" s="9" t="s">
        <v>68</v>
      </c>
      <c r="B64" s="9" t="s">
        <v>33</v>
      </c>
      <c r="C64" s="9" t="s">
        <v>77</v>
      </c>
      <c r="D64" s="9" t="s">
        <v>76</v>
      </c>
      <c r="E64" s="9" t="s">
        <v>6</v>
      </c>
      <c r="F64" s="504" t="s">
        <v>1799</v>
      </c>
      <c r="G64" s="504" t="s">
        <v>1816</v>
      </c>
      <c r="H64" s="562" t="s">
        <v>1885</v>
      </c>
      <c r="I64" s="563">
        <v>202511047401</v>
      </c>
      <c r="J64" s="564" t="s">
        <v>1886</v>
      </c>
      <c r="K64" s="564" t="s">
        <v>1886</v>
      </c>
      <c r="L64" s="504" t="s">
        <v>1819</v>
      </c>
      <c r="M64" s="564" t="s">
        <v>553</v>
      </c>
      <c r="N64" s="504">
        <v>2025</v>
      </c>
      <c r="O64" s="565" t="s">
        <v>2010</v>
      </c>
      <c r="P64" s="507"/>
      <c r="Q64" s="507"/>
    </row>
    <row r="65" spans="1:17" ht="51" customHeight="1">
      <c r="A65" s="500" t="s">
        <v>88</v>
      </c>
      <c r="B65" s="500" t="s">
        <v>16</v>
      </c>
      <c r="C65" s="500" t="s">
        <v>126</v>
      </c>
      <c r="D65" s="500" t="s">
        <v>67</v>
      </c>
      <c r="E65" s="500" t="s">
        <v>0</v>
      </c>
      <c r="F65" s="500" t="s">
        <v>1799</v>
      </c>
      <c r="G65" s="500" t="s">
        <v>1800</v>
      </c>
      <c r="H65" s="500" t="s">
        <v>1827</v>
      </c>
      <c r="I65" s="500" t="s">
        <v>1828</v>
      </c>
      <c r="J65" s="500" t="s">
        <v>1829</v>
      </c>
      <c r="K65" s="566"/>
      <c r="L65" s="500" t="s">
        <v>1819</v>
      </c>
      <c r="M65" s="500" t="s">
        <v>568</v>
      </c>
      <c r="N65" s="500">
        <v>2025</v>
      </c>
      <c r="O65" s="45" t="s">
        <v>2011</v>
      </c>
      <c r="P65" s="502"/>
      <c r="Q65" s="531"/>
    </row>
    <row r="66" spans="1:17" ht="112.5">
      <c r="A66" s="9" t="s">
        <v>68</v>
      </c>
      <c r="B66" s="567" t="s">
        <v>2012</v>
      </c>
      <c r="C66" s="568" t="s">
        <v>1348</v>
      </c>
      <c r="D66" s="568" t="s">
        <v>2013</v>
      </c>
      <c r="E66" s="569" t="s">
        <v>3</v>
      </c>
      <c r="F66" s="504" t="s">
        <v>1970</v>
      </c>
      <c r="G66" s="504" t="s">
        <v>1821</v>
      </c>
      <c r="H66" s="44" t="s">
        <v>2014</v>
      </c>
      <c r="I66" s="504">
        <v>6477894</v>
      </c>
      <c r="J66" s="504" t="s">
        <v>2015</v>
      </c>
      <c r="K66" s="504" t="s">
        <v>2015</v>
      </c>
      <c r="L66" s="504" t="s">
        <v>2016</v>
      </c>
      <c r="M66" s="504" t="s">
        <v>168</v>
      </c>
      <c r="N66" s="504">
        <v>2025</v>
      </c>
      <c r="O66" s="570" t="s">
        <v>2017</v>
      </c>
      <c r="P66" s="507"/>
      <c r="Q66" s="557"/>
    </row>
    <row r="67" spans="1:17" ht="67.5" customHeight="1">
      <c r="A67" s="4" t="s">
        <v>68</v>
      </c>
      <c r="B67" s="571" t="s">
        <v>37</v>
      </c>
      <c r="C67" s="500" t="s">
        <v>87</v>
      </c>
      <c r="D67" s="500" t="s">
        <v>70</v>
      </c>
      <c r="E67" s="500" t="s">
        <v>5</v>
      </c>
      <c r="F67" s="500" t="s">
        <v>1799</v>
      </c>
      <c r="G67" s="500" t="s">
        <v>1800</v>
      </c>
      <c r="H67" s="500" t="s">
        <v>1801</v>
      </c>
      <c r="I67" s="500" t="s">
        <v>1802</v>
      </c>
      <c r="J67" s="500" t="s">
        <v>1803</v>
      </c>
      <c r="K67" s="500" t="s">
        <v>1803</v>
      </c>
      <c r="L67" s="500" t="s">
        <v>1804</v>
      </c>
      <c r="M67" s="501">
        <v>45805</v>
      </c>
      <c r="N67" s="500">
        <v>2025</v>
      </c>
      <c r="O67" s="45" t="s">
        <v>2018</v>
      </c>
      <c r="P67" s="500"/>
      <c r="Q67" s="509"/>
    </row>
    <row r="68" spans="1:17" ht="150">
      <c r="A68" s="30" t="s">
        <v>68</v>
      </c>
      <c r="B68" s="572" t="s">
        <v>128</v>
      </c>
      <c r="C68" s="424" t="s">
        <v>129</v>
      </c>
      <c r="D68" s="424" t="s">
        <v>70</v>
      </c>
      <c r="E68" s="424" t="s">
        <v>7</v>
      </c>
      <c r="F68" s="424" t="s">
        <v>1799</v>
      </c>
      <c r="G68" s="424" t="s">
        <v>1816</v>
      </c>
      <c r="H68" s="424" t="s">
        <v>2019</v>
      </c>
      <c r="I68" s="424">
        <v>202611005027</v>
      </c>
      <c r="J68" s="424" t="s">
        <v>2020</v>
      </c>
      <c r="K68" s="424" t="s">
        <v>2020</v>
      </c>
      <c r="L68" s="424" t="s">
        <v>1819</v>
      </c>
      <c r="M68" s="424" t="s">
        <v>2021</v>
      </c>
      <c r="N68" s="424">
        <v>2026</v>
      </c>
      <c r="O68" s="172" t="s">
        <v>2022</v>
      </c>
      <c r="P68" s="423"/>
      <c r="Q68" s="423"/>
    </row>
    <row r="69" spans="1:17" ht="13.5" customHeight="1">
      <c r="H69" s="47"/>
      <c r="J69" s="47"/>
      <c r="K69" s="47"/>
    </row>
    <row r="70" spans="1:17" ht="13.5" customHeight="1">
      <c r="H70" s="47"/>
      <c r="J70" s="47"/>
      <c r="K70" s="47"/>
    </row>
    <row r="71" spans="1:17" ht="13.5" customHeight="1">
      <c r="H71" s="47"/>
      <c r="J71" s="47"/>
      <c r="K71" s="47"/>
    </row>
    <row r="72" spans="1:17" ht="13.5" customHeight="1">
      <c r="H72" s="47"/>
      <c r="J72" s="47"/>
      <c r="K72" s="47"/>
    </row>
    <row r="73" spans="1:17" ht="13.5" customHeight="1">
      <c r="H73" s="47"/>
      <c r="J73" s="47"/>
      <c r="K73" s="47"/>
    </row>
    <row r="74" spans="1:17" ht="13.5" customHeight="1">
      <c r="H74" s="47"/>
      <c r="J74" s="47"/>
      <c r="K74" s="47"/>
    </row>
    <row r="75" spans="1:17" ht="13.5" customHeight="1">
      <c r="H75" s="47"/>
      <c r="J75" s="47"/>
      <c r="K75" s="47"/>
    </row>
    <row r="76" spans="1:17" ht="13.5" customHeight="1">
      <c r="H76" s="47"/>
      <c r="J76" s="47"/>
      <c r="K76" s="47"/>
    </row>
    <row r="77" spans="1:17" ht="13.5" customHeight="1">
      <c r="H77" s="47"/>
      <c r="J77" s="47"/>
      <c r="K77" s="47"/>
    </row>
    <row r="78" spans="1:17" ht="13.5" customHeight="1">
      <c r="H78" s="47"/>
      <c r="J78" s="47"/>
      <c r="K78" s="47"/>
    </row>
    <row r="79" spans="1:17" ht="13.5" customHeight="1">
      <c r="H79" s="47"/>
      <c r="J79" s="47"/>
      <c r="K79" s="47"/>
    </row>
    <row r="80" spans="1:17" ht="13.5" customHeight="1">
      <c r="H80" s="47"/>
      <c r="J80" s="47"/>
      <c r="K80" s="47"/>
    </row>
    <row r="81" spans="8:11" ht="13.5" customHeight="1">
      <c r="H81" s="47"/>
      <c r="J81" s="47"/>
      <c r="K81" s="47"/>
    </row>
    <row r="82" spans="8:11" ht="13.5" customHeight="1">
      <c r="H82" s="47"/>
      <c r="J82" s="47"/>
      <c r="K82" s="47"/>
    </row>
    <row r="83" spans="8:11" ht="13.5" customHeight="1">
      <c r="H83" s="47"/>
      <c r="J83" s="47"/>
      <c r="K83" s="47"/>
    </row>
    <row r="84" spans="8:11" ht="13.5" customHeight="1">
      <c r="H84" s="47"/>
      <c r="J84" s="47"/>
      <c r="K84" s="47"/>
    </row>
    <row r="85" spans="8:11" ht="13.5" customHeight="1">
      <c r="H85" s="47"/>
      <c r="J85" s="47"/>
      <c r="K85" s="47"/>
    </row>
    <row r="86" spans="8:11" ht="13.5" customHeight="1">
      <c r="H86" s="47"/>
      <c r="J86" s="47"/>
      <c r="K86" s="47"/>
    </row>
    <row r="87" spans="8:11" ht="13.5" customHeight="1">
      <c r="H87" s="47"/>
      <c r="J87" s="47"/>
      <c r="K87" s="47"/>
    </row>
    <row r="88" spans="8:11" ht="13.5" customHeight="1">
      <c r="H88" s="47"/>
      <c r="J88" s="47"/>
      <c r="K88" s="47"/>
    </row>
    <row r="89" spans="8:11" ht="13.5" customHeight="1">
      <c r="H89" s="47"/>
      <c r="J89" s="47"/>
      <c r="K89" s="47"/>
    </row>
    <row r="90" spans="8:11" ht="13.5" customHeight="1">
      <c r="H90" s="47"/>
      <c r="J90" s="47"/>
      <c r="K90" s="47"/>
    </row>
    <row r="91" spans="8:11" ht="13.5" customHeight="1">
      <c r="H91" s="47"/>
      <c r="J91" s="47"/>
      <c r="K91" s="47"/>
    </row>
    <row r="92" spans="8:11" ht="13.5" customHeight="1">
      <c r="H92" s="47"/>
      <c r="J92" s="47"/>
      <c r="K92" s="47"/>
    </row>
    <row r="93" spans="8:11" ht="13.5" customHeight="1">
      <c r="H93" s="47"/>
      <c r="J93" s="47"/>
      <c r="K93" s="47"/>
    </row>
    <row r="94" spans="8:11" ht="13.5" customHeight="1">
      <c r="H94" s="47"/>
      <c r="J94" s="47"/>
      <c r="K94" s="47"/>
    </row>
    <row r="95" spans="8:11" ht="13.5" customHeight="1">
      <c r="H95" s="47"/>
      <c r="J95" s="47"/>
      <c r="K95" s="47"/>
    </row>
    <row r="96" spans="8:11" ht="13.5" customHeight="1">
      <c r="H96" s="47"/>
      <c r="J96" s="47"/>
      <c r="K96" s="47"/>
    </row>
    <row r="97" spans="8:11" ht="13.5" customHeight="1">
      <c r="H97" s="47"/>
      <c r="J97" s="47"/>
      <c r="K97" s="47"/>
    </row>
    <row r="98" spans="8:11" ht="13.5" customHeight="1">
      <c r="H98" s="47"/>
      <c r="J98" s="47"/>
      <c r="K98" s="47"/>
    </row>
    <row r="99" spans="8:11" ht="13.5" customHeight="1">
      <c r="H99" s="47"/>
      <c r="J99" s="47"/>
      <c r="K99" s="47"/>
    </row>
    <row r="100" spans="8:11" ht="13.5" customHeight="1">
      <c r="H100" s="47"/>
      <c r="J100" s="47"/>
      <c r="K100" s="47"/>
    </row>
    <row r="101" spans="8:11" ht="13.5" customHeight="1">
      <c r="H101" s="47"/>
      <c r="J101" s="47"/>
      <c r="K101" s="47"/>
    </row>
    <row r="102" spans="8:11" ht="13.5" customHeight="1">
      <c r="H102" s="47"/>
      <c r="J102" s="47"/>
      <c r="K102" s="47"/>
    </row>
    <row r="103" spans="8:11" ht="13.5" customHeight="1">
      <c r="H103" s="47"/>
      <c r="J103" s="47"/>
      <c r="K103" s="47"/>
    </row>
    <row r="104" spans="8:11" ht="13.5" customHeight="1">
      <c r="H104" s="47"/>
      <c r="J104" s="47"/>
      <c r="K104" s="47"/>
    </row>
    <row r="105" spans="8:11" ht="13.5" customHeight="1">
      <c r="H105" s="47"/>
      <c r="J105" s="47"/>
      <c r="K105" s="47"/>
    </row>
    <row r="106" spans="8:11" ht="13.5" customHeight="1">
      <c r="H106" s="47"/>
      <c r="J106" s="47"/>
      <c r="K106" s="47"/>
    </row>
    <row r="107" spans="8:11" ht="13.5" customHeight="1">
      <c r="H107" s="47"/>
      <c r="J107" s="47"/>
      <c r="K107" s="47"/>
    </row>
    <row r="108" spans="8:11" ht="13.5" customHeight="1">
      <c r="H108" s="47"/>
      <c r="J108" s="47"/>
      <c r="K108" s="47"/>
    </row>
    <row r="109" spans="8:11" ht="13.5" customHeight="1">
      <c r="H109" s="47"/>
      <c r="J109" s="47"/>
      <c r="K109" s="47"/>
    </row>
    <row r="110" spans="8:11" ht="13.5" customHeight="1">
      <c r="H110" s="47"/>
      <c r="J110" s="47"/>
      <c r="K110" s="47"/>
    </row>
    <row r="111" spans="8:11" ht="13.5" customHeight="1">
      <c r="H111" s="47"/>
      <c r="J111" s="47"/>
      <c r="K111" s="47"/>
    </row>
    <row r="112" spans="8:11" ht="13.5" customHeight="1">
      <c r="H112" s="47"/>
      <c r="J112" s="47"/>
      <c r="K112" s="47"/>
    </row>
    <row r="113" spans="8:11" ht="13.5" customHeight="1">
      <c r="H113" s="47"/>
      <c r="J113" s="47"/>
      <c r="K113" s="47"/>
    </row>
    <row r="114" spans="8:11" ht="13.5" customHeight="1">
      <c r="H114" s="47"/>
      <c r="J114" s="47"/>
      <c r="K114" s="47"/>
    </row>
    <row r="115" spans="8:11" ht="13.5" customHeight="1">
      <c r="H115" s="47"/>
      <c r="J115" s="47"/>
      <c r="K115" s="47"/>
    </row>
    <row r="116" spans="8:11" ht="13.5" customHeight="1">
      <c r="H116" s="47"/>
      <c r="J116" s="47"/>
      <c r="K116" s="47"/>
    </row>
    <row r="117" spans="8:11" ht="13.5" customHeight="1">
      <c r="H117" s="47"/>
      <c r="J117" s="47"/>
      <c r="K117" s="47"/>
    </row>
    <row r="118" spans="8:11" ht="13.5" customHeight="1">
      <c r="H118" s="47"/>
      <c r="J118" s="47"/>
      <c r="K118" s="47"/>
    </row>
    <row r="119" spans="8:11" ht="13.5" customHeight="1">
      <c r="H119" s="47"/>
      <c r="J119" s="47"/>
      <c r="K119" s="47"/>
    </row>
    <row r="120" spans="8:11" ht="13.5" customHeight="1">
      <c r="H120" s="47"/>
      <c r="J120" s="47"/>
      <c r="K120" s="47"/>
    </row>
    <row r="121" spans="8:11" ht="13.5" customHeight="1">
      <c r="H121" s="47"/>
      <c r="J121" s="47"/>
      <c r="K121" s="47"/>
    </row>
    <row r="122" spans="8:11" ht="13.5" customHeight="1">
      <c r="H122" s="47"/>
      <c r="J122" s="47"/>
      <c r="K122" s="47"/>
    </row>
    <row r="123" spans="8:11" ht="13.5" customHeight="1">
      <c r="H123" s="47"/>
      <c r="J123" s="47"/>
      <c r="K123" s="47"/>
    </row>
    <row r="124" spans="8:11" ht="13.5" customHeight="1">
      <c r="H124" s="47"/>
      <c r="J124" s="47"/>
      <c r="K124" s="47"/>
    </row>
    <row r="125" spans="8:11" ht="13.5" customHeight="1">
      <c r="H125" s="47"/>
      <c r="J125" s="47"/>
      <c r="K125" s="47"/>
    </row>
    <row r="126" spans="8:11" ht="13.5" customHeight="1">
      <c r="H126" s="47"/>
      <c r="J126" s="47"/>
      <c r="K126" s="47"/>
    </row>
    <row r="127" spans="8:11" ht="13.5" customHeight="1">
      <c r="H127" s="47"/>
      <c r="J127" s="47"/>
      <c r="K127" s="47"/>
    </row>
    <row r="128" spans="8:11" ht="13.5" customHeight="1">
      <c r="H128" s="47"/>
      <c r="J128" s="47"/>
      <c r="K128" s="47"/>
    </row>
    <row r="129" spans="8:11" ht="13.5" customHeight="1">
      <c r="H129" s="47"/>
      <c r="J129" s="47"/>
      <c r="K129" s="47"/>
    </row>
    <row r="130" spans="8:11" ht="13.5" customHeight="1">
      <c r="H130" s="47"/>
      <c r="J130" s="47"/>
      <c r="K130" s="47"/>
    </row>
    <row r="131" spans="8:11" ht="13.5" customHeight="1">
      <c r="H131" s="47"/>
      <c r="J131" s="47"/>
      <c r="K131" s="47"/>
    </row>
    <row r="132" spans="8:11" ht="13.5" customHeight="1">
      <c r="H132" s="47"/>
      <c r="J132" s="47"/>
      <c r="K132" s="47"/>
    </row>
    <row r="133" spans="8:11" ht="13.5" customHeight="1">
      <c r="H133" s="47"/>
      <c r="J133" s="47"/>
      <c r="K133" s="47"/>
    </row>
    <row r="134" spans="8:11" ht="13.5" customHeight="1">
      <c r="H134" s="47"/>
      <c r="J134" s="47"/>
      <c r="K134" s="47"/>
    </row>
    <row r="135" spans="8:11" ht="13.5" customHeight="1">
      <c r="H135" s="47"/>
      <c r="J135" s="47"/>
      <c r="K135" s="47"/>
    </row>
    <row r="136" spans="8:11" ht="13.5" customHeight="1">
      <c r="H136" s="47"/>
      <c r="J136" s="47"/>
      <c r="K136" s="47"/>
    </row>
    <row r="137" spans="8:11" ht="13.5" customHeight="1">
      <c r="H137" s="47"/>
      <c r="J137" s="47"/>
      <c r="K137" s="47"/>
    </row>
    <row r="138" spans="8:11" ht="13.5" customHeight="1">
      <c r="H138" s="47"/>
      <c r="J138" s="47"/>
      <c r="K138" s="47"/>
    </row>
    <row r="139" spans="8:11" ht="13.5" customHeight="1">
      <c r="H139" s="47"/>
      <c r="J139" s="47"/>
      <c r="K139" s="47"/>
    </row>
    <row r="140" spans="8:11" ht="13.5" customHeight="1">
      <c r="H140" s="47"/>
      <c r="J140" s="47"/>
      <c r="K140" s="47"/>
    </row>
    <row r="141" spans="8:11" ht="13.5" customHeight="1">
      <c r="H141" s="47"/>
      <c r="J141" s="47"/>
      <c r="K141" s="47"/>
    </row>
    <row r="142" spans="8:11" ht="13.5" customHeight="1">
      <c r="H142" s="47"/>
      <c r="J142" s="47"/>
      <c r="K142" s="47"/>
    </row>
    <row r="143" spans="8:11" ht="13.5" customHeight="1">
      <c r="H143" s="47"/>
      <c r="J143" s="47"/>
      <c r="K143" s="47"/>
    </row>
    <row r="144" spans="8:11" ht="13.5" customHeight="1">
      <c r="H144" s="47"/>
      <c r="J144" s="47"/>
      <c r="K144" s="47"/>
    </row>
    <row r="145" spans="8:11" ht="13.5" customHeight="1">
      <c r="H145" s="47"/>
      <c r="J145" s="47"/>
      <c r="K145" s="47"/>
    </row>
    <row r="146" spans="8:11" ht="13.5" customHeight="1">
      <c r="H146" s="47"/>
      <c r="J146" s="47"/>
      <c r="K146" s="47"/>
    </row>
    <row r="147" spans="8:11" ht="13.5" customHeight="1">
      <c r="H147" s="47"/>
      <c r="J147" s="47"/>
      <c r="K147" s="47"/>
    </row>
    <row r="148" spans="8:11" ht="13.5" customHeight="1">
      <c r="H148" s="47"/>
      <c r="J148" s="47"/>
      <c r="K148" s="47"/>
    </row>
    <row r="149" spans="8:11" ht="13.5" customHeight="1">
      <c r="H149" s="47"/>
      <c r="J149" s="47"/>
      <c r="K149" s="47"/>
    </row>
    <row r="150" spans="8:11" ht="13.5" customHeight="1">
      <c r="H150" s="47"/>
      <c r="J150" s="47"/>
      <c r="K150" s="47"/>
    </row>
    <row r="151" spans="8:11" ht="13.5" customHeight="1">
      <c r="H151" s="47"/>
      <c r="J151" s="47"/>
      <c r="K151" s="47"/>
    </row>
    <row r="152" spans="8:11" ht="13.5" customHeight="1">
      <c r="H152" s="47"/>
      <c r="J152" s="47"/>
      <c r="K152" s="47"/>
    </row>
    <row r="153" spans="8:11" ht="13.5" customHeight="1">
      <c r="H153" s="47"/>
      <c r="J153" s="47"/>
      <c r="K153" s="47"/>
    </row>
    <row r="154" spans="8:11" ht="13.5" customHeight="1">
      <c r="H154" s="47"/>
      <c r="J154" s="47"/>
      <c r="K154" s="47"/>
    </row>
    <row r="155" spans="8:11" ht="13.5" customHeight="1">
      <c r="H155" s="47"/>
      <c r="J155" s="47"/>
      <c r="K155" s="47"/>
    </row>
    <row r="156" spans="8:11" ht="13.5" customHeight="1">
      <c r="H156" s="47"/>
      <c r="J156" s="47"/>
      <c r="K156" s="47"/>
    </row>
    <row r="157" spans="8:11" ht="13.5" customHeight="1">
      <c r="H157" s="47"/>
      <c r="J157" s="47"/>
      <c r="K157" s="47"/>
    </row>
    <row r="158" spans="8:11" ht="13.5" customHeight="1">
      <c r="H158" s="47"/>
      <c r="J158" s="47"/>
      <c r="K158" s="47"/>
    </row>
    <row r="159" spans="8:11" ht="13.5" customHeight="1">
      <c r="H159" s="47"/>
      <c r="J159" s="47"/>
      <c r="K159" s="47"/>
    </row>
    <row r="160" spans="8:11" ht="13.5" customHeight="1">
      <c r="H160" s="47"/>
      <c r="J160" s="47"/>
      <c r="K160" s="47"/>
    </row>
    <row r="161" spans="8:11" ht="13.5" customHeight="1">
      <c r="H161" s="47"/>
      <c r="J161" s="47"/>
      <c r="K161" s="47"/>
    </row>
    <row r="162" spans="8:11" ht="13.5" customHeight="1">
      <c r="H162" s="47"/>
      <c r="J162" s="47"/>
      <c r="K162" s="47"/>
    </row>
    <row r="163" spans="8:11" ht="13.5" customHeight="1">
      <c r="H163" s="47"/>
      <c r="J163" s="47"/>
      <c r="K163" s="47"/>
    </row>
    <row r="164" spans="8:11" ht="13.5" customHeight="1">
      <c r="H164" s="47"/>
      <c r="J164" s="47"/>
      <c r="K164" s="47"/>
    </row>
    <row r="165" spans="8:11" ht="13.5" customHeight="1">
      <c r="H165" s="47"/>
      <c r="J165" s="47"/>
      <c r="K165" s="47"/>
    </row>
    <row r="166" spans="8:11" ht="13.5" customHeight="1">
      <c r="H166" s="47"/>
      <c r="J166" s="47"/>
      <c r="K166" s="47"/>
    </row>
    <row r="167" spans="8:11" ht="13.5" customHeight="1">
      <c r="H167" s="47"/>
      <c r="J167" s="47"/>
      <c r="K167" s="47"/>
    </row>
    <row r="168" spans="8:11" ht="13.5" customHeight="1">
      <c r="H168" s="47"/>
      <c r="J168" s="47"/>
      <c r="K168" s="47"/>
    </row>
    <row r="169" spans="8:11" ht="13.5" customHeight="1">
      <c r="H169" s="47"/>
      <c r="J169" s="47"/>
      <c r="K169" s="47"/>
    </row>
    <row r="170" spans="8:11" ht="13.5" customHeight="1">
      <c r="H170" s="47"/>
      <c r="J170" s="47"/>
      <c r="K170" s="47"/>
    </row>
    <row r="171" spans="8:11" ht="13.5" customHeight="1">
      <c r="H171" s="47"/>
      <c r="J171" s="47"/>
      <c r="K171" s="47"/>
    </row>
    <row r="172" spans="8:11" ht="13.5" customHeight="1">
      <c r="H172" s="47"/>
      <c r="J172" s="47"/>
      <c r="K172" s="47"/>
    </row>
    <row r="173" spans="8:11" ht="13.5" customHeight="1">
      <c r="H173" s="47"/>
      <c r="J173" s="47"/>
      <c r="K173" s="47"/>
    </row>
    <row r="174" spans="8:11" ht="13.5" customHeight="1">
      <c r="H174" s="47"/>
      <c r="J174" s="47"/>
      <c r="K174" s="47"/>
    </row>
    <row r="175" spans="8:11" ht="13.5" customHeight="1">
      <c r="H175" s="47"/>
      <c r="J175" s="47"/>
      <c r="K175" s="47"/>
    </row>
    <row r="176" spans="8:11" ht="13.5" customHeight="1">
      <c r="H176" s="47"/>
      <c r="J176" s="47"/>
      <c r="K176" s="47"/>
    </row>
    <row r="177" spans="8:11" ht="13.5" customHeight="1">
      <c r="H177" s="47"/>
      <c r="J177" s="47"/>
      <c r="K177" s="47"/>
    </row>
    <row r="178" spans="8:11" ht="13.5" customHeight="1">
      <c r="H178" s="47"/>
      <c r="J178" s="47"/>
      <c r="K178" s="47"/>
    </row>
    <row r="179" spans="8:11" ht="13.5" customHeight="1">
      <c r="H179" s="47"/>
      <c r="J179" s="47"/>
      <c r="K179" s="47"/>
    </row>
    <row r="180" spans="8:11" ht="13.5" customHeight="1">
      <c r="H180" s="47"/>
      <c r="J180" s="47"/>
      <c r="K180" s="47"/>
    </row>
    <row r="181" spans="8:11" ht="13.5" customHeight="1">
      <c r="H181" s="47"/>
      <c r="J181" s="47"/>
      <c r="K181" s="47"/>
    </row>
    <row r="182" spans="8:11" ht="13.5" customHeight="1">
      <c r="H182" s="47"/>
      <c r="J182" s="47"/>
      <c r="K182" s="47"/>
    </row>
    <row r="183" spans="8:11" ht="13.5" customHeight="1">
      <c r="H183" s="47"/>
      <c r="J183" s="47"/>
      <c r="K183" s="47"/>
    </row>
    <row r="184" spans="8:11" ht="13.5" customHeight="1">
      <c r="H184" s="47"/>
      <c r="J184" s="47"/>
      <c r="K184" s="47"/>
    </row>
    <row r="185" spans="8:11" ht="13.5" customHeight="1">
      <c r="H185" s="47"/>
      <c r="J185" s="47"/>
      <c r="K185" s="47"/>
    </row>
    <row r="186" spans="8:11" ht="13.5" customHeight="1">
      <c r="H186" s="47"/>
      <c r="J186" s="47"/>
      <c r="K186" s="47"/>
    </row>
    <row r="187" spans="8:11" ht="13.5" customHeight="1">
      <c r="H187" s="47"/>
      <c r="J187" s="47"/>
      <c r="K187" s="47"/>
    </row>
    <row r="188" spans="8:11" ht="13.5" customHeight="1">
      <c r="H188" s="47"/>
      <c r="J188" s="47"/>
      <c r="K188" s="47"/>
    </row>
    <row r="189" spans="8:11" ht="13.5" customHeight="1">
      <c r="H189" s="47"/>
      <c r="J189" s="47"/>
      <c r="K189" s="47"/>
    </row>
    <row r="190" spans="8:11" ht="13.5" customHeight="1">
      <c r="H190" s="47"/>
      <c r="J190" s="47"/>
      <c r="K190" s="47"/>
    </row>
    <row r="191" spans="8:11" ht="13.5" customHeight="1">
      <c r="H191" s="47"/>
      <c r="J191" s="47"/>
      <c r="K191" s="47"/>
    </row>
    <row r="192" spans="8:11" ht="13.5" customHeight="1">
      <c r="H192" s="47"/>
      <c r="J192" s="47"/>
      <c r="K192" s="47"/>
    </row>
    <row r="193" spans="8:11" ht="13.5" customHeight="1">
      <c r="H193" s="47"/>
      <c r="J193" s="47"/>
      <c r="K193" s="47"/>
    </row>
    <row r="194" spans="8:11" ht="13.5" customHeight="1">
      <c r="H194" s="47"/>
      <c r="J194" s="47"/>
      <c r="K194" s="47"/>
    </row>
    <row r="195" spans="8:11" ht="13.5" customHeight="1">
      <c r="H195" s="47"/>
      <c r="J195" s="47"/>
      <c r="K195" s="47"/>
    </row>
    <row r="196" spans="8:11" ht="13.5" customHeight="1">
      <c r="H196" s="47"/>
      <c r="J196" s="47"/>
      <c r="K196" s="47"/>
    </row>
    <row r="197" spans="8:11" ht="13.5" customHeight="1">
      <c r="H197" s="47"/>
      <c r="J197" s="47"/>
      <c r="K197" s="47"/>
    </row>
    <row r="198" spans="8:11" ht="13.5" customHeight="1">
      <c r="H198" s="47"/>
      <c r="J198" s="47"/>
      <c r="K198" s="47"/>
    </row>
    <row r="199" spans="8:11" ht="13.5" customHeight="1">
      <c r="H199" s="47"/>
      <c r="J199" s="47"/>
      <c r="K199" s="47"/>
    </row>
    <row r="200" spans="8:11" ht="13.5" customHeight="1">
      <c r="H200" s="47"/>
      <c r="J200" s="47"/>
      <c r="K200" s="47"/>
    </row>
    <row r="201" spans="8:11" ht="13.5" customHeight="1">
      <c r="H201" s="47"/>
      <c r="J201" s="47"/>
      <c r="K201" s="47"/>
    </row>
    <row r="202" spans="8:11" ht="13.5" customHeight="1">
      <c r="H202" s="47"/>
      <c r="J202" s="47"/>
      <c r="K202" s="47"/>
    </row>
    <row r="203" spans="8:11" ht="13.5" customHeight="1">
      <c r="H203" s="47"/>
      <c r="J203" s="47"/>
      <c r="K203" s="47"/>
    </row>
    <row r="204" spans="8:11" ht="13.5" customHeight="1">
      <c r="H204" s="47"/>
      <c r="J204" s="47"/>
      <c r="K204" s="47"/>
    </row>
    <row r="205" spans="8:11" ht="13.5" customHeight="1">
      <c r="H205" s="47"/>
      <c r="J205" s="47"/>
      <c r="K205" s="47"/>
    </row>
    <row r="206" spans="8:11" ht="13.5" customHeight="1">
      <c r="H206" s="47"/>
      <c r="J206" s="47"/>
      <c r="K206" s="47"/>
    </row>
    <row r="207" spans="8:11" ht="13.5" customHeight="1">
      <c r="H207" s="47"/>
      <c r="J207" s="47"/>
      <c r="K207" s="47"/>
    </row>
    <row r="208" spans="8:11" ht="13.5" customHeight="1">
      <c r="H208" s="47"/>
      <c r="J208" s="47"/>
      <c r="K208" s="47"/>
    </row>
    <row r="209" spans="8:11" ht="13.5" customHeight="1">
      <c r="H209" s="47"/>
      <c r="J209" s="47"/>
      <c r="K209" s="47"/>
    </row>
    <row r="210" spans="8:11" ht="13.5" customHeight="1">
      <c r="H210" s="47"/>
      <c r="J210" s="47"/>
      <c r="K210" s="47"/>
    </row>
    <row r="211" spans="8:11" ht="13.5" customHeight="1">
      <c r="H211" s="47"/>
      <c r="J211" s="47"/>
      <c r="K211" s="47"/>
    </row>
    <row r="212" spans="8:11" ht="13.5" customHeight="1">
      <c r="H212" s="47"/>
      <c r="J212" s="47"/>
      <c r="K212" s="47"/>
    </row>
    <row r="213" spans="8:11" ht="13.5" customHeight="1">
      <c r="H213" s="47"/>
      <c r="J213" s="47"/>
      <c r="K213" s="47"/>
    </row>
    <row r="214" spans="8:11" ht="13.5" customHeight="1">
      <c r="H214" s="47"/>
      <c r="J214" s="47"/>
      <c r="K214" s="47"/>
    </row>
    <row r="215" spans="8:11" ht="13.5" customHeight="1">
      <c r="H215" s="47"/>
      <c r="J215" s="47"/>
      <c r="K215" s="47"/>
    </row>
    <row r="216" spans="8:11" ht="13.5" customHeight="1">
      <c r="H216" s="47"/>
      <c r="J216" s="47"/>
      <c r="K216" s="47"/>
    </row>
    <row r="217" spans="8:11" ht="13.5" customHeight="1">
      <c r="H217" s="47"/>
      <c r="J217" s="47"/>
      <c r="K217" s="47"/>
    </row>
    <row r="218" spans="8:11" ht="13.5" customHeight="1">
      <c r="H218" s="47"/>
      <c r="J218" s="47"/>
      <c r="K218" s="47"/>
    </row>
    <row r="219" spans="8:11" ht="13.5" customHeight="1">
      <c r="H219" s="47"/>
      <c r="J219" s="47"/>
      <c r="K219" s="47"/>
    </row>
    <row r="220" spans="8:11" ht="13.5" customHeight="1">
      <c r="H220" s="47"/>
      <c r="J220" s="47"/>
      <c r="K220" s="47"/>
    </row>
    <row r="221" spans="8:11" ht="13.5" customHeight="1">
      <c r="H221" s="47"/>
      <c r="J221" s="47"/>
      <c r="K221" s="47"/>
    </row>
    <row r="222" spans="8:11" ht="13.5" customHeight="1">
      <c r="H222" s="47"/>
      <c r="J222" s="47"/>
      <c r="K222" s="47"/>
    </row>
    <row r="223" spans="8:11" ht="13.5" customHeight="1">
      <c r="H223" s="47"/>
      <c r="J223" s="47"/>
      <c r="K223" s="47"/>
    </row>
    <row r="224" spans="8:11" ht="13.5" customHeight="1">
      <c r="H224" s="47"/>
      <c r="J224" s="47"/>
      <c r="K224" s="47"/>
    </row>
    <row r="225" spans="8:11" ht="13.5" customHeight="1">
      <c r="H225" s="47"/>
      <c r="J225" s="47"/>
      <c r="K225" s="47"/>
    </row>
    <row r="226" spans="8:11" ht="13.5" customHeight="1">
      <c r="H226" s="47"/>
      <c r="J226" s="47"/>
      <c r="K226" s="47"/>
    </row>
    <row r="227" spans="8:11" ht="13.5" customHeight="1">
      <c r="H227" s="47"/>
      <c r="J227" s="47"/>
      <c r="K227" s="47"/>
    </row>
    <row r="228" spans="8:11" ht="13.5" customHeight="1">
      <c r="H228" s="47"/>
      <c r="J228" s="47"/>
      <c r="K228" s="47"/>
    </row>
    <row r="229" spans="8:11" ht="13.5" customHeight="1">
      <c r="H229" s="47"/>
      <c r="J229" s="47"/>
      <c r="K229" s="47"/>
    </row>
    <row r="230" spans="8:11" ht="13.5" customHeight="1">
      <c r="H230" s="47"/>
      <c r="J230" s="47"/>
      <c r="K230" s="47"/>
    </row>
    <row r="231" spans="8:11" ht="13.5" customHeight="1">
      <c r="H231" s="47"/>
      <c r="J231" s="47"/>
      <c r="K231" s="47"/>
    </row>
    <row r="232" spans="8:11" ht="13.5" customHeight="1">
      <c r="H232" s="47"/>
      <c r="J232" s="47"/>
      <c r="K232" s="47"/>
    </row>
    <row r="233" spans="8:11" ht="13.5" customHeight="1">
      <c r="H233" s="47"/>
      <c r="J233" s="47"/>
      <c r="K233" s="47"/>
    </row>
    <row r="234" spans="8:11" ht="13.5" customHeight="1">
      <c r="H234" s="47"/>
      <c r="J234" s="47"/>
      <c r="K234" s="47"/>
    </row>
    <row r="235" spans="8:11" ht="13.5" customHeight="1">
      <c r="H235" s="47"/>
      <c r="J235" s="47"/>
      <c r="K235" s="47"/>
    </row>
    <row r="236" spans="8:11" ht="13.5" customHeight="1">
      <c r="H236" s="47"/>
      <c r="J236" s="47"/>
      <c r="K236" s="47"/>
    </row>
    <row r="237" spans="8:11" ht="13.5" customHeight="1">
      <c r="H237" s="47"/>
      <c r="J237" s="47"/>
      <c r="K237" s="47"/>
    </row>
    <row r="238" spans="8:11" ht="13.5" customHeight="1">
      <c r="H238" s="47"/>
      <c r="J238" s="47"/>
      <c r="K238" s="47"/>
    </row>
    <row r="239" spans="8:11" ht="13.5" customHeight="1">
      <c r="H239" s="47"/>
      <c r="J239" s="47"/>
      <c r="K239" s="47"/>
    </row>
    <row r="240" spans="8:11" ht="13.5" customHeight="1">
      <c r="H240" s="47"/>
      <c r="J240" s="47"/>
      <c r="K240" s="47"/>
    </row>
    <row r="241" spans="8:11" ht="13.5" customHeight="1">
      <c r="H241" s="47"/>
      <c r="J241" s="47"/>
      <c r="K241" s="47"/>
    </row>
    <row r="242" spans="8:11" ht="13.5" customHeight="1">
      <c r="H242" s="47"/>
      <c r="J242" s="47"/>
      <c r="K242" s="47"/>
    </row>
    <row r="243" spans="8:11" ht="13.5" customHeight="1">
      <c r="H243" s="47"/>
      <c r="J243" s="47"/>
      <c r="K243" s="47"/>
    </row>
    <row r="244" spans="8:11" ht="13.5" customHeight="1">
      <c r="H244" s="47"/>
      <c r="J244" s="47"/>
      <c r="K244" s="47"/>
    </row>
    <row r="245" spans="8:11" ht="13.5" customHeight="1">
      <c r="H245" s="47"/>
      <c r="J245" s="47"/>
      <c r="K245" s="47"/>
    </row>
    <row r="246" spans="8:11" ht="13.5" customHeight="1">
      <c r="H246" s="47"/>
      <c r="J246" s="47"/>
      <c r="K246" s="47"/>
    </row>
    <row r="247" spans="8:11" ht="13.5" customHeight="1">
      <c r="H247" s="47"/>
      <c r="J247" s="47"/>
      <c r="K247" s="47"/>
    </row>
    <row r="248" spans="8:11" ht="13.5" customHeight="1">
      <c r="H248" s="47"/>
      <c r="J248" s="47"/>
      <c r="K248" s="47"/>
    </row>
    <row r="249" spans="8:11" ht="13.5" customHeight="1">
      <c r="H249" s="47"/>
      <c r="J249" s="47"/>
      <c r="K249" s="47"/>
    </row>
    <row r="250" spans="8:11" ht="13.5" customHeight="1">
      <c r="H250" s="47"/>
      <c r="J250" s="47"/>
      <c r="K250" s="47"/>
    </row>
    <row r="251" spans="8:11" ht="13.5" customHeight="1">
      <c r="H251" s="47"/>
      <c r="J251" s="47"/>
      <c r="K251" s="47"/>
    </row>
    <row r="252" spans="8:11" ht="13.5" customHeight="1">
      <c r="H252" s="47"/>
      <c r="J252" s="47"/>
      <c r="K252" s="47"/>
    </row>
    <row r="253" spans="8:11" ht="13.5" customHeight="1">
      <c r="H253" s="47"/>
      <c r="J253" s="47"/>
      <c r="K253" s="47"/>
    </row>
    <row r="254" spans="8:11" ht="13.5" customHeight="1">
      <c r="H254" s="47"/>
      <c r="J254" s="47"/>
      <c r="K254" s="47"/>
    </row>
    <row r="255" spans="8:11" ht="13.5" customHeight="1">
      <c r="H255" s="47"/>
      <c r="J255" s="47"/>
      <c r="K255" s="47"/>
    </row>
    <row r="256" spans="8:11" ht="13.5" customHeight="1">
      <c r="H256" s="47"/>
      <c r="J256" s="47"/>
      <c r="K256" s="47"/>
    </row>
    <row r="257" spans="8:11" ht="13.5" customHeight="1">
      <c r="H257" s="47"/>
      <c r="J257" s="47"/>
      <c r="K257" s="47"/>
    </row>
    <row r="258" spans="8:11" ht="13.5" customHeight="1">
      <c r="H258" s="47"/>
      <c r="J258" s="47"/>
      <c r="K258" s="47"/>
    </row>
    <row r="259" spans="8:11" ht="13.5" customHeight="1">
      <c r="H259" s="47"/>
      <c r="J259" s="47"/>
      <c r="K259" s="47"/>
    </row>
    <row r="260" spans="8:11" ht="13.5" customHeight="1">
      <c r="H260" s="47"/>
      <c r="J260" s="47"/>
      <c r="K260" s="47"/>
    </row>
    <row r="261" spans="8:11" ht="13.5" customHeight="1">
      <c r="H261" s="47"/>
      <c r="J261" s="47"/>
      <c r="K261" s="47"/>
    </row>
    <row r="262" spans="8:11" ht="13.5" customHeight="1">
      <c r="H262" s="47"/>
      <c r="J262" s="47"/>
      <c r="K262" s="47"/>
    </row>
    <row r="263" spans="8:11" ht="13.5" customHeight="1">
      <c r="H263" s="47"/>
      <c r="J263" s="47"/>
      <c r="K263" s="47"/>
    </row>
    <row r="264" spans="8:11" ht="13.5" customHeight="1">
      <c r="H264" s="47"/>
      <c r="J264" s="47"/>
      <c r="K264" s="47"/>
    </row>
    <row r="265" spans="8:11" ht="13.5" customHeight="1">
      <c r="H265" s="47"/>
      <c r="J265" s="47"/>
      <c r="K265" s="47"/>
    </row>
    <row r="266" spans="8:11" ht="13.5" customHeight="1">
      <c r="H266" s="47"/>
      <c r="J266" s="47"/>
      <c r="K266" s="47"/>
    </row>
    <row r="267" spans="8:11" ht="13.5" customHeight="1">
      <c r="H267" s="47"/>
      <c r="J267" s="47"/>
      <c r="K267" s="47"/>
    </row>
    <row r="268" spans="8:11" ht="13.5" customHeight="1">
      <c r="H268" s="47"/>
      <c r="J268" s="47"/>
      <c r="K268" s="47"/>
    </row>
    <row r="269" spans="8:11" ht="13.5" customHeight="1">
      <c r="H269" s="47"/>
      <c r="J269" s="47"/>
      <c r="K269" s="47"/>
    </row>
    <row r="270" spans="8:11" ht="13.5" customHeight="1">
      <c r="H270" s="47"/>
      <c r="J270" s="47"/>
      <c r="K270" s="47"/>
    </row>
    <row r="271" spans="8:11" ht="13.5" customHeight="1">
      <c r="H271" s="47"/>
      <c r="J271" s="47"/>
      <c r="K271" s="47"/>
    </row>
    <row r="272" spans="8:11" ht="13.5" customHeight="1">
      <c r="H272" s="47"/>
      <c r="J272" s="47"/>
      <c r="K272" s="47"/>
    </row>
    <row r="273" spans="8:11" ht="13.5" customHeight="1">
      <c r="H273" s="47"/>
      <c r="J273" s="47"/>
      <c r="K273" s="47"/>
    </row>
    <row r="274" spans="8:11" ht="13.5" customHeight="1">
      <c r="H274" s="47"/>
      <c r="J274" s="47"/>
      <c r="K274" s="47"/>
    </row>
    <row r="275" spans="8:11" ht="13.5" customHeight="1">
      <c r="H275" s="47"/>
      <c r="J275" s="47"/>
      <c r="K275" s="47"/>
    </row>
    <row r="276" spans="8:11" ht="13.5" customHeight="1">
      <c r="H276" s="47"/>
      <c r="J276" s="47"/>
      <c r="K276" s="47"/>
    </row>
    <row r="277" spans="8:11" ht="13.5" customHeight="1">
      <c r="H277" s="47"/>
      <c r="J277" s="47"/>
      <c r="K277" s="47"/>
    </row>
    <row r="278" spans="8:11" ht="13.5" customHeight="1">
      <c r="H278" s="47"/>
      <c r="J278" s="47"/>
      <c r="K278" s="47"/>
    </row>
    <row r="279" spans="8:11" ht="13.5" customHeight="1">
      <c r="H279" s="47"/>
      <c r="J279" s="47"/>
      <c r="K279" s="47"/>
    </row>
    <row r="280" spans="8:11" ht="13.5" customHeight="1">
      <c r="H280" s="47"/>
      <c r="J280" s="47"/>
      <c r="K280" s="47"/>
    </row>
    <row r="281" spans="8:11" ht="13.5" customHeight="1">
      <c r="H281" s="47"/>
      <c r="J281" s="47"/>
      <c r="K281" s="47"/>
    </row>
    <row r="282" spans="8:11" ht="13.5" customHeight="1">
      <c r="H282" s="47"/>
      <c r="J282" s="47"/>
      <c r="K282" s="47"/>
    </row>
    <row r="283" spans="8:11" ht="13.5" customHeight="1">
      <c r="H283" s="47"/>
      <c r="J283" s="47"/>
      <c r="K283" s="47"/>
    </row>
    <row r="284" spans="8:11" ht="13.5" customHeight="1">
      <c r="H284" s="47"/>
      <c r="J284" s="47"/>
      <c r="K284" s="47"/>
    </row>
    <row r="285" spans="8:11" ht="13.5" customHeight="1">
      <c r="H285" s="47"/>
      <c r="J285" s="47"/>
      <c r="K285" s="47"/>
    </row>
    <row r="286" spans="8:11" ht="13.5" customHeight="1">
      <c r="H286" s="47"/>
      <c r="J286" s="47"/>
      <c r="K286" s="47"/>
    </row>
    <row r="287" spans="8:11" ht="13.5" customHeight="1">
      <c r="H287" s="47"/>
      <c r="J287" s="47"/>
      <c r="K287" s="47"/>
    </row>
    <row r="288" spans="8:11" ht="13.5" customHeight="1">
      <c r="H288" s="47"/>
      <c r="J288" s="47"/>
      <c r="K288" s="47"/>
    </row>
    <row r="289" spans="8:11" ht="13.5" customHeight="1">
      <c r="H289" s="47"/>
      <c r="J289" s="47"/>
      <c r="K289" s="47"/>
    </row>
    <row r="290" spans="8:11" ht="13.5" customHeight="1">
      <c r="H290" s="47"/>
      <c r="J290" s="47"/>
      <c r="K290" s="47"/>
    </row>
    <row r="291" spans="8:11" ht="13.5" customHeight="1">
      <c r="H291" s="47"/>
      <c r="J291" s="47"/>
      <c r="K291" s="47"/>
    </row>
    <row r="292" spans="8:11" ht="13.5" customHeight="1">
      <c r="H292" s="47"/>
      <c r="J292" s="47"/>
      <c r="K292" s="47"/>
    </row>
    <row r="293" spans="8:11" ht="13.5" customHeight="1">
      <c r="H293" s="47"/>
      <c r="J293" s="47"/>
      <c r="K293" s="47"/>
    </row>
    <row r="294" spans="8:11" ht="13.5" customHeight="1">
      <c r="H294" s="47"/>
      <c r="J294" s="47"/>
      <c r="K294" s="47"/>
    </row>
    <row r="295" spans="8:11" ht="13.5" customHeight="1">
      <c r="H295" s="47"/>
      <c r="J295" s="47"/>
      <c r="K295" s="47"/>
    </row>
    <row r="296" spans="8:11" ht="13.5" customHeight="1">
      <c r="H296" s="47"/>
      <c r="J296" s="47"/>
      <c r="K296" s="47"/>
    </row>
    <row r="297" spans="8:11" ht="13.5" customHeight="1">
      <c r="H297" s="47"/>
      <c r="J297" s="47"/>
      <c r="K297" s="47"/>
    </row>
    <row r="298" spans="8:11" ht="13.5" customHeight="1">
      <c r="H298" s="47"/>
      <c r="J298" s="47"/>
      <c r="K298" s="47"/>
    </row>
    <row r="299" spans="8:11" ht="13.5" customHeight="1">
      <c r="H299" s="47"/>
      <c r="J299" s="47"/>
      <c r="K299" s="47"/>
    </row>
    <row r="300" spans="8:11" ht="13.5" customHeight="1">
      <c r="H300" s="47"/>
      <c r="J300" s="47"/>
      <c r="K300" s="47"/>
    </row>
    <row r="301" spans="8:11" ht="13.5" customHeight="1">
      <c r="H301" s="47"/>
      <c r="J301" s="47"/>
      <c r="K301" s="47"/>
    </row>
    <row r="302" spans="8:11" ht="13.5" customHeight="1">
      <c r="H302" s="47"/>
      <c r="J302" s="47"/>
      <c r="K302" s="47"/>
    </row>
    <row r="303" spans="8:11" ht="13.5" customHeight="1">
      <c r="H303" s="47"/>
      <c r="J303" s="47"/>
      <c r="K303" s="47"/>
    </row>
    <row r="304" spans="8:11" ht="13.5" customHeight="1">
      <c r="H304" s="47"/>
      <c r="J304" s="47"/>
      <c r="K304" s="47"/>
    </row>
    <row r="305" spans="8:11" ht="13.5" customHeight="1">
      <c r="H305" s="47"/>
      <c r="J305" s="47"/>
      <c r="K305" s="47"/>
    </row>
    <row r="306" spans="8:11" ht="13.5" customHeight="1">
      <c r="H306" s="47"/>
      <c r="J306" s="47"/>
      <c r="K306" s="47"/>
    </row>
    <row r="307" spans="8:11" ht="13.5" customHeight="1">
      <c r="H307" s="47"/>
      <c r="J307" s="47"/>
      <c r="K307" s="47"/>
    </row>
    <row r="308" spans="8:11" ht="13.5" customHeight="1">
      <c r="H308" s="47"/>
      <c r="J308" s="47"/>
      <c r="K308" s="47"/>
    </row>
    <row r="309" spans="8:11" ht="13.5" customHeight="1">
      <c r="H309" s="47"/>
      <c r="J309" s="47"/>
      <c r="K309" s="47"/>
    </row>
    <row r="310" spans="8:11" ht="13.5" customHeight="1">
      <c r="H310" s="47"/>
      <c r="J310" s="47"/>
      <c r="K310" s="47"/>
    </row>
    <row r="311" spans="8:11" ht="13.5" customHeight="1">
      <c r="H311" s="47"/>
      <c r="J311" s="47"/>
      <c r="K311" s="47"/>
    </row>
    <row r="312" spans="8:11" ht="13.5" customHeight="1">
      <c r="H312" s="47"/>
      <c r="J312" s="47"/>
      <c r="K312" s="47"/>
    </row>
    <row r="313" spans="8:11" ht="13.5" customHeight="1">
      <c r="H313" s="47"/>
      <c r="J313" s="47"/>
      <c r="K313" s="47"/>
    </row>
    <row r="314" spans="8:11" ht="13.5" customHeight="1">
      <c r="H314" s="47"/>
      <c r="J314" s="47"/>
      <c r="K314" s="47"/>
    </row>
    <row r="315" spans="8:11" ht="13.5" customHeight="1">
      <c r="H315" s="47"/>
      <c r="J315" s="47"/>
      <c r="K315" s="47"/>
    </row>
    <row r="316" spans="8:11" ht="13.5" customHeight="1">
      <c r="H316" s="47"/>
      <c r="J316" s="47"/>
      <c r="K316" s="47"/>
    </row>
    <row r="317" spans="8:11" ht="13.5" customHeight="1">
      <c r="H317" s="47"/>
      <c r="J317" s="47"/>
      <c r="K317" s="47"/>
    </row>
    <row r="318" spans="8:11" ht="13.5" customHeight="1">
      <c r="H318" s="47"/>
      <c r="J318" s="47"/>
      <c r="K318" s="47"/>
    </row>
    <row r="319" spans="8:11" ht="13.5" customHeight="1">
      <c r="H319" s="47"/>
      <c r="J319" s="47"/>
      <c r="K319" s="47"/>
    </row>
    <row r="320" spans="8:11" ht="13.5" customHeight="1">
      <c r="H320" s="47"/>
      <c r="J320" s="47"/>
      <c r="K320" s="47"/>
    </row>
    <row r="321" spans="8:11" ht="13.5" customHeight="1">
      <c r="H321" s="47"/>
      <c r="J321" s="47"/>
      <c r="K321" s="47"/>
    </row>
    <row r="322" spans="8:11" ht="13.5" customHeight="1">
      <c r="H322" s="47"/>
      <c r="J322" s="47"/>
      <c r="K322" s="47"/>
    </row>
    <row r="323" spans="8:11" ht="13.5" customHeight="1">
      <c r="H323" s="47"/>
      <c r="J323" s="47"/>
      <c r="K323" s="47"/>
    </row>
    <row r="324" spans="8:11" ht="13.5" customHeight="1">
      <c r="H324" s="47"/>
      <c r="J324" s="47"/>
      <c r="K324" s="47"/>
    </row>
    <row r="325" spans="8:11" ht="13.5" customHeight="1">
      <c r="H325" s="47"/>
      <c r="J325" s="47"/>
      <c r="K325" s="47"/>
    </row>
    <row r="326" spans="8:11" ht="13.5" customHeight="1">
      <c r="H326" s="47"/>
      <c r="J326" s="47"/>
      <c r="K326" s="47"/>
    </row>
    <row r="327" spans="8:11" ht="13.5" customHeight="1">
      <c r="H327" s="47"/>
      <c r="J327" s="47"/>
      <c r="K327" s="47"/>
    </row>
    <row r="328" spans="8:11" ht="13.5" customHeight="1">
      <c r="H328" s="47"/>
      <c r="J328" s="47"/>
      <c r="K328" s="47"/>
    </row>
    <row r="329" spans="8:11" ht="13.5" customHeight="1">
      <c r="H329" s="47"/>
      <c r="J329" s="47"/>
      <c r="K329" s="47"/>
    </row>
    <row r="330" spans="8:11" ht="13.5" customHeight="1">
      <c r="H330" s="47"/>
      <c r="J330" s="47"/>
      <c r="K330" s="47"/>
    </row>
    <row r="331" spans="8:11" ht="13.5" customHeight="1">
      <c r="H331" s="47"/>
      <c r="J331" s="47"/>
      <c r="K331" s="47"/>
    </row>
    <row r="332" spans="8:11" ht="13.5" customHeight="1">
      <c r="H332" s="47"/>
      <c r="J332" s="47"/>
      <c r="K332" s="47"/>
    </row>
    <row r="333" spans="8:11" ht="13.5" customHeight="1">
      <c r="H333" s="47"/>
      <c r="J333" s="47"/>
      <c r="K333" s="47"/>
    </row>
    <row r="334" spans="8:11" ht="13.5" customHeight="1">
      <c r="H334" s="47"/>
      <c r="J334" s="47"/>
      <c r="K334" s="47"/>
    </row>
    <row r="335" spans="8:11" ht="13.5" customHeight="1">
      <c r="H335" s="47"/>
      <c r="J335" s="47"/>
      <c r="K335" s="47"/>
    </row>
    <row r="336" spans="8:11" ht="13.5" customHeight="1">
      <c r="H336" s="47"/>
      <c r="J336" s="47"/>
      <c r="K336" s="47"/>
    </row>
    <row r="337" spans="8:11" ht="13.5" customHeight="1">
      <c r="H337" s="47"/>
      <c r="J337" s="47"/>
      <c r="K337" s="47"/>
    </row>
    <row r="338" spans="8:11" ht="13.5" customHeight="1">
      <c r="H338" s="47"/>
      <c r="J338" s="47"/>
      <c r="K338" s="47"/>
    </row>
    <row r="339" spans="8:11" ht="13.5" customHeight="1">
      <c r="H339" s="47"/>
      <c r="J339" s="47"/>
      <c r="K339" s="47"/>
    </row>
    <row r="340" spans="8:11" ht="13.5" customHeight="1">
      <c r="H340" s="47"/>
      <c r="J340" s="47"/>
      <c r="K340" s="47"/>
    </row>
    <row r="341" spans="8:11" ht="13.5" customHeight="1">
      <c r="H341" s="47"/>
      <c r="J341" s="47"/>
      <c r="K341" s="47"/>
    </row>
    <row r="342" spans="8:11" ht="13.5" customHeight="1">
      <c r="H342" s="47"/>
      <c r="J342" s="47"/>
      <c r="K342" s="47"/>
    </row>
    <row r="343" spans="8:11" ht="13.5" customHeight="1">
      <c r="H343" s="47"/>
      <c r="J343" s="47"/>
      <c r="K343" s="47"/>
    </row>
    <row r="344" spans="8:11" ht="13.5" customHeight="1">
      <c r="H344" s="47"/>
      <c r="J344" s="47"/>
      <c r="K344" s="47"/>
    </row>
    <row r="345" spans="8:11" ht="13.5" customHeight="1">
      <c r="H345" s="47"/>
      <c r="J345" s="47"/>
      <c r="K345" s="47"/>
    </row>
    <row r="346" spans="8:11" ht="13.5" customHeight="1">
      <c r="H346" s="47"/>
      <c r="J346" s="47"/>
      <c r="K346" s="47"/>
    </row>
    <row r="347" spans="8:11" ht="13.5" customHeight="1">
      <c r="H347" s="47"/>
      <c r="J347" s="47"/>
      <c r="K347" s="47"/>
    </row>
    <row r="348" spans="8:11" ht="13.5" customHeight="1">
      <c r="H348" s="47"/>
      <c r="J348" s="47"/>
      <c r="K348" s="47"/>
    </row>
    <row r="349" spans="8:11" ht="13.5" customHeight="1">
      <c r="H349" s="47"/>
      <c r="J349" s="47"/>
      <c r="K349" s="47"/>
    </row>
    <row r="350" spans="8:11" ht="13.5" customHeight="1">
      <c r="H350" s="47"/>
      <c r="J350" s="47"/>
      <c r="K350" s="47"/>
    </row>
    <row r="351" spans="8:11" ht="13.5" customHeight="1">
      <c r="H351" s="47"/>
      <c r="J351" s="47"/>
      <c r="K351" s="47"/>
    </row>
    <row r="352" spans="8:11" ht="13.5" customHeight="1">
      <c r="H352" s="47"/>
      <c r="J352" s="47"/>
      <c r="K352" s="47"/>
    </row>
    <row r="353" spans="8:11" ht="13.5" customHeight="1">
      <c r="H353" s="47"/>
      <c r="J353" s="47"/>
      <c r="K353" s="47"/>
    </row>
    <row r="354" spans="8:11" ht="13.5" customHeight="1">
      <c r="H354" s="47"/>
      <c r="J354" s="47"/>
      <c r="K354" s="47"/>
    </row>
    <row r="355" spans="8:11" ht="13.5" customHeight="1">
      <c r="H355" s="47"/>
      <c r="J355" s="47"/>
      <c r="K355" s="47"/>
    </row>
    <row r="356" spans="8:11" ht="13.5" customHeight="1">
      <c r="H356" s="47"/>
      <c r="J356" s="47"/>
      <c r="K356" s="47"/>
    </row>
    <row r="357" spans="8:11" ht="13.5" customHeight="1">
      <c r="H357" s="47"/>
      <c r="J357" s="47"/>
      <c r="K357" s="47"/>
    </row>
    <row r="358" spans="8:11" ht="13.5" customHeight="1">
      <c r="H358" s="47"/>
      <c r="J358" s="47"/>
      <c r="K358" s="47"/>
    </row>
    <row r="359" spans="8:11" ht="13.5" customHeight="1">
      <c r="H359" s="47"/>
      <c r="J359" s="47"/>
      <c r="K359" s="47"/>
    </row>
    <row r="360" spans="8:11" ht="13.5" customHeight="1">
      <c r="H360" s="47"/>
      <c r="J360" s="47"/>
      <c r="K360" s="47"/>
    </row>
    <row r="361" spans="8:11" ht="13.5" customHeight="1">
      <c r="H361" s="47"/>
      <c r="J361" s="47"/>
      <c r="K361" s="47"/>
    </row>
    <row r="362" spans="8:11" ht="13.5" customHeight="1">
      <c r="H362" s="47"/>
      <c r="J362" s="47"/>
      <c r="K362" s="47"/>
    </row>
    <row r="363" spans="8:11" ht="13.5" customHeight="1">
      <c r="H363" s="47"/>
      <c r="J363" s="47"/>
      <c r="K363" s="47"/>
    </row>
    <row r="364" spans="8:11" ht="13.5" customHeight="1">
      <c r="H364" s="47"/>
      <c r="J364" s="47"/>
      <c r="K364" s="47"/>
    </row>
    <row r="365" spans="8:11" ht="13.5" customHeight="1">
      <c r="H365" s="47"/>
      <c r="J365" s="47"/>
      <c r="K365" s="47"/>
    </row>
    <row r="366" spans="8:11" ht="13.5" customHeight="1">
      <c r="H366" s="47"/>
      <c r="J366" s="47"/>
      <c r="K366" s="47"/>
    </row>
    <row r="367" spans="8:11" ht="13.5" customHeight="1">
      <c r="H367" s="47"/>
      <c r="J367" s="47"/>
      <c r="K367" s="47"/>
    </row>
    <row r="368" spans="8:11" ht="13.5" customHeight="1">
      <c r="H368" s="47"/>
      <c r="J368" s="47"/>
      <c r="K368" s="47"/>
    </row>
    <row r="369" spans="8:11" ht="13.5" customHeight="1">
      <c r="H369" s="47"/>
      <c r="J369" s="47"/>
      <c r="K369" s="47"/>
    </row>
    <row r="370" spans="8:11" ht="13.5" customHeight="1">
      <c r="H370" s="47"/>
      <c r="J370" s="47"/>
      <c r="K370" s="47"/>
    </row>
    <row r="371" spans="8:11" ht="13.5" customHeight="1">
      <c r="H371" s="47"/>
      <c r="J371" s="47"/>
      <c r="K371" s="47"/>
    </row>
    <row r="372" spans="8:11" ht="13.5" customHeight="1">
      <c r="H372" s="47"/>
      <c r="J372" s="47"/>
      <c r="K372" s="47"/>
    </row>
    <row r="373" spans="8:11" ht="13.5" customHeight="1">
      <c r="H373" s="47"/>
      <c r="J373" s="47"/>
      <c r="K373" s="47"/>
    </row>
    <row r="374" spans="8:11" ht="13.5" customHeight="1">
      <c r="H374" s="47"/>
      <c r="J374" s="47"/>
      <c r="K374" s="47"/>
    </row>
    <row r="375" spans="8:11" ht="13.5" customHeight="1">
      <c r="H375" s="47"/>
      <c r="J375" s="47"/>
      <c r="K375" s="47"/>
    </row>
    <row r="376" spans="8:11" ht="13.5" customHeight="1">
      <c r="H376" s="47"/>
      <c r="J376" s="47"/>
      <c r="K376" s="47"/>
    </row>
    <row r="377" spans="8:11" ht="13.5" customHeight="1">
      <c r="H377" s="47"/>
      <c r="J377" s="47"/>
      <c r="K377" s="47"/>
    </row>
    <row r="378" spans="8:11" ht="13.5" customHeight="1">
      <c r="H378" s="47"/>
      <c r="J378" s="47"/>
      <c r="K378" s="47"/>
    </row>
    <row r="379" spans="8:11" ht="13.5" customHeight="1">
      <c r="H379" s="47"/>
      <c r="J379" s="47"/>
      <c r="K379" s="47"/>
    </row>
    <row r="380" spans="8:11" ht="13.5" customHeight="1">
      <c r="H380" s="47"/>
      <c r="J380" s="47"/>
      <c r="K380" s="47"/>
    </row>
    <row r="381" spans="8:11" ht="13.5" customHeight="1">
      <c r="H381" s="47"/>
      <c r="J381" s="47"/>
      <c r="K381" s="47"/>
    </row>
    <row r="382" spans="8:11" ht="13.5" customHeight="1">
      <c r="H382" s="47"/>
      <c r="J382" s="47"/>
      <c r="K382" s="47"/>
    </row>
    <row r="383" spans="8:11" ht="13.5" customHeight="1">
      <c r="H383" s="47"/>
      <c r="J383" s="47"/>
      <c r="K383" s="47"/>
    </row>
    <row r="384" spans="8:11" ht="13.5" customHeight="1">
      <c r="H384" s="47"/>
      <c r="J384" s="47"/>
      <c r="K384" s="47"/>
    </row>
    <row r="385" spans="8:11" ht="13.5" customHeight="1">
      <c r="H385" s="47"/>
      <c r="J385" s="47"/>
      <c r="K385" s="47"/>
    </row>
    <row r="386" spans="8:11" ht="13.5" customHeight="1">
      <c r="H386" s="47"/>
      <c r="J386" s="47"/>
      <c r="K386" s="47"/>
    </row>
    <row r="387" spans="8:11" ht="13.5" customHeight="1">
      <c r="H387" s="47"/>
      <c r="J387" s="47"/>
      <c r="K387" s="47"/>
    </row>
    <row r="388" spans="8:11" ht="13.5" customHeight="1">
      <c r="H388" s="47"/>
      <c r="J388" s="47"/>
      <c r="K388" s="47"/>
    </row>
    <row r="389" spans="8:11" ht="13.5" customHeight="1">
      <c r="H389" s="47"/>
      <c r="J389" s="47"/>
      <c r="K389" s="47"/>
    </row>
    <row r="390" spans="8:11" ht="13.5" customHeight="1">
      <c r="H390" s="47"/>
      <c r="J390" s="47"/>
      <c r="K390" s="47"/>
    </row>
    <row r="391" spans="8:11" ht="13.5" customHeight="1">
      <c r="H391" s="47"/>
      <c r="J391" s="47"/>
      <c r="K391" s="47"/>
    </row>
    <row r="392" spans="8:11" ht="13.5" customHeight="1">
      <c r="H392" s="47"/>
      <c r="J392" s="47"/>
      <c r="K392" s="47"/>
    </row>
    <row r="393" spans="8:11" ht="13.5" customHeight="1">
      <c r="H393" s="47"/>
      <c r="J393" s="47"/>
      <c r="K393" s="47"/>
    </row>
    <row r="394" spans="8:11" ht="13.5" customHeight="1">
      <c r="H394" s="47"/>
      <c r="J394" s="47"/>
      <c r="K394" s="47"/>
    </row>
    <row r="395" spans="8:11" ht="13.5" customHeight="1">
      <c r="H395" s="47"/>
      <c r="J395" s="47"/>
      <c r="K395" s="47"/>
    </row>
    <row r="396" spans="8:11" ht="13.5" customHeight="1">
      <c r="H396" s="47"/>
      <c r="J396" s="47"/>
      <c r="K396" s="47"/>
    </row>
    <row r="397" spans="8:11" ht="13.5" customHeight="1">
      <c r="H397" s="47"/>
      <c r="J397" s="47"/>
      <c r="K397" s="47"/>
    </row>
    <row r="398" spans="8:11" ht="13.5" customHeight="1">
      <c r="H398" s="47"/>
      <c r="J398" s="47"/>
      <c r="K398" s="47"/>
    </row>
    <row r="399" spans="8:11" ht="13.5" customHeight="1">
      <c r="H399" s="47"/>
      <c r="J399" s="47"/>
      <c r="K399" s="47"/>
    </row>
    <row r="400" spans="8:11" ht="13.5" customHeight="1">
      <c r="H400" s="47"/>
      <c r="J400" s="47"/>
      <c r="K400" s="47"/>
    </row>
    <row r="401" spans="8:11" ht="13.5" customHeight="1">
      <c r="H401" s="47"/>
      <c r="J401" s="47"/>
      <c r="K401" s="47"/>
    </row>
    <row r="402" spans="8:11" ht="13.5" customHeight="1">
      <c r="H402" s="47"/>
      <c r="J402" s="47"/>
      <c r="K402" s="47"/>
    </row>
    <row r="403" spans="8:11" ht="13.5" customHeight="1">
      <c r="H403" s="47"/>
      <c r="J403" s="47"/>
      <c r="K403" s="47"/>
    </row>
    <row r="404" spans="8:11" ht="13.5" customHeight="1">
      <c r="H404" s="47"/>
      <c r="J404" s="47"/>
      <c r="K404" s="47"/>
    </row>
    <row r="405" spans="8:11" ht="13.5" customHeight="1">
      <c r="H405" s="47"/>
      <c r="J405" s="47"/>
      <c r="K405" s="47"/>
    </row>
    <row r="406" spans="8:11" ht="13.5" customHeight="1">
      <c r="H406" s="47"/>
      <c r="J406" s="47"/>
      <c r="K406" s="47"/>
    </row>
    <row r="407" spans="8:11" ht="13.5" customHeight="1">
      <c r="H407" s="47"/>
      <c r="J407" s="47"/>
      <c r="K407" s="47"/>
    </row>
    <row r="408" spans="8:11" ht="13.5" customHeight="1">
      <c r="H408" s="47"/>
      <c r="J408" s="47"/>
      <c r="K408" s="47"/>
    </row>
    <row r="409" spans="8:11" ht="13.5" customHeight="1">
      <c r="H409" s="47"/>
      <c r="J409" s="47"/>
      <c r="K409" s="47"/>
    </row>
    <row r="410" spans="8:11" ht="13.5" customHeight="1">
      <c r="H410" s="47"/>
      <c r="J410" s="47"/>
      <c r="K410" s="47"/>
    </row>
    <row r="411" spans="8:11" ht="13.5" customHeight="1">
      <c r="H411" s="47"/>
      <c r="J411" s="47"/>
      <c r="K411" s="47"/>
    </row>
    <row r="412" spans="8:11" ht="13.5" customHeight="1">
      <c r="H412" s="47"/>
      <c r="J412" s="47"/>
      <c r="K412" s="47"/>
    </row>
    <row r="413" spans="8:11" ht="13.5" customHeight="1">
      <c r="H413" s="47"/>
      <c r="J413" s="47"/>
      <c r="K413" s="47"/>
    </row>
    <row r="414" spans="8:11" ht="13.5" customHeight="1">
      <c r="H414" s="47"/>
      <c r="J414" s="47"/>
      <c r="K414" s="47"/>
    </row>
    <row r="415" spans="8:11" ht="13.5" customHeight="1">
      <c r="H415" s="47"/>
      <c r="J415" s="47"/>
      <c r="K415" s="47"/>
    </row>
    <row r="416" spans="8:11" ht="13.5" customHeight="1">
      <c r="H416" s="47"/>
      <c r="J416" s="47"/>
      <c r="K416" s="47"/>
    </row>
    <row r="417" spans="8:11" ht="13.5" customHeight="1">
      <c r="H417" s="47"/>
      <c r="J417" s="47"/>
      <c r="K417" s="47"/>
    </row>
    <row r="418" spans="8:11" ht="13.5" customHeight="1">
      <c r="H418" s="47"/>
      <c r="J418" s="47"/>
      <c r="K418" s="47"/>
    </row>
    <row r="419" spans="8:11" ht="13.5" customHeight="1">
      <c r="H419" s="47"/>
      <c r="J419" s="47"/>
      <c r="K419" s="47"/>
    </row>
    <row r="420" spans="8:11" ht="13.5" customHeight="1">
      <c r="H420" s="47"/>
      <c r="J420" s="47"/>
      <c r="K420" s="47"/>
    </row>
    <row r="421" spans="8:11" ht="13.5" customHeight="1">
      <c r="H421" s="47"/>
      <c r="J421" s="47"/>
      <c r="K421" s="47"/>
    </row>
    <row r="422" spans="8:11" ht="13.5" customHeight="1">
      <c r="H422" s="47"/>
      <c r="J422" s="47"/>
      <c r="K422" s="47"/>
    </row>
    <row r="423" spans="8:11" ht="13.5" customHeight="1">
      <c r="H423" s="47"/>
      <c r="J423" s="47"/>
      <c r="K423" s="47"/>
    </row>
    <row r="424" spans="8:11" ht="13.5" customHeight="1">
      <c r="H424" s="47"/>
      <c r="J424" s="47"/>
      <c r="K424" s="47"/>
    </row>
    <row r="425" spans="8:11" ht="13.5" customHeight="1">
      <c r="H425" s="47"/>
      <c r="J425" s="47"/>
      <c r="K425" s="47"/>
    </row>
    <row r="426" spans="8:11" ht="13.5" customHeight="1">
      <c r="H426" s="47"/>
      <c r="J426" s="47"/>
      <c r="K426" s="47"/>
    </row>
    <row r="427" spans="8:11" ht="13.5" customHeight="1">
      <c r="H427" s="47"/>
      <c r="J427" s="47"/>
      <c r="K427" s="47"/>
    </row>
    <row r="428" spans="8:11" ht="13.5" customHeight="1">
      <c r="H428" s="47"/>
      <c r="J428" s="47"/>
      <c r="K428" s="47"/>
    </row>
    <row r="429" spans="8:11" ht="13.5" customHeight="1">
      <c r="H429" s="47"/>
      <c r="J429" s="47"/>
      <c r="K429" s="47"/>
    </row>
    <row r="430" spans="8:11" ht="13.5" customHeight="1">
      <c r="H430" s="47"/>
      <c r="J430" s="47"/>
      <c r="K430" s="47"/>
    </row>
    <row r="431" spans="8:11" ht="13.5" customHeight="1">
      <c r="H431" s="47"/>
      <c r="J431" s="47"/>
      <c r="K431" s="47"/>
    </row>
    <row r="432" spans="8:11" ht="13.5" customHeight="1">
      <c r="H432" s="47"/>
      <c r="J432" s="47"/>
      <c r="K432" s="47"/>
    </row>
    <row r="433" spans="8:11" ht="13.5" customHeight="1">
      <c r="H433" s="47"/>
      <c r="J433" s="47"/>
      <c r="K433" s="47"/>
    </row>
    <row r="434" spans="8:11" ht="13.5" customHeight="1">
      <c r="H434" s="47"/>
      <c r="J434" s="47"/>
      <c r="K434" s="47"/>
    </row>
    <row r="435" spans="8:11" ht="13.5" customHeight="1">
      <c r="H435" s="47"/>
      <c r="J435" s="47"/>
      <c r="K435" s="47"/>
    </row>
    <row r="436" spans="8:11" ht="13.5" customHeight="1">
      <c r="H436" s="47"/>
      <c r="J436" s="47"/>
      <c r="K436" s="47"/>
    </row>
    <row r="437" spans="8:11" ht="13.5" customHeight="1">
      <c r="H437" s="47"/>
      <c r="J437" s="47"/>
      <c r="K437" s="47"/>
    </row>
    <row r="438" spans="8:11" ht="13.5" customHeight="1">
      <c r="H438" s="47"/>
      <c r="J438" s="47"/>
      <c r="K438" s="47"/>
    </row>
    <row r="439" spans="8:11" ht="13.5" customHeight="1">
      <c r="H439" s="47"/>
      <c r="J439" s="47"/>
      <c r="K439" s="47"/>
    </row>
    <row r="440" spans="8:11" ht="13.5" customHeight="1">
      <c r="H440" s="47"/>
      <c r="J440" s="47"/>
      <c r="K440" s="47"/>
    </row>
    <row r="441" spans="8:11" ht="13.5" customHeight="1">
      <c r="H441" s="47"/>
      <c r="J441" s="47"/>
      <c r="K441" s="47"/>
    </row>
    <row r="442" spans="8:11" ht="13.5" customHeight="1">
      <c r="H442" s="47"/>
      <c r="J442" s="47"/>
      <c r="K442" s="47"/>
    </row>
    <row r="443" spans="8:11" ht="13.5" customHeight="1">
      <c r="H443" s="47"/>
      <c r="J443" s="47"/>
      <c r="K443" s="47"/>
    </row>
    <row r="444" spans="8:11" ht="13.5" customHeight="1">
      <c r="H444" s="47"/>
      <c r="J444" s="47"/>
      <c r="K444" s="47"/>
    </row>
    <row r="445" spans="8:11" ht="13.5" customHeight="1">
      <c r="H445" s="47"/>
      <c r="J445" s="47"/>
      <c r="K445" s="47"/>
    </row>
    <row r="446" spans="8:11" ht="13.5" customHeight="1">
      <c r="H446" s="47"/>
      <c r="J446" s="47"/>
      <c r="K446" s="47"/>
    </row>
    <row r="447" spans="8:11" ht="13.5" customHeight="1">
      <c r="H447" s="47"/>
      <c r="J447" s="47"/>
      <c r="K447" s="47"/>
    </row>
    <row r="448" spans="8:11" ht="13.5" customHeight="1">
      <c r="H448" s="47"/>
      <c r="J448" s="47"/>
      <c r="K448" s="47"/>
    </row>
    <row r="449" spans="8:11" ht="13.5" customHeight="1">
      <c r="H449" s="47"/>
      <c r="J449" s="47"/>
      <c r="K449" s="47"/>
    </row>
    <row r="450" spans="8:11" ht="13.5" customHeight="1">
      <c r="H450" s="47"/>
      <c r="J450" s="47"/>
      <c r="K450" s="47"/>
    </row>
    <row r="451" spans="8:11" ht="13.5" customHeight="1">
      <c r="H451" s="47"/>
      <c r="J451" s="47"/>
      <c r="K451" s="47"/>
    </row>
    <row r="452" spans="8:11" ht="13.5" customHeight="1">
      <c r="H452" s="47"/>
      <c r="J452" s="47"/>
      <c r="K452" s="47"/>
    </row>
    <row r="453" spans="8:11" ht="13.5" customHeight="1">
      <c r="H453" s="47"/>
      <c r="J453" s="47"/>
      <c r="K453" s="47"/>
    </row>
    <row r="454" spans="8:11" ht="13.5" customHeight="1">
      <c r="H454" s="47"/>
      <c r="J454" s="47"/>
      <c r="K454" s="47"/>
    </row>
    <row r="455" spans="8:11" ht="13.5" customHeight="1">
      <c r="H455" s="47"/>
      <c r="J455" s="47"/>
      <c r="K455" s="47"/>
    </row>
    <row r="456" spans="8:11" ht="13.5" customHeight="1">
      <c r="H456" s="47"/>
      <c r="J456" s="47"/>
      <c r="K456" s="47"/>
    </row>
    <row r="457" spans="8:11" ht="13.5" customHeight="1">
      <c r="H457" s="47"/>
      <c r="J457" s="47"/>
      <c r="K457" s="47"/>
    </row>
    <row r="458" spans="8:11" ht="13.5" customHeight="1">
      <c r="H458" s="47"/>
      <c r="J458" s="47"/>
      <c r="K458" s="47"/>
    </row>
    <row r="459" spans="8:11" ht="13.5" customHeight="1">
      <c r="H459" s="47"/>
      <c r="J459" s="47"/>
      <c r="K459" s="47"/>
    </row>
    <row r="460" spans="8:11" ht="13.5" customHeight="1">
      <c r="H460" s="47"/>
      <c r="J460" s="47"/>
      <c r="K460" s="47"/>
    </row>
    <row r="461" spans="8:11" ht="13.5" customHeight="1">
      <c r="H461" s="47"/>
      <c r="J461" s="47"/>
      <c r="K461" s="47"/>
    </row>
    <row r="462" spans="8:11" ht="13.5" customHeight="1">
      <c r="H462" s="47"/>
      <c r="J462" s="47"/>
      <c r="K462" s="47"/>
    </row>
    <row r="463" spans="8:11" ht="13.5" customHeight="1">
      <c r="H463" s="47"/>
      <c r="J463" s="47"/>
      <c r="K463" s="47"/>
    </row>
    <row r="464" spans="8:11" ht="13.5" customHeight="1">
      <c r="H464" s="47"/>
      <c r="J464" s="47"/>
      <c r="K464" s="47"/>
    </row>
    <row r="465" spans="8:11" ht="13.5" customHeight="1">
      <c r="H465" s="47"/>
      <c r="J465" s="47"/>
      <c r="K465" s="47"/>
    </row>
    <row r="466" spans="8:11" ht="13.5" customHeight="1">
      <c r="H466" s="47"/>
      <c r="J466" s="47"/>
      <c r="K466" s="47"/>
    </row>
    <row r="467" spans="8:11" ht="13.5" customHeight="1">
      <c r="H467" s="47"/>
      <c r="J467" s="47"/>
      <c r="K467" s="47"/>
    </row>
    <row r="468" spans="8:11" ht="13.5" customHeight="1">
      <c r="H468" s="47"/>
      <c r="J468" s="47"/>
      <c r="K468" s="47"/>
    </row>
    <row r="469" spans="8:11" ht="13.5" customHeight="1">
      <c r="H469" s="47"/>
      <c r="J469" s="47"/>
      <c r="K469" s="47"/>
    </row>
    <row r="470" spans="8:11" ht="13.5" customHeight="1">
      <c r="H470" s="47"/>
      <c r="J470" s="47"/>
      <c r="K470" s="47"/>
    </row>
    <row r="471" spans="8:11" ht="13.5" customHeight="1">
      <c r="H471" s="47"/>
      <c r="J471" s="47"/>
      <c r="K471" s="47"/>
    </row>
    <row r="472" spans="8:11" ht="13.5" customHeight="1">
      <c r="H472" s="47"/>
      <c r="J472" s="47"/>
      <c r="K472" s="47"/>
    </row>
    <row r="473" spans="8:11" ht="13.5" customHeight="1">
      <c r="H473" s="47"/>
      <c r="J473" s="47"/>
      <c r="K473" s="47"/>
    </row>
    <row r="474" spans="8:11" ht="13.5" customHeight="1">
      <c r="H474" s="47"/>
      <c r="J474" s="47"/>
      <c r="K474" s="47"/>
    </row>
    <row r="475" spans="8:11" ht="13.5" customHeight="1">
      <c r="H475" s="47"/>
      <c r="J475" s="47"/>
      <c r="K475" s="47"/>
    </row>
    <row r="476" spans="8:11" ht="13.5" customHeight="1">
      <c r="H476" s="47"/>
      <c r="J476" s="47"/>
      <c r="K476" s="47"/>
    </row>
    <row r="477" spans="8:11" ht="13.5" customHeight="1">
      <c r="H477" s="47"/>
      <c r="J477" s="47"/>
      <c r="K477" s="47"/>
    </row>
    <row r="478" spans="8:11" ht="13.5" customHeight="1">
      <c r="H478" s="47"/>
      <c r="J478" s="47"/>
      <c r="K478" s="47"/>
    </row>
    <row r="479" spans="8:11" ht="13.5" customHeight="1">
      <c r="H479" s="47"/>
      <c r="J479" s="47"/>
      <c r="K479" s="47"/>
    </row>
    <row r="480" spans="8:11" ht="13.5" customHeight="1">
      <c r="H480" s="47"/>
      <c r="J480" s="47"/>
      <c r="K480" s="47"/>
    </row>
    <row r="481" spans="8:11" ht="13.5" customHeight="1">
      <c r="H481" s="47"/>
      <c r="J481" s="47"/>
      <c r="K481" s="47"/>
    </row>
    <row r="482" spans="8:11" ht="13.5" customHeight="1">
      <c r="H482" s="47"/>
      <c r="J482" s="47"/>
      <c r="K482" s="47"/>
    </row>
    <row r="483" spans="8:11" ht="13.5" customHeight="1">
      <c r="H483" s="47"/>
      <c r="J483" s="47"/>
      <c r="K483" s="47"/>
    </row>
    <row r="484" spans="8:11" ht="13.5" customHeight="1">
      <c r="H484" s="47"/>
      <c r="J484" s="47"/>
      <c r="K484" s="47"/>
    </row>
    <row r="485" spans="8:11" ht="13.5" customHeight="1">
      <c r="H485" s="47"/>
      <c r="J485" s="47"/>
      <c r="K485" s="47"/>
    </row>
    <row r="486" spans="8:11" ht="13.5" customHeight="1">
      <c r="H486" s="47"/>
      <c r="J486" s="47"/>
      <c r="K486" s="47"/>
    </row>
    <row r="487" spans="8:11" ht="13.5" customHeight="1">
      <c r="H487" s="47"/>
      <c r="J487" s="47"/>
      <c r="K487" s="47"/>
    </row>
    <row r="488" spans="8:11" ht="13.5" customHeight="1">
      <c r="H488" s="47"/>
      <c r="J488" s="47"/>
      <c r="K488" s="47"/>
    </row>
    <row r="489" spans="8:11" ht="13.5" customHeight="1">
      <c r="H489" s="47"/>
      <c r="J489" s="47"/>
      <c r="K489" s="47"/>
    </row>
    <row r="490" spans="8:11" ht="13.5" customHeight="1">
      <c r="H490" s="47"/>
      <c r="J490" s="47"/>
      <c r="K490" s="47"/>
    </row>
    <row r="491" spans="8:11" ht="13.5" customHeight="1">
      <c r="H491" s="47"/>
      <c r="J491" s="47"/>
      <c r="K491" s="47"/>
    </row>
    <row r="492" spans="8:11" ht="13.5" customHeight="1">
      <c r="H492" s="47"/>
      <c r="J492" s="47"/>
      <c r="K492" s="47"/>
    </row>
    <row r="493" spans="8:11" ht="13.5" customHeight="1">
      <c r="H493" s="47"/>
      <c r="J493" s="47"/>
      <c r="K493" s="47"/>
    </row>
    <row r="494" spans="8:11" ht="13.5" customHeight="1">
      <c r="H494" s="47"/>
      <c r="J494" s="47"/>
      <c r="K494" s="47"/>
    </row>
    <row r="495" spans="8:11" ht="13.5" customHeight="1">
      <c r="H495" s="47"/>
      <c r="J495" s="47"/>
      <c r="K495" s="47"/>
    </row>
    <row r="496" spans="8:11" ht="13.5" customHeight="1">
      <c r="H496" s="47"/>
      <c r="J496" s="47"/>
      <c r="K496" s="47"/>
    </row>
    <row r="497" spans="8:11" ht="13.5" customHeight="1">
      <c r="H497" s="47"/>
      <c r="J497" s="47"/>
      <c r="K497" s="47"/>
    </row>
    <row r="498" spans="8:11" ht="13.5" customHeight="1">
      <c r="H498" s="47"/>
      <c r="J498" s="47"/>
      <c r="K498" s="47"/>
    </row>
    <row r="499" spans="8:11" ht="13.5" customHeight="1">
      <c r="H499" s="47"/>
      <c r="J499" s="47"/>
      <c r="K499" s="47"/>
    </row>
    <row r="500" spans="8:11" ht="13.5" customHeight="1">
      <c r="H500" s="47"/>
      <c r="J500" s="47"/>
      <c r="K500" s="47"/>
    </row>
    <row r="501" spans="8:11" ht="13.5" customHeight="1">
      <c r="H501" s="47"/>
      <c r="J501" s="47"/>
      <c r="K501" s="47"/>
    </row>
    <row r="502" spans="8:11" ht="13.5" customHeight="1">
      <c r="H502" s="47"/>
      <c r="J502" s="47"/>
      <c r="K502" s="47"/>
    </row>
    <row r="503" spans="8:11" ht="13.5" customHeight="1">
      <c r="H503" s="47"/>
      <c r="J503" s="47"/>
      <c r="K503" s="47"/>
    </row>
    <row r="504" spans="8:11" ht="13.5" customHeight="1">
      <c r="H504" s="47"/>
      <c r="J504" s="47"/>
      <c r="K504" s="47"/>
    </row>
    <row r="505" spans="8:11" ht="13.5" customHeight="1">
      <c r="H505" s="47"/>
      <c r="J505" s="47"/>
      <c r="K505" s="47"/>
    </row>
    <row r="506" spans="8:11" ht="13.5" customHeight="1">
      <c r="H506" s="47"/>
      <c r="J506" s="47"/>
      <c r="K506" s="47"/>
    </row>
    <row r="507" spans="8:11" ht="13.5" customHeight="1">
      <c r="H507" s="47"/>
      <c r="J507" s="47"/>
      <c r="K507" s="47"/>
    </row>
    <row r="508" spans="8:11" ht="13.5" customHeight="1">
      <c r="H508" s="47"/>
      <c r="J508" s="47"/>
      <c r="K508" s="47"/>
    </row>
    <row r="509" spans="8:11" ht="13.5" customHeight="1">
      <c r="H509" s="47"/>
      <c r="J509" s="47"/>
      <c r="K509" s="47"/>
    </row>
    <row r="510" spans="8:11" ht="13.5" customHeight="1">
      <c r="H510" s="47"/>
      <c r="J510" s="47"/>
      <c r="K510" s="47"/>
    </row>
    <row r="511" spans="8:11" ht="13.5" customHeight="1">
      <c r="H511" s="47"/>
      <c r="J511" s="47"/>
      <c r="K511" s="47"/>
    </row>
    <row r="512" spans="8:11" ht="13.5" customHeight="1">
      <c r="H512" s="47"/>
      <c r="J512" s="47"/>
      <c r="K512" s="47"/>
    </row>
    <row r="513" spans="8:11" ht="13.5" customHeight="1">
      <c r="H513" s="47"/>
      <c r="J513" s="47"/>
      <c r="K513" s="47"/>
    </row>
    <row r="514" spans="8:11" ht="13.5" customHeight="1">
      <c r="H514" s="47"/>
      <c r="J514" s="47"/>
      <c r="K514" s="47"/>
    </row>
    <row r="515" spans="8:11" ht="13.5" customHeight="1">
      <c r="H515" s="47"/>
      <c r="J515" s="47"/>
      <c r="K515" s="47"/>
    </row>
    <row r="516" spans="8:11" ht="13.5" customHeight="1">
      <c r="H516" s="47"/>
      <c r="J516" s="47"/>
      <c r="K516" s="47"/>
    </row>
    <row r="517" spans="8:11" ht="13.5" customHeight="1">
      <c r="H517" s="47"/>
      <c r="J517" s="47"/>
      <c r="K517" s="47"/>
    </row>
    <row r="518" spans="8:11" ht="13.5" customHeight="1">
      <c r="H518" s="47"/>
      <c r="J518" s="47"/>
      <c r="K518" s="47"/>
    </row>
    <row r="519" spans="8:11" ht="13.5" customHeight="1">
      <c r="H519" s="47"/>
      <c r="J519" s="47"/>
      <c r="K519" s="47"/>
    </row>
    <row r="520" spans="8:11" ht="13.5" customHeight="1">
      <c r="H520" s="47"/>
      <c r="J520" s="47"/>
      <c r="K520" s="47"/>
    </row>
    <row r="521" spans="8:11" ht="13.5" customHeight="1">
      <c r="H521" s="47"/>
      <c r="J521" s="47"/>
      <c r="K521" s="47"/>
    </row>
    <row r="522" spans="8:11" ht="13.5" customHeight="1">
      <c r="H522" s="47"/>
      <c r="J522" s="47"/>
      <c r="K522" s="47"/>
    </row>
    <row r="523" spans="8:11" ht="13.5" customHeight="1">
      <c r="H523" s="47"/>
      <c r="J523" s="47"/>
      <c r="K523" s="47"/>
    </row>
    <row r="524" spans="8:11" ht="13.5" customHeight="1">
      <c r="H524" s="47"/>
      <c r="J524" s="47"/>
      <c r="K524" s="47"/>
    </row>
    <row r="525" spans="8:11" ht="13.5" customHeight="1">
      <c r="H525" s="47"/>
      <c r="J525" s="47"/>
      <c r="K525" s="47"/>
    </row>
    <row r="526" spans="8:11" ht="13.5" customHeight="1">
      <c r="H526" s="47"/>
      <c r="J526" s="47"/>
      <c r="K526" s="47"/>
    </row>
    <row r="527" spans="8:11" ht="13.5" customHeight="1">
      <c r="H527" s="47"/>
      <c r="J527" s="47"/>
      <c r="K527" s="47"/>
    </row>
    <row r="528" spans="8:11" ht="13.5" customHeight="1">
      <c r="H528" s="47"/>
      <c r="J528" s="47"/>
      <c r="K528" s="47"/>
    </row>
    <row r="529" spans="8:11" ht="13.5" customHeight="1">
      <c r="H529" s="47"/>
      <c r="J529" s="47"/>
      <c r="K529" s="47"/>
    </row>
    <row r="530" spans="8:11" ht="13.5" customHeight="1">
      <c r="H530" s="47"/>
      <c r="J530" s="47"/>
      <c r="K530" s="47"/>
    </row>
    <row r="531" spans="8:11" ht="13.5" customHeight="1">
      <c r="H531" s="47"/>
      <c r="J531" s="47"/>
      <c r="K531" s="47"/>
    </row>
    <row r="532" spans="8:11" ht="13.5" customHeight="1">
      <c r="H532" s="47"/>
      <c r="J532" s="47"/>
      <c r="K532" s="47"/>
    </row>
    <row r="533" spans="8:11" ht="13.5" customHeight="1">
      <c r="H533" s="47"/>
      <c r="J533" s="47"/>
      <c r="K533" s="47"/>
    </row>
    <row r="534" spans="8:11" ht="13.5" customHeight="1">
      <c r="H534" s="47"/>
      <c r="J534" s="47"/>
      <c r="K534" s="47"/>
    </row>
    <row r="535" spans="8:11" ht="13.5" customHeight="1">
      <c r="H535" s="47"/>
      <c r="J535" s="47"/>
      <c r="K535" s="47"/>
    </row>
    <row r="536" spans="8:11" ht="13.5" customHeight="1">
      <c r="H536" s="47"/>
      <c r="J536" s="47"/>
      <c r="K536" s="47"/>
    </row>
    <row r="537" spans="8:11" ht="13.5" customHeight="1">
      <c r="H537" s="47"/>
      <c r="J537" s="47"/>
      <c r="K537" s="47"/>
    </row>
    <row r="538" spans="8:11" ht="13.5" customHeight="1">
      <c r="H538" s="47"/>
      <c r="J538" s="47"/>
      <c r="K538" s="47"/>
    </row>
    <row r="539" spans="8:11" ht="13.5" customHeight="1">
      <c r="H539" s="47"/>
      <c r="J539" s="47"/>
      <c r="K539" s="47"/>
    </row>
    <row r="540" spans="8:11" ht="13.5" customHeight="1">
      <c r="H540" s="47"/>
      <c r="J540" s="47"/>
      <c r="K540" s="47"/>
    </row>
    <row r="541" spans="8:11" ht="13.5" customHeight="1">
      <c r="H541" s="47"/>
      <c r="J541" s="47"/>
      <c r="K541" s="47"/>
    </row>
    <row r="542" spans="8:11" ht="13.5" customHeight="1">
      <c r="H542" s="47"/>
      <c r="J542" s="47"/>
      <c r="K542" s="47"/>
    </row>
    <row r="543" spans="8:11" ht="13.5" customHeight="1">
      <c r="H543" s="47"/>
      <c r="J543" s="47"/>
      <c r="K543" s="47"/>
    </row>
    <row r="544" spans="8:11" ht="13.5" customHeight="1">
      <c r="H544" s="47"/>
      <c r="J544" s="47"/>
      <c r="K544" s="47"/>
    </row>
    <row r="545" spans="8:11" ht="13.5" customHeight="1">
      <c r="H545" s="47"/>
      <c r="J545" s="47"/>
      <c r="K545" s="47"/>
    </row>
    <row r="546" spans="8:11" ht="13.5" customHeight="1">
      <c r="H546" s="47"/>
      <c r="J546" s="47"/>
      <c r="K546" s="47"/>
    </row>
    <row r="547" spans="8:11" ht="13.5" customHeight="1">
      <c r="H547" s="47"/>
      <c r="J547" s="47"/>
      <c r="K547" s="47"/>
    </row>
    <row r="548" spans="8:11" ht="13.5" customHeight="1">
      <c r="H548" s="47"/>
      <c r="J548" s="47"/>
      <c r="K548" s="47"/>
    </row>
    <row r="549" spans="8:11" ht="13.5" customHeight="1">
      <c r="H549" s="47"/>
      <c r="J549" s="47"/>
      <c r="K549" s="47"/>
    </row>
    <row r="550" spans="8:11" ht="13.5" customHeight="1">
      <c r="H550" s="47"/>
      <c r="J550" s="47"/>
      <c r="K550" s="47"/>
    </row>
    <row r="551" spans="8:11" ht="13.5" customHeight="1">
      <c r="H551" s="47"/>
      <c r="J551" s="47"/>
      <c r="K551" s="47"/>
    </row>
    <row r="552" spans="8:11" ht="13.5" customHeight="1">
      <c r="H552" s="47"/>
      <c r="J552" s="47"/>
      <c r="K552" s="47"/>
    </row>
    <row r="553" spans="8:11" ht="13.5" customHeight="1">
      <c r="H553" s="47"/>
      <c r="J553" s="47"/>
      <c r="K553" s="47"/>
    </row>
    <row r="554" spans="8:11" ht="13.5" customHeight="1">
      <c r="H554" s="47"/>
      <c r="J554" s="47"/>
      <c r="K554" s="47"/>
    </row>
    <row r="555" spans="8:11" ht="13.5" customHeight="1">
      <c r="H555" s="47"/>
      <c r="J555" s="47"/>
      <c r="K555" s="47"/>
    </row>
    <row r="556" spans="8:11" ht="13.5" customHeight="1">
      <c r="H556" s="47"/>
      <c r="J556" s="47"/>
      <c r="K556" s="47"/>
    </row>
    <row r="557" spans="8:11" ht="13.5" customHeight="1">
      <c r="H557" s="47"/>
      <c r="J557" s="47"/>
      <c r="K557" s="47"/>
    </row>
    <row r="558" spans="8:11" ht="13.5" customHeight="1">
      <c r="H558" s="47"/>
      <c r="J558" s="47"/>
      <c r="K558" s="47"/>
    </row>
    <row r="559" spans="8:11" ht="13.5" customHeight="1">
      <c r="H559" s="47"/>
      <c r="J559" s="47"/>
      <c r="K559" s="47"/>
    </row>
    <row r="560" spans="8:11" ht="13.5" customHeight="1">
      <c r="H560" s="47"/>
      <c r="J560" s="47"/>
      <c r="K560" s="47"/>
    </row>
    <row r="561" spans="8:11" ht="13.5" customHeight="1">
      <c r="H561" s="47"/>
      <c r="J561" s="47"/>
      <c r="K561" s="47"/>
    </row>
    <row r="562" spans="8:11" ht="13.5" customHeight="1">
      <c r="H562" s="47"/>
      <c r="J562" s="47"/>
      <c r="K562" s="47"/>
    </row>
    <row r="563" spans="8:11" ht="13.5" customHeight="1">
      <c r="H563" s="47"/>
      <c r="J563" s="47"/>
      <c r="K563" s="47"/>
    </row>
    <row r="564" spans="8:11" ht="13.5" customHeight="1">
      <c r="H564" s="47"/>
      <c r="J564" s="47"/>
      <c r="K564" s="47"/>
    </row>
    <row r="565" spans="8:11" ht="13.5" customHeight="1">
      <c r="H565" s="47"/>
      <c r="J565" s="47"/>
      <c r="K565" s="47"/>
    </row>
    <row r="566" spans="8:11" ht="13.5" customHeight="1">
      <c r="H566" s="47"/>
      <c r="J566" s="47"/>
      <c r="K566" s="47"/>
    </row>
    <row r="567" spans="8:11" ht="13.5" customHeight="1">
      <c r="H567" s="47"/>
      <c r="J567" s="47"/>
      <c r="K567" s="47"/>
    </row>
    <row r="568" spans="8:11" ht="13.5" customHeight="1">
      <c r="H568" s="47"/>
      <c r="J568" s="47"/>
      <c r="K568" s="47"/>
    </row>
    <row r="569" spans="8:11" ht="13.5" customHeight="1">
      <c r="H569" s="47"/>
      <c r="J569" s="47"/>
      <c r="K569" s="47"/>
    </row>
    <row r="570" spans="8:11" ht="13.5" customHeight="1">
      <c r="H570" s="47"/>
      <c r="J570" s="47"/>
      <c r="K570" s="47"/>
    </row>
    <row r="571" spans="8:11" ht="13.5" customHeight="1">
      <c r="H571" s="47"/>
      <c r="J571" s="47"/>
      <c r="K571" s="47"/>
    </row>
    <row r="572" spans="8:11" ht="13.5" customHeight="1">
      <c r="H572" s="47"/>
      <c r="J572" s="47"/>
      <c r="K572" s="47"/>
    </row>
    <row r="573" spans="8:11" ht="13.5" customHeight="1">
      <c r="H573" s="47"/>
      <c r="J573" s="47"/>
      <c r="K573" s="47"/>
    </row>
    <row r="574" spans="8:11" ht="13.5" customHeight="1">
      <c r="H574" s="47"/>
      <c r="J574" s="47"/>
      <c r="K574" s="47"/>
    </row>
    <row r="575" spans="8:11" ht="13.5" customHeight="1">
      <c r="H575" s="47"/>
      <c r="J575" s="47"/>
      <c r="K575" s="47"/>
    </row>
    <row r="576" spans="8:11" ht="13.5" customHeight="1">
      <c r="H576" s="47"/>
      <c r="J576" s="47"/>
      <c r="K576" s="47"/>
    </row>
    <row r="577" spans="8:11" ht="13.5" customHeight="1">
      <c r="H577" s="47"/>
      <c r="J577" s="47"/>
      <c r="K577" s="47"/>
    </row>
    <row r="578" spans="8:11" ht="13.5" customHeight="1">
      <c r="H578" s="47"/>
      <c r="J578" s="47"/>
      <c r="K578" s="47"/>
    </row>
    <row r="579" spans="8:11" ht="13.5" customHeight="1">
      <c r="H579" s="47"/>
      <c r="J579" s="47"/>
      <c r="K579" s="47"/>
    </row>
    <row r="580" spans="8:11" ht="13.5" customHeight="1">
      <c r="H580" s="47"/>
      <c r="J580" s="47"/>
      <c r="K580" s="47"/>
    </row>
    <row r="581" spans="8:11" ht="13.5" customHeight="1">
      <c r="H581" s="47"/>
      <c r="J581" s="47"/>
      <c r="K581" s="47"/>
    </row>
    <row r="582" spans="8:11" ht="13.5" customHeight="1">
      <c r="H582" s="47"/>
      <c r="J582" s="47"/>
      <c r="K582" s="47"/>
    </row>
    <row r="583" spans="8:11" ht="13.5" customHeight="1">
      <c r="H583" s="47"/>
      <c r="J583" s="47"/>
      <c r="K583" s="47"/>
    </row>
    <row r="584" spans="8:11" ht="13.5" customHeight="1">
      <c r="H584" s="47"/>
      <c r="J584" s="47"/>
      <c r="K584" s="47"/>
    </row>
    <row r="585" spans="8:11" ht="13.5" customHeight="1">
      <c r="H585" s="47"/>
      <c r="J585" s="47"/>
      <c r="K585" s="47"/>
    </row>
    <row r="586" spans="8:11" ht="13.5" customHeight="1">
      <c r="H586" s="47"/>
      <c r="J586" s="47"/>
      <c r="K586" s="47"/>
    </row>
    <row r="587" spans="8:11" ht="13.5" customHeight="1">
      <c r="H587" s="47"/>
      <c r="J587" s="47"/>
      <c r="K587" s="47"/>
    </row>
    <row r="588" spans="8:11" ht="13.5" customHeight="1">
      <c r="H588" s="47"/>
      <c r="J588" s="47"/>
      <c r="K588" s="47"/>
    </row>
    <row r="589" spans="8:11" ht="13.5" customHeight="1">
      <c r="H589" s="47"/>
      <c r="J589" s="47"/>
      <c r="K589" s="47"/>
    </row>
    <row r="590" spans="8:11" ht="13.5" customHeight="1">
      <c r="H590" s="47"/>
      <c r="J590" s="47"/>
      <c r="K590" s="47"/>
    </row>
    <row r="591" spans="8:11" ht="13.5" customHeight="1">
      <c r="H591" s="47"/>
      <c r="J591" s="47"/>
      <c r="K591" s="47"/>
    </row>
    <row r="592" spans="8:11" ht="13.5" customHeight="1">
      <c r="H592" s="47"/>
      <c r="J592" s="47"/>
      <c r="K592" s="47"/>
    </row>
    <row r="593" spans="8:11" ht="13.5" customHeight="1">
      <c r="H593" s="47"/>
      <c r="J593" s="47"/>
      <c r="K593" s="47"/>
    </row>
    <row r="594" spans="8:11" ht="13.5" customHeight="1">
      <c r="H594" s="47"/>
      <c r="J594" s="47"/>
      <c r="K594" s="47"/>
    </row>
    <row r="595" spans="8:11" ht="13.5" customHeight="1">
      <c r="H595" s="47"/>
      <c r="J595" s="47"/>
      <c r="K595" s="47"/>
    </row>
    <row r="596" spans="8:11" ht="13.5" customHeight="1">
      <c r="H596" s="47"/>
      <c r="J596" s="47"/>
      <c r="K596" s="47"/>
    </row>
    <row r="597" spans="8:11" ht="13.5" customHeight="1">
      <c r="H597" s="47"/>
      <c r="J597" s="47"/>
      <c r="K597" s="47"/>
    </row>
    <row r="598" spans="8:11" ht="13.5" customHeight="1">
      <c r="H598" s="47"/>
      <c r="J598" s="47"/>
      <c r="K598" s="47"/>
    </row>
    <row r="599" spans="8:11" ht="13.5" customHeight="1">
      <c r="H599" s="47"/>
      <c r="J599" s="47"/>
      <c r="K599" s="47"/>
    </row>
    <row r="600" spans="8:11" ht="13.5" customHeight="1">
      <c r="H600" s="47"/>
      <c r="J600" s="47"/>
      <c r="K600" s="47"/>
    </row>
    <row r="601" spans="8:11" ht="13.5" customHeight="1">
      <c r="H601" s="47"/>
      <c r="J601" s="47"/>
      <c r="K601" s="47"/>
    </row>
    <row r="602" spans="8:11" ht="13.5" customHeight="1">
      <c r="H602" s="47"/>
      <c r="J602" s="47"/>
      <c r="K602" s="47"/>
    </row>
    <row r="603" spans="8:11" ht="13.5" customHeight="1">
      <c r="H603" s="47"/>
      <c r="J603" s="47"/>
      <c r="K603" s="47"/>
    </row>
    <row r="604" spans="8:11" ht="13.5" customHeight="1">
      <c r="H604" s="47"/>
      <c r="J604" s="47"/>
      <c r="K604" s="47"/>
    </row>
    <row r="605" spans="8:11" ht="13.5" customHeight="1">
      <c r="H605" s="47"/>
      <c r="J605" s="47"/>
      <c r="K605" s="47"/>
    </row>
    <row r="606" spans="8:11" ht="13.5" customHeight="1">
      <c r="H606" s="47"/>
      <c r="J606" s="47"/>
      <c r="K606" s="47"/>
    </row>
    <row r="607" spans="8:11" ht="13.5" customHeight="1">
      <c r="H607" s="47"/>
      <c r="J607" s="47"/>
      <c r="K607" s="47"/>
    </row>
    <row r="608" spans="8:11" ht="13.5" customHeight="1">
      <c r="H608" s="47"/>
      <c r="J608" s="47"/>
      <c r="K608" s="47"/>
    </row>
    <row r="609" spans="8:11" ht="13.5" customHeight="1">
      <c r="H609" s="47"/>
      <c r="J609" s="47"/>
      <c r="K609" s="47"/>
    </row>
    <row r="610" spans="8:11" ht="13.5" customHeight="1">
      <c r="H610" s="47"/>
      <c r="J610" s="47"/>
      <c r="K610" s="47"/>
    </row>
    <row r="611" spans="8:11" ht="13.5" customHeight="1">
      <c r="H611" s="47"/>
      <c r="J611" s="47"/>
      <c r="K611" s="47"/>
    </row>
    <row r="612" spans="8:11" ht="13.5" customHeight="1">
      <c r="H612" s="47"/>
      <c r="J612" s="47"/>
      <c r="K612" s="47"/>
    </row>
    <row r="613" spans="8:11" ht="13.5" customHeight="1">
      <c r="H613" s="47"/>
      <c r="J613" s="47"/>
      <c r="K613" s="47"/>
    </row>
    <row r="614" spans="8:11" ht="13.5" customHeight="1">
      <c r="H614" s="47"/>
      <c r="J614" s="47"/>
      <c r="K614" s="47"/>
    </row>
    <row r="615" spans="8:11" ht="13.5" customHeight="1">
      <c r="H615" s="47"/>
      <c r="J615" s="47"/>
      <c r="K615" s="47"/>
    </row>
    <row r="616" spans="8:11" ht="13.5" customHeight="1">
      <c r="H616" s="47"/>
      <c r="J616" s="47"/>
      <c r="K616" s="47"/>
    </row>
    <row r="617" spans="8:11" ht="13.5" customHeight="1">
      <c r="H617" s="47"/>
      <c r="J617" s="47"/>
      <c r="K617" s="47"/>
    </row>
    <row r="618" spans="8:11" ht="13.5" customHeight="1">
      <c r="H618" s="47"/>
      <c r="J618" s="47"/>
      <c r="K618" s="47"/>
    </row>
    <row r="619" spans="8:11" ht="13.5" customHeight="1">
      <c r="H619" s="47"/>
      <c r="J619" s="47"/>
      <c r="K619" s="47"/>
    </row>
    <row r="620" spans="8:11" ht="13.5" customHeight="1">
      <c r="H620" s="47"/>
      <c r="J620" s="47"/>
      <c r="K620" s="47"/>
    </row>
    <row r="621" spans="8:11" ht="13.5" customHeight="1">
      <c r="H621" s="47"/>
      <c r="J621" s="47"/>
      <c r="K621" s="47"/>
    </row>
    <row r="622" spans="8:11" ht="13.5" customHeight="1">
      <c r="H622" s="47"/>
      <c r="J622" s="47"/>
      <c r="K622" s="47"/>
    </row>
    <row r="623" spans="8:11" ht="13.5" customHeight="1">
      <c r="H623" s="47"/>
      <c r="J623" s="47"/>
      <c r="K623" s="47"/>
    </row>
    <row r="624" spans="8:11" ht="13.5" customHeight="1">
      <c r="H624" s="47"/>
      <c r="J624" s="47"/>
      <c r="K624" s="47"/>
    </row>
    <row r="625" spans="8:11" ht="13.5" customHeight="1">
      <c r="H625" s="47"/>
      <c r="J625" s="47"/>
      <c r="K625" s="47"/>
    </row>
    <row r="626" spans="8:11" ht="13.5" customHeight="1">
      <c r="H626" s="47"/>
      <c r="J626" s="47"/>
      <c r="K626" s="47"/>
    </row>
    <row r="627" spans="8:11" ht="13.5" customHeight="1">
      <c r="H627" s="47"/>
      <c r="J627" s="47"/>
      <c r="K627" s="47"/>
    </row>
    <row r="628" spans="8:11" ht="13.5" customHeight="1">
      <c r="H628" s="47"/>
      <c r="J628" s="47"/>
      <c r="K628" s="47"/>
    </row>
    <row r="629" spans="8:11" ht="13.5" customHeight="1">
      <c r="H629" s="47"/>
      <c r="J629" s="47"/>
      <c r="K629" s="47"/>
    </row>
    <row r="630" spans="8:11" ht="13.5" customHeight="1">
      <c r="H630" s="47"/>
      <c r="J630" s="47"/>
      <c r="K630" s="47"/>
    </row>
    <row r="631" spans="8:11" ht="13.5" customHeight="1">
      <c r="H631" s="47"/>
      <c r="J631" s="47"/>
      <c r="K631" s="47"/>
    </row>
    <row r="632" spans="8:11" ht="13.5" customHeight="1">
      <c r="H632" s="47"/>
      <c r="J632" s="47"/>
      <c r="K632" s="47"/>
    </row>
    <row r="633" spans="8:11" ht="13.5" customHeight="1">
      <c r="H633" s="47"/>
      <c r="J633" s="47"/>
      <c r="K633" s="47"/>
    </row>
    <row r="634" spans="8:11" ht="13.5" customHeight="1">
      <c r="H634" s="47"/>
      <c r="J634" s="47"/>
      <c r="K634" s="47"/>
    </row>
    <row r="635" spans="8:11" ht="13.5" customHeight="1">
      <c r="H635" s="47"/>
      <c r="J635" s="47"/>
      <c r="K635" s="47"/>
    </row>
    <row r="636" spans="8:11" ht="13.5" customHeight="1">
      <c r="H636" s="47"/>
      <c r="J636" s="47"/>
      <c r="K636" s="47"/>
    </row>
    <row r="637" spans="8:11" ht="13.5" customHeight="1">
      <c r="H637" s="47"/>
      <c r="J637" s="47"/>
      <c r="K637" s="47"/>
    </row>
    <row r="638" spans="8:11" ht="13.5" customHeight="1">
      <c r="H638" s="47"/>
      <c r="J638" s="47"/>
      <c r="K638" s="47"/>
    </row>
    <row r="639" spans="8:11" ht="13.5" customHeight="1">
      <c r="H639" s="47"/>
      <c r="J639" s="47"/>
      <c r="K639" s="47"/>
    </row>
    <row r="640" spans="8:11" ht="13.5" customHeight="1">
      <c r="H640" s="47"/>
      <c r="J640" s="47"/>
      <c r="K640" s="47"/>
    </row>
    <row r="641" spans="8:11" ht="13.5" customHeight="1">
      <c r="H641" s="47"/>
      <c r="J641" s="47"/>
      <c r="K641" s="47"/>
    </row>
    <row r="642" spans="8:11" ht="13.5" customHeight="1">
      <c r="H642" s="47"/>
      <c r="J642" s="47"/>
      <c r="K642" s="47"/>
    </row>
    <row r="643" spans="8:11" ht="13.5" customHeight="1">
      <c r="H643" s="47"/>
      <c r="J643" s="47"/>
      <c r="K643" s="47"/>
    </row>
    <row r="644" spans="8:11" ht="13.5" customHeight="1">
      <c r="H644" s="47"/>
      <c r="J644" s="47"/>
      <c r="K644" s="47"/>
    </row>
    <row r="645" spans="8:11" ht="13.5" customHeight="1">
      <c r="H645" s="47"/>
      <c r="J645" s="47"/>
      <c r="K645" s="47"/>
    </row>
    <row r="646" spans="8:11" ht="13.5" customHeight="1">
      <c r="H646" s="47"/>
      <c r="J646" s="47"/>
      <c r="K646" s="47"/>
    </row>
    <row r="647" spans="8:11" ht="13.5" customHeight="1">
      <c r="H647" s="47"/>
      <c r="J647" s="47"/>
      <c r="K647" s="47"/>
    </row>
    <row r="648" spans="8:11" ht="13.5" customHeight="1">
      <c r="H648" s="47"/>
      <c r="J648" s="47"/>
      <c r="K648" s="47"/>
    </row>
    <row r="649" spans="8:11" ht="13.5" customHeight="1">
      <c r="H649" s="47"/>
      <c r="J649" s="47"/>
      <c r="K649" s="47"/>
    </row>
    <row r="650" spans="8:11" ht="13.5" customHeight="1">
      <c r="H650" s="47"/>
      <c r="J650" s="47"/>
      <c r="K650" s="47"/>
    </row>
    <row r="651" spans="8:11" ht="13.5" customHeight="1">
      <c r="H651" s="47"/>
      <c r="J651" s="47"/>
      <c r="K651" s="47"/>
    </row>
    <row r="652" spans="8:11" ht="13.5" customHeight="1">
      <c r="H652" s="47"/>
      <c r="J652" s="47"/>
      <c r="K652" s="47"/>
    </row>
    <row r="653" spans="8:11" ht="13.5" customHeight="1">
      <c r="H653" s="47"/>
      <c r="J653" s="47"/>
      <c r="K653" s="47"/>
    </row>
    <row r="654" spans="8:11" ht="13.5" customHeight="1">
      <c r="H654" s="47"/>
      <c r="J654" s="47"/>
      <c r="K654" s="47"/>
    </row>
    <row r="655" spans="8:11" ht="13.5" customHeight="1">
      <c r="H655" s="47"/>
      <c r="J655" s="47"/>
      <c r="K655" s="47"/>
    </row>
    <row r="656" spans="8:11" ht="13.5" customHeight="1">
      <c r="H656" s="47"/>
      <c r="J656" s="47"/>
      <c r="K656" s="47"/>
    </row>
    <row r="657" spans="8:11" ht="13.5" customHeight="1">
      <c r="H657" s="47"/>
      <c r="J657" s="47"/>
      <c r="K657" s="47"/>
    </row>
    <row r="658" spans="8:11" ht="13.5" customHeight="1">
      <c r="H658" s="47"/>
      <c r="J658" s="47"/>
      <c r="K658" s="47"/>
    </row>
    <row r="659" spans="8:11" ht="13.5" customHeight="1">
      <c r="H659" s="47"/>
      <c r="J659" s="47"/>
      <c r="K659" s="47"/>
    </row>
    <row r="660" spans="8:11" ht="13.5" customHeight="1">
      <c r="H660" s="47"/>
      <c r="J660" s="47"/>
      <c r="K660" s="47"/>
    </row>
    <row r="661" spans="8:11" ht="13.5" customHeight="1">
      <c r="H661" s="47"/>
      <c r="J661" s="47"/>
      <c r="K661" s="47"/>
    </row>
    <row r="662" spans="8:11" ht="13.5" customHeight="1">
      <c r="H662" s="47"/>
      <c r="J662" s="47"/>
      <c r="K662" s="47"/>
    </row>
    <row r="663" spans="8:11" ht="13.5" customHeight="1">
      <c r="H663" s="47"/>
      <c r="J663" s="47"/>
      <c r="K663" s="47"/>
    </row>
    <row r="664" spans="8:11" ht="13.5" customHeight="1">
      <c r="H664" s="47"/>
      <c r="J664" s="47"/>
      <c r="K664" s="47"/>
    </row>
    <row r="665" spans="8:11" ht="13.5" customHeight="1">
      <c r="H665" s="47"/>
      <c r="J665" s="47"/>
      <c r="K665" s="47"/>
    </row>
    <row r="666" spans="8:11" ht="13.5" customHeight="1">
      <c r="H666" s="47"/>
      <c r="J666" s="47"/>
      <c r="K666" s="47"/>
    </row>
    <row r="667" spans="8:11" ht="13.5" customHeight="1">
      <c r="H667" s="47"/>
      <c r="J667" s="47"/>
      <c r="K667" s="47"/>
    </row>
    <row r="668" spans="8:11" ht="13.5" customHeight="1">
      <c r="H668" s="47"/>
      <c r="J668" s="47"/>
      <c r="K668" s="47"/>
    </row>
    <row r="669" spans="8:11" ht="13.5" customHeight="1">
      <c r="H669" s="47"/>
      <c r="J669" s="47"/>
      <c r="K669" s="47"/>
    </row>
    <row r="670" spans="8:11" ht="13.5" customHeight="1">
      <c r="H670" s="47"/>
      <c r="J670" s="47"/>
      <c r="K670" s="47"/>
    </row>
    <row r="671" spans="8:11" ht="13.5" customHeight="1">
      <c r="H671" s="47"/>
      <c r="J671" s="47"/>
      <c r="K671" s="47"/>
    </row>
    <row r="672" spans="8:11" ht="13.5" customHeight="1">
      <c r="H672" s="47"/>
      <c r="J672" s="47"/>
      <c r="K672" s="47"/>
    </row>
    <row r="673" spans="8:11" ht="13.5" customHeight="1">
      <c r="H673" s="47"/>
      <c r="J673" s="47"/>
      <c r="K673" s="47"/>
    </row>
    <row r="674" spans="8:11" ht="13.5" customHeight="1">
      <c r="H674" s="47"/>
      <c r="J674" s="47"/>
      <c r="K674" s="47"/>
    </row>
    <row r="675" spans="8:11" ht="13.5" customHeight="1">
      <c r="H675" s="47"/>
      <c r="J675" s="47"/>
      <c r="K675" s="47"/>
    </row>
    <row r="676" spans="8:11" ht="13.5" customHeight="1">
      <c r="H676" s="47"/>
      <c r="J676" s="47"/>
      <c r="K676" s="47"/>
    </row>
    <row r="677" spans="8:11" ht="13.5" customHeight="1">
      <c r="H677" s="47"/>
      <c r="J677" s="47"/>
      <c r="K677" s="47"/>
    </row>
    <row r="678" spans="8:11" ht="13.5" customHeight="1">
      <c r="H678" s="47"/>
      <c r="J678" s="47"/>
      <c r="K678" s="47"/>
    </row>
    <row r="679" spans="8:11" ht="13.5" customHeight="1">
      <c r="H679" s="47"/>
      <c r="J679" s="47"/>
      <c r="K679" s="47"/>
    </row>
    <row r="680" spans="8:11" ht="13.5" customHeight="1">
      <c r="H680" s="47"/>
      <c r="J680" s="47"/>
      <c r="K680" s="47"/>
    </row>
    <row r="681" spans="8:11" ht="13.5" customHeight="1">
      <c r="H681" s="47"/>
      <c r="J681" s="47"/>
      <c r="K681" s="47"/>
    </row>
    <row r="682" spans="8:11" ht="13.5" customHeight="1">
      <c r="H682" s="47"/>
      <c r="J682" s="47"/>
      <c r="K682" s="47"/>
    </row>
    <row r="683" spans="8:11" ht="13.5" customHeight="1">
      <c r="H683" s="47"/>
      <c r="J683" s="47"/>
      <c r="K683" s="47"/>
    </row>
    <row r="684" spans="8:11" ht="13.5" customHeight="1">
      <c r="H684" s="47"/>
      <c r="J684" s="47"/>
      <c r="K684" s="47"/>
    </row>
    <row r="685" spans="8:11" ht="13.5" customHeight="1">
      <c r="H685" s="47"/>
      <c r="J685" s="47"/>
      <c r="K685" s="47"/>
    </row>
    <row r="686" spans="8:11" ht="13.5" customHeight="1">
      <c r="H686" s="47"/>
      <c r="J686" s="47"/>
      <c r="K686" s="47"/>
    </row>
    <row r="687" spans="8:11" ht="13.5" customHeight="1">
      <c r="H687" s="47"/>
      <c r="J687" s="47"/>
      <c r="K687" s="47"/>
    </row>
    <row r="688" spans="8:11" ht="13.5" customHeight="1">
      <c r="H688" s="47"/>
      <c r="J688" s="47"/>
      <c r="K688" s="47"/>
    </row>
    <row r="689" spans="8:11" ht="13.5" customHeight="1">
      <c r="H689" s="47"/>
      <c r="J689" s="47"/>
      <c r="K689" s="47"/>
    </row>
    <row r="690" spans="8:11" ht="13.5" customHeight="1">
      <c r="H690" s="47"/>
      <c r="J690" s="47"/>
      <c r="K690" s="47"/>
    </row>
    <row r="691" spans="8:11" ht="13.5" customHeight="1">
      <c r="H691" s="47"/>
      <c r="J691" s="47"/>
      <c r="K691" s="47"/>
    </row>
    <row r="692" spans="8:11" ht="13.5" customHeight="1">
      <c r="H692" s="47"/>
      <c r="J692" s="47"/>
      <c r="K692" s="47"/>
    </row>
    <row r="693" spans="8:11" ht="13.5" customHeight="1">
      <c r="H693" s="47"/>
      <c r="J693" s="47"/>
      <c r="K693" s="47"/>
    </row>
    <row r="694" spans="8:11" ht="13.5" customHeight="1">
      <c r="H694" s="47"/>
      <c r="J694" s="47"/>
      <c r="K694" s="47"/>
    </row>
    <row r="695" spans="8:11" ht="13.5" customHeight="1">
      <c r="H695" s="47"/>
      <c r="J695" s="47"/>
      <c r="K695" s="47"/>
    </row>
    <row r="696" spans="8:11" ht="13.5" customHeight="1">
      <c r="H696" s="47"/>
      <c r="J696" s="47"/>
      <c r="K696" s="47"/>
    </row>
    <row r="697" spans="8:11" ht="13.5" customHeight="1">
      <c r="H697" s="47"/>
      <c r="J697" s="47"/>
      <c r="K697" s="47"/>
    </row>
    <row r="698" spans="8:11" ht="13.5" customHeight="1">
      <c r="H698" s="47"/>
      <c r="J698" s="47"/>
      <c r="K698" s="47"/>
    </row>
    <row r="699" spans="8:11" ht="13.5" customHeight="1">
      <c r="H699" s="47"/>
      <c r="J699" s="47"/>
      <c r="K699" s="47"/>
    </row>
    <row r="700" spans="8:11" ht="13.5" customHeight="1">
      <c r="H700" s="47"/>
      <c r="J700" s="47"/>
      <c r="K700" s="47"/>
    </row>
    <row r="701" spans="8:11" ht="13.5" customHeight="1">
      <c r="H701" s="47"/>
      <c r="J701" s="47"/>
      <c r="K701" s="47"/>
    </row>
    <row r="702" spans="8:11" ht="13.5" customHeight="1">
      <c r="H702" s="47"/>
      <c r="J702" s="47"/>
      <c r="K702" s="47"/>
    </row>
    <row r="703" spans="8:11" ht="13.5" customHeight="1">
      <c r="H703" s="47"/>
      <c r="J703" s="47"/>
      <c r="K703" s="47"/>
    </row>
    <row r="704" spans="8:11" ht="13.5" customHeight="1">
      <c r="H704" s="47"/>
      <c r="J704" s="47"/>
      <c r="K704" s="47"/>
    </row>
    <row r="705" spans="8:11" ht="13.5" customHeight="1">
      <c r="H705" s="47"/>
      <c r="J705" s="47"/>
      <c r="K705" s="47"/>
    </row>
    <row r="706" spans="8:11" ht="13.5" customHeight="1">
      <c r="H706" s="47"/>
      <c r="J706" s="47"/>
      <c r="K706" s="47"/>
    </row>
    <row r="707" spans="8:11" ht="13.5" customHeight="1">
      <c r="H707" s="47"/>
      <c r="J707" s="47"/>
      <c r="K707" s="47"/>
    </row>
    <row r="708" spans="8:11" ht="13.5" customHeight="1">
      <c r="H708" s="47"/>
      <c r="J708" s="47"/>
      <c r="K708" s="47"/>
    </row>
    <row r="709" spans="8:11" ht="13.5" customHeight="1">
      <c r="H709" s="47"/>
      <c r="J709" s="47"/>
      <c r="K709" s="47"/>
    </row>
    <row r="710" spans="8:11" ht="13.5" customHeight="1">
      <c r="H710" s="47"/>
      <c r="J710" s="47"/>
      <c r="K710" s="47"/>
    </row>
    <row r="711" spans="8:11" ht="13.5" customHeight="1">
      <c r="H711" s="47"/>
      <c r="J711" s="47"/>
      <c r="K711" s="47"/>
    </row>
    <row r="712" spans="8:11" ht="13.5" customHeight="1">
      <c r="H712" s="47"/>
      <c r="J712" s="47"/>
      <c r="K712" s="47"/>
    </row>
    <row r="713" spans="8:11" ht="13.5" customHeight="1">
      <c r="H713" s="47"/>
      <c r="J713" s="47"/>
      <c r="K713" s="47"/>
    </row>
    <row r="714" spans="8:11" ht="13.5" customHeight="1">
      <c r="H714" s="47"/>
      <c r="J714" s="47"/>
      <c r="K714" s="47"/>
    </row>
    <row r="715" spans="8:11" ht="13.5" customHeight="1">
      <c r="H715" s="47"/>
      <c r="J715" s="47"/>
      <c r="K715" s="47"/>
    </row>
    <row r="716" spans="8:11" ht="13.5" customHeight="1">
      <c r="H716" s="47"/>
      <c r="J716" s="47"/>
      <c r="K716" s="47"/>
    </row>
    <row r="717" spans="8:11" ht="13.5" customHeight="1">
      <c r="H717" s="47"/>
      <c r="J717" s="47"/>
      <c r="K717" s="47"/>
    </row>
    <row r="718" spans="8:11" ht="13.5" customHeight="1">
      <c r="H718" s="47"/>
      <c r="J718" s="47"/>
      <c r="K718" s="47"/>
    </row>
    <row r="719" spans="8:11" ht="13.5" customHeight="1">
      <c r="H719" s="47"/>
      <c r="J719" s="47"/>
      <c r="K719" s="47"/>
    </row>
    <row r="720" spans="8:11" ht="13.5" customHeight="1">
      <c r="H720" s="47"/>
      <c r="J720" s="47"/>
      <c r="K720" s="47"/>
    </row>
    <row r="721" spans="8:11" ht="13.5" customHeight="1">
      <c r="H721" s="47"/>
      <c r="J721" s="47"/>
      <c r="K721" s="47"/>
    </row>
    <row r="722" spans="8:11" ht="13.5" customHeight="1">
      <c r="H722" s="47"/>
      <c r="J722" s="47"/>
      <c r="K722" s="47"/>
    </row>
    <row r="723" spans="8:11" ht="13.5" customHeight="1">
      <c r="H723" s="47"/>
      <c r="J723" s="47"/>
      <c r="K723" s="47"/>
    </row>
    <row r="724" spans="8:11" ht="13.5" customHeight="1">
      <c r="H724" s="47"/>
      <c r="J724" s="47"/>
      <c r="K724" s="47"/>
    </row>
    <row r="725" spans="8:11" ht="13.5" customHeight="1">
      <c r="H725" s="47"/>
      <c r="J725" s="47"/>
      <c r="K725" s="47"/>
    </row>
    <row r="726" spans="8:11" ht="13.5" customHeight="1">
      <c r="H726" s="47"/>
      <c r="J726" s="47"/>
      <c r="K726" s="47"/>
    </row>
    <row r="727" spans="8:11" ht="13.5" customHeight="1">
      <c r="H727" s="47"/>
      <c r="J727" s="47"/>
      <c r="K727" s="47"/>
    </row>
    <row r="728" spans="8:11" ht="13.5" customHeight="1">
      <c r="H728" s="47"/>
      <c r="J728" s="47"/>
      <c r="K728" s="47"/>
    </row>
    <row r="729" spans="8:11" ht="13.5" customHeight="1">
      <c r="H729" s="47"/>
      <c r="J729" s="47"/>
      <c r="K729" s="47"/>
    </row>
    <row r="730" spans="8:11" ht="13.5" customHeight="1">
      <c r="H730" s="47"/>
      <c r="J730" s="47"/>
      <c r="K730" s="47"/>
    </row>
    <row r="731" spans="8:11" ht="13.5" customHeight="1">
      <c r="H731" s="47"/>
      <c r="J731" s="47"/>
      <c r="K731" s="47"/>
    </row>
    <row r="732" spans="8:11" ht="13.5" customHeight="1">
      <c r="H732" s="47"/>
      <c r="J732" s="47"/>
      <c r="K732" s="47"/>
    </row>
    <row r="733" spans="8:11" ht="13.5" customHeight="1">
      <c r="H733" s="47"/>
      <c r="J733" s="47"/>
      <c r="K733" s="47"/>
    </row>
    <row r="734" spans="8:11" ht="13.5" customHeight="1">
      <c r="H734" s="47"/>
      <c r="J734" s="47"/>
      <c r="K734" s="47"/>
    </row>
    <row r="735" spans="8:11" ht="13.5" customHeight="1">
      <c r="H735" s="47"/>
      <c r="J735" s="47"/>
      <c r="K735" s="47"/>
    </row>
    <row r="736" spans="8:11" ht="13.5" customHeight="1">
      <c r="H736" s="47"/>
      <c r="J736" s="47"/>
      <c r="K736" s="47"/>
    </row>
    <row r="737" spans="8:11" ht="13.5" customHeight="1">
      <c r="H737" s="47"/>
      <c r="J737" s="47"/>
      <c r="K737" s="47"/>
    </row>
    <row r="738" spans="8:11" ht="13.5" customHeight="1">
      <c r="H738" s="47"/>
      <c r="J738" s="47"/>
      <c r="K738" s="47"/>
    </row>
    <row r="739" spans="8:11" ht="13.5" customHeight="1">
      <c r="H739" s="47"/>
      <c r="J739" s="47"/>
      <c r="K739" s="47"/>
    </row>
    <row r="740" spans="8:11" ht="13.5" customHeight="1">
      <c r="H740" s="47"/>
      <c r="J740" s="47"/>
      <c r="K740" s="47"/>
    </row>
    <row r="741" spans="8:11" ht="13.5" customHeight="1">
      <c r="H741" s="47"/>
      <c r="J741" s="47"/>
      <c r="K741" s="47"/>
    </row>
    <row r="742" spans="8:11" ht="13.5" customHeight="1">
      <c r="H742" s="47"/>
      <c r="J742" s="47"/>
      <c r="K742" s="47"/>
    </row>
    <row r="743" spans="8:11" ht="13.5" customHeight="1">
      <c r="H743" s="47"/>
      <c r="J743" s="47"/>
      <c r="K743" s="47"/>
    </row>
    <row r="744" spans="8:11" ht="13.5" customHeight="1">
      <c r="H744" s="47"/>
      <c r="J744" s="47"/>
      <c r="K744" s="47"/>
    </row>
    <row r="745" spans="8:11" ht="13.5" customHeight="1">
      <c r="H745" s="47"/>
      <c r="J745" s="47"/>
      <c r="K745" s="47"/>
    </row>
    <row r="746" spans="8:11" ht="13.5" customHeight="1">
      <c r="H746" s="47"/>
      <c r="J746" s="47"/>
      <c r="K746" s="47"/>
    </row>
    <row r="747" spans="8:11" ht="13.5" customHeight="1">
      <c r="H747" s="47"/>
      <c r="J747" s="47"/>
      <c r="K747" s="47"/>
    </row>
    <row r="748" spans="8:11" ht="13.5" customHeight="1">
      <c r="H748" s="47"/>
      <c r="J748" s="47"/>
      <c r="K748" s="47"/>
    </row>
    <row r="749" spans="8:11" ht="13.5" customHeight="1">
      <c r="H749" s="47"/>
      <c r="J749" s="47"/>
      <c r="K749" s="47"/>
    </row>
    <row r="750" spans="8:11" ht="13.5" customHeight="1">
      <c r="H750" s="47"/>
      <c r="J750" s="47"/>
      <c r="K750" s="47"/>
    </row>
    <row r="751" spans="8:11" ht="13.5" customHeight="1">
      <c r="H751" s="47"/>
      <c r="J751" s="47"/>
      <c r="K751" s="47"/>
    </row>
    <row r="752" spans="8:11" ht="13.5" customHeight="1">
      <c r="H752" s="47"/>
      <c r="J752" s="47"/>
      <c r="K752" s="47"/>
    </row>
    <row r="753" spans="8:11" ht="13.5" customHeight="1">
      <c r="H753" s="47"/>
      <c r="J753" s="47"/>
      <c r="K753" s="47"/>
    </row>
    <row r="754" spans="8:11" ht="13.5" customHeight="1">
      <c r="H754" s="47"/>
      <c r="J754" s="47"/>
      <c r="K754" s="47"/>
    </row>
    <row r="755" spans="8:11" ht="13.5" customHeight="1">
      <c r="H755" s="47"/>
      <c r="J755" s="47"/>
      <c r="K755" s="47"/>
    </row>
    <row r="756" spans="8:11" ht="13.5" customHeight="1">
      <c r="H756" s="47"/>
      <c r="J756" s="47"/>
      <c r="K756" s="47"/>
    </row>
    <row r="757" spans="8:11" ht="13.5" customHeight="1">
      <c r="H757" s="47"/>
      <c r="J757" s="47"/>
      <c r="K757" s="47"/>
    </row>
    <row r="758" spans="8:11" ht="13.5" customHeight="1">
      <c r="H758" s="47"/>
      <c r="J758" s="47"/>
      <c r="K758" s="47"/>
    </row>
    <row r="759" spans="8:11" ht="13.5" customHeight="1">
      <c r="H759" s="47"/>
      <c r="J759" s="47"/>
      <c r="K759" s="47"/>
    </row>
    <row r="760" spans="8:11" ht="13.5" customHeight="1">
      <c r="H760" s="47"/>
      <c r="J760" s="47"/>
      <c r="K760" s="47"/>
    </row>
    <row r="761" spans="8:11" ht="13.5" customHeight="1">
      <c r="H761" s="47"/>
      <c r="J761" s="47"/>
      <c r="K761" s="47"/>
    </row>
    <row r="762" spans="8:11" ht="13.5" customHeight="1">
      <c r="H762" s="47"/>
      <c r="J762" s="47"/>
      <c r="K762" s="47"/>
    </row>
    <row r="763" spans="8:11" ht="13.5" customHeight="1">
      <c r="H763" s="47"/>
      <c r="J763" s="47"/>
      <c r="K763" s="47"/>
    </row>
    <row r="764" spans="8:11" ht="13.5" customHeight="1">
      <c r="H764" s="47"/>
      <c r="J764" s="47"/>
      <c r="K764" s="47"/>
    </row>
    <row r="765" spans="8:11" ht="13.5" customHeight="1">
      <c r="H765" s="47"/>
      <c r="J765" s="47"/>
      <c r="K765" s="47"/>
    </row>
    <row r="766" spans="8:11" ht="13.5" customHeight="1">
      <c r="H766" s="47"/>
      <c r="J766" s="47"/>
      <c r="K766" s="47"/>
    </row>
    <row r="767" spans="8:11" ht="13.5" customHeight="1">
      <c r="H767" s="47"/>
      <c r="J767" s="47"/>
      <c r="K767" s="47"/>
    </row>
    <row r="768" spans="8:11" ht="13.5" customHeight="1">
      <c r="H768" s="47"/>
      <c r="J768" s="47"/>
      <c r="K768" s="47"/>
    </row>
    <row r="769" spans="8:11" ht="13.5" customHeight="1">
      <c r="H769" s="47"/>
      <c r="J769" s="47"/>
      <c r="K769" s="47"/>
    </row>
    <row r="770" spans="8:11" ht="13.5" customHeight="1">
      <c r="H770" s="47"/>
      <c r="J770" s="47"/>
      <c r="K770" s="47"/>
    </row>
    <row r="771" spans="8:11" ht="13.5" customHeight="1">
      <c r="H771" s="47"/>
      <c r="J771" s="47"/>
      <c r="K771" s="47"/>
    </row>
    <row r="772" spans="8:11" ht="13.5" customHeight="1">
      <c r="H772" s="47"/>
      <c r="J772" s="47"/>
      <c r="K772" s="47"/>
    </row>
    <row r="773" spans="8:11" ht="13.5" customHeight="1">
      <c r="H773" s="47"/>
      <c r="J773" s="47"/>
      <c r="K773" s="47"/>
    </row>
    <row r="774" spans="8:11" ht="13.5" customHeight="1">
      <c r="H774" s="47"/>
      <c r="J774" s="47"/>
      <c r="K774" s="47"/>
    </row>
    <row r="775" spans="8:11" ht="13.5" customHeight="1">
      <c r="H775" s="47"/>
      <c r="J775" s="47"/>
      <c r="K775" s="47"/>
    </row>
    <row r="776" spans="8:11" ht="13.5" customHeight="1">
      <c r="H776" s="47"/>
      <c r="J776" s="47"/>
      <c r="K776" s="47"/>
    </row>
    <row r="777" spans="8:11" ht="13.5" customHeight="1">
      <c r="H777" s="47"/>
      <c r="J777" s="47"/>
      <c r="K777" s="47"/>
    </row>
    <row r="778" spans="8:11" ht="13.5" customHeight="1">
      <c r="H778" s="47"/>
      <c r="J778" s="47"/>
      <c r="K778" s="47"/>
    </row>
    <row r="779" spans="8:11" ht="13.5" customHeight="1">
      <c r="H779" s="47"/>
      <c r="J779" s="47"/>
      <c r="K779" s="47"/>
    </row>
    <row r="780" spans="8:11" ht="13.5" customHeight="1">
      <c r="H780" s="47"/>
      <c r="J780" s="47"/>
      <c r="K780" s="47"/>
    </row>
    <row r="781" spans="8:11" ht="13.5" customHeight="1">
      <c r="H781" s="47"/>
      <c r="J781" s="47"/>
      <c r="K781" s="47"/>
    </row>
    <row r="782" spans="8:11" ht="13.5" customHeight="1">
      <c r="H782" s="47"/>
      <c r="J782" s="47"/>
      <c r="K782" s="47"/>
    </row>
    <row r="783" spans="8:11" ht="13.5" customHeight="1">
      <c r="H783" s="47"/>
      <c r="J783" s="47"/>
      <c r="K783" s="47"/>
    </row>
    <row r="784" spans="8:11" ht="13.5" customHeight="1">
      <c r="H784" s="47"/>
      <c r="J784" s="47"/>
      <c r="K784" s="47"/>
    </row>
    <row r="785" spans="8:11" ht="13.5" customHeight="1">
      <c r="H785" s="47"/>
      <c r="J785" s="47"/>
      <c r="K785" s="47"/>
    </row>
    <row r="786" spans="8:11" ht="13.5" customHeight="1">
      <c r="H786" s="47"/>
      <c r="J786" s="47"/>
      <c r="K786" s="47"/>
    </row>
    <row r="787" spans="8:11" ht="13.5" customHeight="1">
      <c r="H787" s="47"/>
      <c r="J787" s="47"/>
      <c r="K787" s="47"/>
    </row>
    <row r="788" spans="8:11" ht="13.5" customHeight="1">
      <c r="H788" s="47"/>
      <c r="J788" s="47"/>
      <c r="K788" s="47"/>
    </row>
    <row r="789" spans="8:11" ht="13.5" customHeight="1">
      <c r="H789" s="47"/>
      <c r="J789" s="47"/>
      <c r="K789" s="47"/>
    </row>
    <row r="790" spans="8:11" ht="13.5" customHeight="1">
      <c r="H790" s="47"/>
      <c r="J790" s="47"/>
      <c r="K790" s="47"/>
    </row>
    <row r="791" spans="8:11" ht="13.5" customHeight="1">
      <c r="H791" s="47"/>
      <c r="J791" s="47"/>
      <c r="K791" s="47"/>
    </row>
    <row r="792" spans="8:11" ht="13.5" customHeight="1">
      <c r="H792" s="47"/>
      <c r="J792" s="47"/>
      <c r="K792" s="47"/>
    </row>
    <row r="793" spans="8:11" ht="13.5" customHeight="1">
      <c r="H793" s="47"/>
      <c r="J793" s="47"/>
      <c r="K793" s="47"/>
    </row>
    <row r="794" spans="8:11" ht="13.5" customHeight="1">
      <c r="H794" s="47"/>
      <c r="J794" s="47"/>
      <c r="K794" s="47"/>
    </row>
    <row r="795" spans="8:11" ht="13.5" customHeight="1">
      <c r="H795" s="47"/>
      <c r="J795" s="47"/>
      <c r="K795" s="47"/>
    </row>
    <row r="796" spans="8:11" ht="13.5" customHeight="1">
      <c r="H796" s="47"/>
      <c r="J796" s="47"/>
      <c r="K796" s="47"/>
    </row>
    <row r="797" spans="8:11" ht="13.5" customHeight="1">
      <c r="H797" s="47"/>
      <c r="J797" s="47"/>
      <c r="K797" s="47"/>
    </row>
    <row r="798" spans="8:11" ht="13.5" customHeight="1">
      <c r="H798" s="47"/>
      <c r="J798" s="47"/>
      <c r="K798" s="47"/>
    </row>
    <row r="799" spans="8:11" ht="13.5" customHeight="1">
      <c r="H799" s="47"/>
      <c r="J799" s="47"/>
      <c r="K799" s="47"/>
    </row>
    <row r="800" spans="8:11" ht="13.5" customHeight="1">
      <c r="H800" s="47"/>
      <c r="J800" s="47"/>
      <c r="K800" s="47"/>
    </row>
    <row r="801" spans="8:11" ht="13.5" customHeight="1">
      <c r="H801" s="47"/>
      <c r="J801" s="47"/>
      <c r="K801" s="47"/>
    </row>
    <row r="802" spans="8:11" ht="13.5" customHeight="1">
      <c r="H802" s="47"/>
      <c r="J802" s="47"/>
      <c r="K802" s="47"/>
    </row>
    <row r="803" spans="8:11" ht="13.5" customHeight="1">
      <c r="H803" s="47"/>
      <c r="J803" s="47"/>
      <c r="K803" s="47"/>
    </row>
    <row r="804" spans="8:11" ht="13.5" customHeight="1">
      <c r="H804" s="47"/>
      <c r="J804" s="47"/>
      <c r="K804" s="47"/>
    </row>
    <row r="805" spans="8:11" ht="13.5" customHeight="1">
      <c r="H805" s="47"/>
      <c r="J805" s="47"/>
      <c r="K805" s="47"/>
    </row>
    <row r="806" spans="8:11" ht="13.5" customHeight="1">
      <c r="H806" s="47"/>
      <c r="J806" s="47"/>
      <c r="K806" s="47"/>
    </row>
    <row r="807" spans="8:11" ht="13.5" customHeight="1">
      <c r="H807" s="47"/>
      <c r="J807" s="47"/>
      <c r="K807" s="47"/>
    </row>
    <row r="808" spans="8:11" ht="13.5" customHeight="1">
      <c r="H808" s="47"/>
      <c r="J808" s="47"/>
      <c r="K808" s="47"/>
    </row>
    <row r="809" spans="8:11" ht="13.5" customHeight="1">
      <c r="H809" s="47"/>
      <c r="J809" s="47"/>
      <c r="K809" s="47"/>
    </row>
    <row r="810" spans="8:11" ht="13.5" customHeight="1">
      <c r="H810" s="47"/>
      <c r="J810" s="47"/>
      <c r="K810" s="47"/>
    </row>
    <row r="811" spans="8:11" ht="13.5" customHeight="1">
      <c r="H811" s="47"/>
      <c r="J811" s="47"/>
      <c r="K811" s="47"/>
    </row>
    <row r="812" spans="8:11" ht="13.5" customHeight="1">
      <c r="H812" s="47"/>
      <c r="J812" s="47"/>
      <c r="K812" s="47"/>
    </row>
    <row r="813" spans="8:11" ht="13.5" customHeight="1">
      <c r="H813" s="47"/>
      <c r="J813" s="47"/>
      <c r="K813" s="47"/>
    </row>
    <row r="814" spans="8:11" ht="13.5" customHeight="1">
      <c r="H814" s="47"/>
      <c r="J814" s="47"/>
      <c r="K814" s="47"/>
    </row>
    <row r="815" spans="8:11" ht="13.5" customHeight="1">
      <c r="H815" s="47"/>
      <c r="J815" s="47"/>
      <c r="K815" s="47"/>
    </row>
    <row r="816" spans="8:11" ht="13.5" customHeight="1">
      <c r="H816" s="47"/>
      <c r="J816" s="47"/>
      <c r="K816" s="47"/>
    </row>
    <row r="817" spans="8:11" ht="13.5" customHeight="1">
      <c r="H817" s="47"/>
      <c r="J817" s="47"/>
      <c r="K817" s="47"/>
    </row>
    <row r="818" spans="8:11" ht="13.5" customHeight="1">
      <c r="H818" s="47"/>
      <c r="J818" s="47"/>
      <c r="K818" s="47"/>
    </row>
    <row r="819" spans="8:11" ht="13.5" customHeight="1">
      <c r="H819" s="47"/>
      <c r="J819" s="47"/>
      <c r="K819" s="47"/>
    </row>
    <row r="820" spans="8:11" ht="13.5" customHeight="1">
      <c r="H820" s="47"/>
      <c r="J820" s="47"/>
      <c r="K820" s="47"/>
    </row>
    <row r="821" spans="8:11" ht="13.5" customHeight="1">
      <c r="H821" s="47"/>
      <c r="J821" s="47"/>
      <c r="K821" s="47"/>
    </row>
    <row r="822" spans="8:11" ht="13.5" customHeight="1">
      <c r="H822" s="47"/>
      <c r="J822" s="47"/>
      <c r="K822" s="47"/>
    </row>
    <row r="823" spans="8:11" ht="13.5" customHeight="1">
      <c r="H823" s="47"/>
      <c r="J823" s="47"/>
      <c r="K823" s="47"/>
    </row>
    <row r="824" spans="8:11" ht="13.5" customHeight="1">
      <c r="H824" s="47"/>
      <c r="J824" s="47"/>
      <c r="K824" s="47"/>
    </row>
    <row r="825" spans="8:11" ht="13.5" customHeight="1">
      <c r="H825" s="47"/>
      <c r="J825" s="47"/>
      <c r="K825" s="47"/>
    </row>
    <row r="826" spans="8:11" ht="13.5" customHeight="1">
      <c r="H826" s="47"/>
      <c r="J826" s="47"/>
      <c r="K826" s="47"/>
    </row>
    <row r="827" spans="8:11" ht="13.5" customHeight="1">
      <c r="H827" s="47"/>
      <c r="J827" s="47"/>
      <c r="K827" s="47"/>
    </row>
    <row r="828" spans="8:11" ht="13.5" customHeight="1">
      <c r="H828" s="47"/>
      <c r="J828" s="47"/>
      <c r="K828" s="47"/>
    </row>
    <row r="829" spans="8:11" ht="13.5" customHeight="1">
      <c r="H829" s="47"/>
      <c r="J829" s="47"/>
      <c r="K829" s="47"/>
    </row>
    <row r="830" spans="8:11" ht="13.5" customHeight="1">
      <c r="H830" s="47"/>
      <c r="J830" s="47"/>
      <c r="K830" s="47"/>
    </row>
    <row r="831" spans="8:11" ht="13.5" customHeight="1">
      <c r="H831" s="47"/>
      <c r="J831" s="47"/>
      <c r="K831" s="47"/>
    </row>
    <row r="832" spans="8:11" ht="13.5" customHeight="1">
      <c r="H832" s="47"/>
      <c r="J832" s="47"/>
      <c r="K832" s="47"/>
    </row>
    <row r="833" spans="8:11" ht="13.5" customHeight="1">
      <c r="H833" s="47"/>
      <c r="J833" s="47"/>
      <c r="K833" s="47"/>
    </row>
    <row r="834" spans="8:11" ht="13.5" customHeight="1">
      <c r="H834" s="47"/>
      <c r="J834" s="47"/>
      <c r="K834" s="47"/>
    </row>
    <row r="835" spans="8:11" ht="13.5" customHeight="1">
      <c r="H835" s="47"/>
      <c r="J835" s="47"/>
      <c r="K835" s="47"/>
    </row>
    <row r="836" spans="8:11" ht="13.5" customHeight="1">
      <c r="H836" s="47"/>
      <c r="J836" s="47"/>
      <c r="K836" s="47"/>
    </row>
    <row r="837" spans="8:11" ht="13.5" customHeight="1">
      <c r="H837" s="47"/>
      <c r="J837" s="47"/>
      <c r="K837" s="47"/>
    </row>
    <row r="838" spans="8:11" ht="13.5" customHeight="1">
      <c r="H838" s="47"/>
      <c r="J838" s="47"/>
      <c r="K838" s="47"/>
    </row>
    <row r="839" spans="8:11" ht="13.5" customHeight="1">
      <c r="H839" s="47"/>
      <c r="J839" s="47"/>
      <c r="K839" s="47"/>
    </row>
    <row r="840" spans="8:11" ht="13.5" customHeight="1">
      <c r="H840" s="47"/>
      <c r="J840" s="47"/>
      <c r="K840" s="47"/>
    </row>
    <row r="841" spans="8:11" ht="13.5" customHeight="1">
      <c r="H841" s="47"/>
      <c r="J841" s="47"/>
      <c r="K841" s="47"/>
    </row>
    <row r="842" spans="8:11" ht="13.5" customHeight="1">
      <c r="H842" s="47"/>
      <c r="J842" s="47"/>
      <c r="K842" s="47"/>
    </row>
    <row r="843" spans="8:11" ht="13.5" customHeight="1">
      <c r="H843" s="47"/>
      <c r="J843" s="47"/>
      <c r="K843" s="47"/>
    </row>
    <row r="844" spans="8:11" ht="13.5" customHeight="1">
      <c r="H844" s="47"/>
      <c r="J844" s="47"/>
      <c r="K844" s="47"/>
    </row>
    <row r="845" spans="8:11" ht="13.5" customHeight="1">
      <c r="H845" s="47"/>
      <c r="J845" s="47"/>
      <c r="K845" s="47"/>
    </row>
    <row r="846" spans="8:11" ht="13.5" customHeight="1">
      <c r="H846" s="47"/>
      <c r="J846" s="47"/>
      <c r="K846" s="47"/>
    </row>
    <row r="847" spans="8:11" ht="13.5" customHeight="1">
      <c r="H847" s="47"/>
      <c r="J847" s="47"/>
      <c r="K847" s="47"/>
    </row>
    <row r="848" spans="8:11" ht="13.5" customHeight="1">
      <c r="H848" s="47"/>
      <c r="J848" s="47"/>
      <c r="K848" s="47"/>
    </row>
    <row r="849" spans="8:11" ht="13.5" customHeight="1">
      <c r="H849" s="47"/>
      <c r="J849" s="47"/>
      <c r="K849" s="47"/>
    </row>
    <row r="850" spans="8:11" ht="13.5" customHeight="1">
      <c r="H850" s="47"/>
      <c r="J850" s="47"/>
      <c r="K850" s="47"/>
    </row>
    <row r="851" spans="8:11" ht="13.5" customHeight="1">
      <c r="H851" s="47"/>
      <c r="J851" s="47"/>
      <c r="K851" s="47"/>
    </row>
    <row r="852" spans="8:11" ht="13.5" customHeight="1">
      <c r="H852" s="47"/>
      <c r="J852" s="47"/>
      <c r="K852" s="47"/>
    </row>
    <row r="853" spans="8:11" ht="13.5" customHeight="1">
      <c r="H853" s="47"/>
      <c r="J853" s="47"/>
      <c r="K853" s="47"/>
    </row>
    <row r="854" spans="8:11" ht="13.5" customHeight="1">
      <c r="H854" s="47"/>
      <c r="J854" s="47"/>
      <c r="K854" s="47"/>
    </row>
    <row r="855" spans="8:11" ht="13.5" customHeight="1">
      <c r="H855" s="47"/>
      <c r="J855" s="47"/>
      <c r="K855" s="47"/>
    </row>
    <row r="856" spans="8:11" ht="13.5" customHeight="1">
      <c r="H856" s="47"/>
      <c r="J856" s="47"/>
      <c r="K856" s="47"/>
    </row>
    <row r="857" spans="8:11" ht="13.5" customHeight="1">
      <c r="H857" s="47"/>
      <c r="J857" s="47"/>
      <c r="K857" s="47"/>
    </row>
    <row r="858" spans="8:11" ht="13.5" customHeight="1">
      <c r="H858" s="47"/>
      <c r="J858" s="47"/>
      <c r="K858" s="47"/>
    </row>
    <row r="859" spans="8:11" ht="13.5" customHeight="1">
      <c r="H859" s="47"/>
      <c r="J859" s="47"/>
      <c r="K859" s="47"/>
    </row>
    <row r="860" spans="8:11" ht="13.5" customHeight="1">
      <c r="H860" s="47"/>
      <c r="J860" s="47"/>
      <c r="K860" s="47"/>
    </row>
    <row r="861" spans="8:11" ht="13.5" customHeight="1">
      <c r="H861" s="47"/>
      <c r="J861" s="47"/>
      <c r="K861" s="47"/>
    </row>
    <row r="862" spans="8:11" ht="13.5" customHeight="1">
      <c r="H862" s="47"/>
      <c r="J862" s="47"/>
      <c r="K862" s="47"/>
    </row>
    <row r="863" spans="8:11" ht="13.5" customHeight="1">
      <c r="H863" s="47"/>
      <c r="J863" s="47"/>
      <c r="K863" s="47"/>
    </row>
    <row r="864" spans="8:11" ht="13.5" customHeight="1">
      <c r="H864" s="47"/>
      <c r="J864" s="47"/>
      <c r="K864" s="47"/>
    </row>
    <row r="865" spans="8:11" ht="13.5" customHeight="1">
      <c r="H865" s="47"/>
      <c r="J865" s="47"/>
      <c r="K865" s="47"/>
    </row>
    <row r="866" spans="8:11" ht="13.5" customHeight="1">
      <c r="H866" s="47"/>
      <c r="J866" s="47"/>
      <c r="K866" s="47"/>
    </row>
    <row r="867" spans="8:11" ht="13.5" customHeight="1">
      <c r="H867" s="47"/>
      <c r="J867" s="47"/>
      <c r="K867" s="47"/>
    </row>
    <row r="868" spans="8:11" ht="13.5" customHeight="1">
      <c r="H868" s="47"/>
      <c r="J868" s="47"/>
      <c r="K868" s="47"/>
    </row>
    <row r="869" spans="8:11" ht="13.5" customHeight="1">
      <c r="H869" s="47"/>
      <c r="J869" s="47"/>
      <c r="K869" s="47"/>
    </row>
    <row r="870" spans="8:11" ht="13.5" customHeight="1">
      <c r="H870" s="47"/>
      <c r="J870" s="47"/>
      <c r="K870" s="47"/>
    </row>
    <row r="871" spans="8:11" ht="13.5" customHeight="1">
      <c r="H871" s="47"/>
      <c r="J871" s="47"/>
      <c r="K871" s="47"/>
    </row>
    <row r="872" spans="8:11" ht="13.5" customHeight="1">
      <c r="H872" s="47"/>
      <c r="J872" s="47"/>
      <c r="K872" s="47"/>
    </row>
    <row r="873" spans="8:11" ht="13.5" customHeight="1">
      <c r="H873" s="47"/>
      <c r="J873" s="47"/>
      <c r="K873" s="47"/>
    </row>
    <row r="874" spans="8:11" ht="13.5" customHeight="1">
      <c r="H874" s="47"/>
      <c r="J874" s="47"/>
      <c r="K874" s="47"/>
    </row>
    <row r="875" spans="8:11" ht="13.5" customHeight="1">
      <c r="H875" s="47"/>
      <c r="J875" s="47"/>
      <c r="K875" s="47"/>
    </row>
    <row r="876" spans="8:11" ht="13.5" customHeight="1">
      <c r="H876" s="47"/>
      <c r="J876" s="47"/>
      <c r="K876" s="47"/>
    </row>
    <row r="877" spans="8:11" ht="13.5" customHeight="1">
      <c r="H877" s="47"/>
      <c r="J877" s="47"/>
      <c r="K877" s="47"/>
    </row>
    <row r="878" spans="8:11" ht="13.5" customHeight="1">
      <c r="H878" s="47"/>
      <c r="J878" s="47"/>
      <c r="K878" s="47"/>
    </row>
    <row r="879" spans="8:11" ht="13.5" customHeight="1">
      <c r="H879" s="47"/>
      <c r="J879" s="47"/>
      <c r="K879" s="47"/>
    </row>
    <row r="880" spans="8:11" ht="13.5" customHeight="1">
      <c r="H880" s="47"/>
      <c r="J880" s="47"/>
      <c r="K880" s="47"/>
    </row>
    <row r="881" spans="8:11" ht="13.5" customHeight="1">
      <c r="H881" s="47"/>
      <c r="J881" s="47"/>
      <c r="K881" s="47"/>
    </row>
    <row r="882" spans="8:11" ht="13.5" customHeight="1">
      <c r="H882" s="47"/>
      <c r="J882" s="47"/>
      <c r="K882" s="47"/>
    </row>
    <row r="883" spans="8:11" ht="13.5" customHeight="1">
      <c r="H883" s="47"/>
      <c r="J883" s="47"/>
      <c r="K883" s="47"/>
    </row>
    <row r="884" spans="8:11" ht="13.5" customHeight="1">
      <c r="H884" s="47"/>
      <c r="J884" s="47"/>
      <c r="K884" s="47"/>
    </row>
    <row r="885" spans="8:11" ht="13.5" customHeight="1">
      <c r="H885" s="47"/>
      <c r="J885" s="47"/>
      <c r="K885" s="47"/>
    </row>
    <row r="886" spans="8:11" ht="13.5" customHeight="1">
      <c r="H886" s="47"/>
      <c r="J886" s="47"/>
      <c r="K886" s="47"/>
    </row>
    <row r="887" spans="8:11" ht="13.5" customHeight="1">
      <c r="H887" s="47"/>
      <c r="J887" s="47"/>
      <c r="K887" s="47"/>
    </row>
    <row r="888" spans="8:11" ht="13.5" customHeight="1">
      <c r="H888" s="47"/>
      <c r="J888" s="47"/>
      <c r="K888" s="47"/>
    </row>
    <row r="889" spans="8:11" ht="13.5" customHeight="1">
      <c r="H889" s="47"/>
      <c r="J889" s="47"/>
      <c r="K889" s="47"/>
    </row>
    <row r="890" spans="8:11" ht="13.5" customHeight="1">
      <c r="H890" s="47"/>
      <c r="J890" s="47"/>
      <c r="K890" s="47"/>
    </row>
    <row r="891" spans="8:11" ht="13.5" customHeight="1">
      <c r="H891" s="47"/>
      <c r="J891" s="47"/>
      <c r="K891" s="47"/>
    </row>
    <row r="892" spans="8:11" ht="13.5" customHeight="1">
      <c r="H892" s="47"/>
      <c r="J892" s="47"/>
      <c r="K892" s="47"/>
    </row>
    <row r="893" spans="8:11" ht="13.5" customHeight="1">
      <c r="H893" s="47"/>
      <c r="J893" s="47"/>
      <c r="K893" s="47"/>
    </row>
    <row r="894" spans="8:11" ht="13.5" customHeight="1">
      <c r="H894" s="47"/>
      <c r="J894" s="47"/>
      <c r="K894" s="47"/>
    </row>
    <row r="895" spans="8:11" ht="13.5" customHeight="1">
      <c r="H895" s="47"/>
      <c r="J895" s="47"/>
      <c r="K895" s="47"/>
    </row>
    <row r="896" spans="8:11" ht="13.5" customHeight="1">
      <c r="H896" s="47"/>
      <c r="J896" s="47"/>
      <c r="K896" s="47"/>
    </row>
    <row r="897" spans="8:11" ht="13.5" customHeight="1">
      <c r="H897" s="47"/>
      <c r="J897" s="47"/>
      <c r="K897" s="47"/>
    </row>
    <row r="898" spans="8:11" ht="13.5" customHeight="1">
      <c r="H898" s="47"/>
      <c r="J898" s="47"/>
      <c r="K898" s="47"/>
    </row>
    <row r="899" spans="8:11" ht="13.5" customHeight="1">
      <c r="H899" s="47"/>
      <c r="J899" s="47"/>
      <c r="K899" s="47"/>
    </row>
    <row r="900" spans="8:11" ht="13.5" customHeight="1">
      <c r="H900" s="47"/>
      <c r="J900" s="47"/>
      <c r="K900" s="47"/>
    </row>
    <row r="901" spans="8:11" ht="13.5" customHeight="1">
      <c r="H901" s="47"/>
      <c r="J901" s="47"/>
      <c r="K901" s="47"/>
    </row>
    <row r="902" spans="8:11" ht="13.5" customHeight="1">
      <c r="H902" s="47"/>
      <c r="J902" s="47"/>
      <c r="K902" s="47"/>
    </row>
    <row r="903" spans="8:11" ht="13.5" customHeight="1">
      <c r="H903" s="47"/>
      <c r="J903" s="47"/>
      <c r="K903" s="47"/>
    </row>
    <row r="904" spans="8:11" ht="13.5" customHeight="1">
      <c r="H904" s="47"/>
      <c r="J904" s="47"/>
      <c r="K904" s="47"/>
    </row>
    <row r="905" spans="8:11" ht="13.5" customHeight="1">
      <c r="H905" s="47"/>
      <c r="J905" s="47"/>
      <c r="K905" s="47"/>
    </row>
    <row r="906" spans="8:11" ht="13.5" customHeight="1">
      <c r="H906" s="47"/>
      <c r="J906" s="47"/>
      <c r="K906" s="47"/>
    </row>
    <row r="907" spans="8:11" ht="13.5" customHeight="1">
      <c r="H907" s="47"/>
      <c r="J907" s="47"/>
      <c r="K907" s="47"/>
    </row>
    <row r="908" spans="8:11" ht="13.5" customHeight="1">
      <c r="H908" s="47"/>
      <c r="J908" s="47"/>
      <c r="K908" s="47"/>
    </row>
    <row r="909" spans="8:11" ht="13.5" customHeight="1">
      <c r="H909" s="47"/>
      <c r="J909" s="47"/>
      <c r="K909" s="47"/>
    </row>
    <row r="910" spans="8:11" ht="13.5" customHeight="1">
      <c r="H910" s="47"/>
      <c r="J910" s="47"/>
      <c r="K910" s="47"/>
    </row>
    <row r="911" spans="8:11" ht="13.5" customHeight="1">
      <c r="H911" s="47"/>
      <c r="J911" s="47"/>
      <c r="K911" s="47"/>
    </row>
    <row r="912" spans="8:11" ht="13.5" customHeight="1">
      <c r="H912" s="47"/>
      <c r="J912" s="47"/>
      <c r="K912" s="47"/>
    </row>
    <row r="913" spans="8:11" ht="13.5" customHeight="1">
      <c r="H913" s="47"/>
      <c r="J913" s="47"/>
      <c r="K913" s="47"/>
    </row>
    <row r="914" spans="8:11" ht="13.5" customHeight="1">
      <c r="H914" s="47"/>
      <c r="J914" s="47"/>
      <c r="K914" s="47"/>
    </row>
    <row r="915" spans="8:11" ht="13.5" customHeight="1">
      <c r="H915" s="47"/>
      <c r="J915" s="47"/>
      <c r="K915" s="47"/>
    </row>
    <row r="916" spans="8:11" ht="13.5" customHeight="1">
      <c r="H916" s="47"/>
      <c r="J916" s="47"/>
      <c r="K916" s="47"/>
    </row>
    <row r="917" spans="8:11" ht="13.5" customHeight="1">
      <c r="H917" s="47"/>
      <c r="J917" s="47"/>
      <c r="K917" s="47"/>
    </row>
    <row r="918" spans="8:11" ht="13.5" customHeight="1">
      <c r="H918" s="47"/>
      <c r="J918" s="47"/>
      <c r="K918" s="47"/>
    </row>
    <row r="919" spans="8:11" ht="13.5" customHeight="1">
      <c r="H919" s="47"/>
      <c r="J919" s="47"/>
      <c r="K919" s="47"/>
    </row>
    <row r="920" spans="8:11" ht="13.5" customHeight="1">
      <c r="H920" s="47"/>
      <c r="J920" s="47"/>
      <c r="K920" s="47"/>
    </row>
    <row r="921" spans="8:11" ht="13.5" customHeight="1">
      <c r="H921" s="47"/>
      <c r="J921" s="47"/>
      <c r="K921" s="47"/>
    </row>
    <row r="922" spans="8:11" ht="13.5" customHeight="1">
      <c r="H922" s="47"/>
      <c r="J922" s="47"/>
      <c r="K922" s="47"/>
    </row>
    <row r="923" spans="8:11" ht="13.5" customHeight="1">
      <c r="H923" s="47"/>
      <c r="J923" s="47"/>
      <c r="K923" s="47"/>
    </row>
    <row r="924" spans="8:11" ht="13.5" customHeight="1">
      <c r="H924" s="47"/>
      <c r="J924" s="47"/>
      <c r="K924" s="47"/>
    </row>
    <row r="925" spans="8:11" ht="13.5" customHeight="1">
      <c r="H925" s="47"/>
      <c r="J925" s="47"/>
      <c r="K925" s="47"/>
    </row>
    <row r="926" spans="8:11" ht="13.5" customHeight="1">
      <c r="H926" s="47"/>
      <c r="J926" s="47"/>
      <c r="K926" s="47"/>
    </row>
    <row r="927" spans="8:11" ht="13.5" customHeight="1">
      <c r="H927" s="47"/>
      <c r="J927" s="47"/>
      <c r="K927" s="47"/>
    </row>
    <row r="928" spans="8:11" ht="13.5" customHeight="1">
      <c r="H928" s="47"/>
      <c r="J928" s="47"/>
      <c r="K928" s="47"/>
    </row>
    <row r="929" spans="8:11" ht="13.5" customHeight="1">
      <c r="H929" s="47"/>
      <c r="J929" s="47"/>
      <c r="K929" s="47"/>
    </row>
    <row r="930" spans="8:11" ht="13.5" customHeight="1">
      <c r="H930" s="47"/>
      <c r="J930" s="47"/>
      <c r="K930" s="47"/>
    </row>
    <row r="931" spans="8:11" ht="13.5" customHeight="1">
      <c r="H931" s="47"/>
      <c r="J931" s="47"/>
      <c r="K931" s="47"/>
    </row>
    <row r="932" spans="8:11" ht="13.5" customHeight="1">
      <c r="H932" s="47"/>
      <c r="J932" s="47"/>
      <c r="K932" s="47"/>
    </row>
    <row r="933" spans="8:11" ht="13.5" customHeight="1">
      <c r="H933" s="47"/>
      <c r="J933" s="47"/>
      <c r="K933" s="47"/>
    </row>
    <row r="934" spans="8:11" ht="13.5" customHeight="1">
      <c r="H934" s="47"/>
      <c r="J934" s="47"/>
      <c r="K934" s="47"/>
    </row>
    <row r="935" spans="8:11" ht="13.5" customHeight="1">
      <c r="H935" s="47"/>
      <c r="J935" s="47"/>
      <c r="K935" s="47"/>
    </row>
    <row r="936" spans="8:11" ht="13.5" customHeight="1">
      <c r="H936" s="47"/>
      <c r="J936" s="47"/>
      <c r="K936" s="47"/>
    </row>
    <row r="937" spans="8:11" ht="13.5" customHeight="1">
      <c r="H937" s="47"/>
      <c r="J937" s="47"/>
      <c r="K937" s="47"/>
    </row>
    <row r="938" spans="8:11" ht="13.5" customHeight="1">
      <c r="H938" s="47"/>
      <c r="J938" s="47"/>
      <c r="K938" s="47"/>
    </row>
    <row r="939" spans="8:11" ht="13.5" customHeight="1">
      <c r="H939" s="47"/>
      <c r="J939" s="47"/>
      <c r="K939" s="47"/>
    </row>
    <row r="940" spans="8:11" ht="13.5" customHeight="1">
      <c r="H940" s="47"/>
      <c r="J940" s="47"/>
      <c r="K940" s="47"/>
    </row>
    <row r="941" spans="8:11" ht="13.5" customHeight="1">
      <c r="H941" s="47"/>
      <c r="J941" s="47"/>
      <c r="K941" s="47"/>
    </row>
    <row r="942" spans="8:11" ht="13.5" customHeight="1">
      <c r="H942" s="47"/>
      <c r="J942" s="47"/>
      <c r="K942" s="47"/>
    </row>
    <row r="943" spans="8:11" ht="13.5" customHeight="1">
      <c r="H943" s="47"/>
      <c r="J943" s="47"/>
      <c r="K943" s="47"/>
    </row>
    <row r="944" spans="8:11" ht="13.5" customHeight="1">
      <c r="H944" s="47"/>
      <c r="J944" s="47"/>
      <c r="K944" s="47"/>
    </row>
    <row r="945" spans="8:11" ht="13.5" customHeight="1">
      <c r="H945" s="47"/>
      <c r="J945" s="47"/>
      <c r="K945" s="47"/>
    </row>
    <row r="946" spans="8:11" ht="13.5" customHeight="1">
      <c r="H946" s="47"/>
      <c r="J946" s="47"/>
      <c r="K946" s="47"/>
    </row>
    <row r="947" spans="8:11" ht="13.5" customHeight="1">
      <c r="H947" s="47"/>
      <c r="J947" s="47"/>
      <c r="K947" s="47"/>
    </row>
    <row r="948" spans="8:11" ht="13.5" customHeight="1">
      <c r="H948" s="47"/>
      <c r="J948" s="47"/>
      <c r="K948" s="47"/>
    </row>
    <row r="949" spans="8:11" ht="13.5" customHeight="1">
      <c r="H949" s="47"/>
      <c r="J949" s="47"/>
      <c r="K949" s="47"/>
    </row>
    <row r="950" spans="8:11" ht="13.5" customHeight="1">
      <c r="H950" s="47"/>
      <c r="J950" s="47"/>
      <c r="K950" s="47"/>
    </row>
    <row r="951" spans="8:11" ht="13.5" customHeight="1">
      <c r="H951" s="47"/>
      <c r="J951" s="47"/>
      <c r="K951" s="47"/>
    </row>
    <row r="952" spans="8:11" ht="13.5" customHeight="1">
      <c r="H952" s="47"/>
      <c r="J952" s="47"/>
      <c r="K952" s="47"/>
    </row>
    <row r="953" spans="8:11" ht="13.5" customHeight="1">
      <c r="H953" s="47"/>
      <c r="J953" s="47"/>
      <c r="K953" s="47"/>
    </row>
    <row r="954" spans="8:11" ht="13.5" customHeight="1">
      <c r="H954" s="47"/>
      <c r="J954" s="47"/>
      <c r="K954" s="47"/>
    </row>
    <row r="955" spans="8:11" ht="13.5" customHeight="1">
      <c r="H955" s="47"/>
      <c r="J955" s="47"/>
      <c r="K955" s="47"/>
    </row>
    <row r="956" spans="8:11" ht="13.5" customHeight="1">
      <c r="H956" s="47"/>
      <c r="J956" s="47"/>
      <c r="K956" s="47"/>
    </row>
    <row r="957" spans="8:11" ht="13.5" customHeight="1">
      <c r="H957" s="47"/>
      <c r="J957" s="47"/>
      <c r="K957" s="47"/>
    </row>
    <row r="958" spans="8:11" ht="13.5" customHeight="1">
      <c r="H958" s="47"/>
      <c r="J958" s="47"/>
      <c r="K958" s="47"/>
    </row>
    <row r="959" spans="8:11" ht="13.5" customHeight="1">
      <c r="H959" s="47"/>
      <c r="J959" s="47"/>
      <c r="K959" s="47"/>
    </row>
    <row r="960" spans="8:11" ht="13.5" customHeight="1">
      <c r="H960" s="47"/>
      <c r="J960" s="47"/>
      <c r="K960" s="47"/>
    </row>
    <row r="961" spans="8:11" ht="13.5" customHeight="1">
      <c r="H961" s="47"/>
      <c r="J961" s="47"/>
      <c r="K961" s="47"/>
    </row>
    <row r="962" spans="8:11" ht="13.5" customHeight="1">
      <c r="H962" s="47"/>
      <c r="J962" s="47"/>
      <c r="K962" s="47"/>
    </row>
    <row r="963" spans="8:11" ht="13.5" customHeight="1">
      <c r="H963" s="47"/>
      <c r="J963" s="47"/>
      <c r="K963" s="47"/>
    </row>
    <row r="964" spans="8:11" ht="13.5" customHeight="1">
      <c r="H964" s="47"/>
      <c r="J964" s="47"/>
      <c r="K964" s="47"/>
    </row>
    <row r="965" spans="8:11" ht="13.5" customHeight="1">
      <c r="H965" s="47"/>
      <c r="J965" s="47"/>
      <c r="K965" s="47"/>
    </row>
    <row r="966" spans="8:11" ht="13.5" customHeight="1">
      <c r="H966" s="47"/>
      <c r="J966" s="47"/>
      <c r="K966" s="47"/>
    </row>
    <row r="967" spans="8:11" ht="13.5" customHeight="1">
      <c r="H967" s="47"/>
      <c r="J967" s="47"/>
      <c r="K967" s="47"/>
    </row>
    <row r="968" spans="8:11" ht="13.5" customHeight="1">
      <c r="H968" s="47"/>
      <c r="J968" s="47"/>
      <c r="K968" s="47"/>
    </row>
    <row r="969" spans="8:11" ht="13.5" customHeight="1">
      <c r="H969" s="47"/>
      <c r="J969" s="47"/>
      <c r="K969" s="47"/>
    </row>
    <row r="970" spans="8:11" ht="13.5" customHeight="1">
      <c r="H970" s="47"/>
      <c r="J970" s="47"/>
      <c r="K970" s="47"/>
    </row>
    <row r="971" spans="8:11" ht="13.5" customHeight="1">
      <c r="H971" s="47"/>
      <c r="J971" s="47"/>
      <c r="K971" s="47"/>
    </row>
    <row r="972" spans="8:11" ht="13.5" customHeight="1">
      <c r="H972" s="47"/>
      <c r="J972" s="47"/>
      <c r="K972" s="47"/>
    </row>
    <row r="973" spans="8:11" ht="13.5" customHeight="1">
      <c r="H973" s="47"/>
      <c r="J973" s="47"/>
      <c r="K973" s="47"/>
    </row>
    <row r="974" spans="8:11" ht="13.5" customHeight="1">
      <c r="H974" s="47"/>
      <c r="J974" s="47"/>
      <c r="K974" s="47"/>
    </row>
    <row r="975" spans="8:11" ht="13.5" customHeight="1">
      <c r="H975" s="47"/>
      <c r="J975" s="47"/>
      <c r="K975" s="47"/>
    </row>
    <row r="976" spans="8:11" ht="13.5" customHeight="1">
      <c r="H976" s="47"/>
      <c r="J976" s="47"/>
      <c r="K976" s="47"/>
    </row>
    <row r="977" spans="8:11" ht="13.5" customHeight="1">
      <c r="H977" s="47"/>
      <c r="J977" s="47"/>
      <c r="K977" s="47"/>
    </row>
    <row r="978" spans="8:11" ht="13.5" customHeight="1">
      <c r="H978" s="47"/>
      <c r="J978" s="47"/>
      <c r="K978" s="47"/>
    </row>
    <row r="979" spans="8:11" ht="13.5" customHeight="1">
      <c r="H979" s="47"/>
      <c r="J979" s="47"/>
      <c r="K979" s="47"/>
    </row>
    <row r="980" spans="8:11" ht="13.5" customHeight="1">
      <c r="H980" s="47"/>
      <c r="J980" s="47"/>
      <c r="K980" s="47"/>
    </row>
    <row r="981" spans="8:11" ht="13.5" customHeight="1">
      <c r="H981" s="47"/>
      <c r="J981" s="47"/>
      <c r="K981" s="47"/>
    </row>
    <row r="982" spans="8:11" ht="13.5" customHeight="1">
      <c r="H982" s="47"/>
      <c r="J982" s="47"/>
      <c r="K982" s="47"/>
    </row>
    <row r="983" spans="8:11" ht="13.5" customHeight="1">
      <c r="H983" s="47"/>
      <c r="J983" s="47"/>
      <c r="K983" s="47"/>
    </row>
    <row r="984" spans="8:11" ht="13.5" customHeight="1">
      <c r="H984" s="47"/>
      <c r="J984" s="47"/>
      <c r="K984" s="47"/>
    </row>
    <row r="985" spans="8:11" ht="13.5" customHeight="1">
      <c r="H985" s="47"/>
      <c r="J985" s="47"/>
      <c r="K985" s="47"/>
    </row>
    <row r="986" spans="8:11" ht="13.5" customHeight="1">
      <c r="H986" s="47"/>
      <c r="J986" s="47"/>
      <c r="K986" s="47"/>
    </row>
    <row r="987" spans="8:11" ht="13.5" customHeight="1">
      <c r="H987" s="47"/>
      <c r="J987" s="47"/>
      <c r="K987" s="47"/>
    </row>
    <row r="988" spans="8:11" ht="13.5" customHeight="1">
      <c r="H988" s="47"/>
      <c r="J988" s="47"/>
      <c r="K988" s="47"/>
    </row>
    <row r="989" spans="8:11" ht="13.5" customHeight="1">
      <c r="H989" s="47"/>
      <c r="J989" s="47"/>
      <c r="K989" s="47"/>
    </row>
    <row r="990" spans="8:11" ht="13.5" customHeight="1">
      <c r="H990" s="47"/>
      <c r="J990" s="47"/>
      <c r="K990" s="47"/>
    </row>
    <row r="991" spans="8:11" ht="13.5" customHeight="1">
      <c r="H991" s="47"/>
      <c r="J991" s="47"/>
      <c r="K991" s="47"/>
    </row>
    <row r="992" spans="8:11" ht="13.5" customHeight="1">
      <c r="H992" s="47"/>
      <c r="J992" s="47"/>
      <c r="K992" s="47"/>
    </row>
    <row r="993" spans="8:11" ht="13.5" customHeight="1">
      <c r="H993" s="47"/>
      <c r="J993" s="47"/>
      <c r="K993" s="47"/>
    </row>
    <row r="994" spans="8:11" ht="13.5" customHeight="1">
      <c r="H994" s="47"/>
      <c r="J994" s="47"/>
      <c r="K994" s="47"/>
    </row>
    <row r="995" spans="8:11" ht="13.5" customHeight="1">
      <c r="H995" s="47"/>
      <c r="J995" s="47"/>
      <c r="K995" s="47"/>
    </row>
    <row r="996" spans="8:11" ht="13.5" customHeight="1">
      <c r="H996" s="47"/>
      <c r="J996" s="47"/>
      <c r="K996" s="47"/>
    </row>
    <row r="997" spans="8:11" ht="13.5" customHeight="1">
      <c r="H997" s="47"/>
      <c r="J997" s="47"/>
      <c r="K997" s="47"/>
    </row>
    <row r="998" spans="8:11" ht="13.5" customHeight="1">
      <c r="H998" s="47"/>
      <c r="J998" s="47"/>
      <c r="K998" s="47"/>
    </row>
    <row r="999" spans="8:11" ht="13.5" customHeight="1">
      <c r="H999" s="47"/>
      <c r="J999" s="47"/>
      <c r="K999" s="47"/>
    </row>
    <row r="1000" spans="8:11" ht="13.5" customHeight="1">
      <c r="H1000" s="47"/>
      <c r="J1000" s="47"/>
      <c r="K1000" s="47"/>
    </row>
    <row r="1001" spans="8:11" ht="13.5" customHeight="1">
      <c r="H1001" s="47"/>
      <c r="J1001" s="47"/>
      <c r="K1001" s="47"/>
    </row>
    <row r="1002" spans="8:11" ht="13.5" customHeight="1">
      <c r="H1002" s="47"/>
      <c r="J1002" s="47"/>
      <c r="K1002" s="47"/>
    </row>
    <row r="1003" spans="8:11" ht="13.5" customHeight="1">
      <c r="H1003" s="47"/>
      <c r="J1003" s="47"/>
      <c r="K1003" s="47"/>
    </row>
    <row r="1004" spans="8:11" ht="13.5" customHeight="1">
      <c r="H1004" s="47"/>
      <c r="J1004" s="47"/>
      <c r="K1004" s="47"/>
    </row>
    <row r="1005" spans="8:11" ht="13.5" customHeight="1">
      <c r="H1005" s="47"/>
      <c r="J1005" s="47"/>
      <c r="K1005" s="47"/>
    </row>
    <row r="1006" spans="8:11" ht="13.5" customHeight="1">
      <c r="H1006" s="47"/>
      <c r="J1006" s="47"/>
      <c r="K1006" s="47"/>
    </row>
    <row r="1007" spans="8:11" ht="13.5" customHeight="1">
      <c r="H1007" s="47"/>
      <c r="J1007" s="47"/>
      <c r="K1007" s="47"/>
    </row>
    <row r="1008" spans="8:11" ht="13.5" customHeight="1">
      <c r="H1008" s="47"/>
      <c r="J1008" s="47"/>
      <c r="K1008" s="47"/>
    </row>
    <row r="1009" spans="8:11" ht="13.5" customHeight="1">
      <c r="H1009" s="47"/>
      <c r="J1009" s="47"/>
      <c r="K1009" s="47"/>
    </row>
  </sheetData>
  <autoFilter ref="A1:Q67"/>
  <dataValidations count="2">
    <dataValidation type="list" allowBlank="1" showErrorMessage="1" sqref="D62">
      <formula1>"Assistant Professor,Assistant Professor ,Associate Professor,Associate Professor ,Designation,Professor"</formula1>
    </dataValidation>
    <dataValidation type="list" allowBlank="1" showErrorMessage="1" sqref="E2:E65 E67:E68">
      <formula1>#REF!</formula1>
    </dataValidation>
  </dataValidations>
  <hyperlinks>
    <hyperlink ref="O2" r:id="rId1"/>
    <hyperlink ref="O4" r:id="rId2"/>
    <hyperlink ref="O5" r:id="rId3"/>
    <hyperlink ref="O6" r:id="rId4"/>
    <hyperlink ref="O7" r:id="rId5"/>
    <hyperlink ref="O8" r:id="rId6"/>
    <hyperlink ref="O9" r:id="rId7"/>
    <hyperlink ref="O10" r:id="rId8"/>
    <hyperlink ref="O11" r:id="rId9"/>
    <hyperlink ref="O12" r:id="rId10"/>
    <hyperlink ref="O13" r:id="rId11"/>
    <hyperlink ref="O14" r:id="rId12"/>
    <hyperlink ref="O15" r:id="rId13"/>
    <hyperlink ref="O16" r:id="rId14"/>
    <hyperlink ref="O17" r:id="rId15"/>
    <hyperlink ref="O18" r:id="rId16"/>
    <hyperlink ref="O19" r:id="rId17"/>
    <hyperlink ref="O20" r:id="rId18"/>
    <hyperlink ref="O21" r:id="rId19"/>
    <hyperlink ref="O22" r:id="rId20"/>
    <hyperlink ref="O24" r:id="rId21"/>
    <hyperlink ref="O25" r:id="rId22"/>
    <hyperlink ref="O26" r:id="rId23"/>
    <hyperlink ref="O28" r:id="rId24"/>
    <hyperlink ref="O29" r:id="rId25"/>
    <hyperlink ref="O30" r:id="rId26"/>
    <hyperlink ref="O31" r:id="rId27"/>
    <hyperlink ref="O32" r:id="rId28"/>
    <hyperlink ref="O33" r:id="rId29"/>
    <hyperlink ref="O34" r:id="rId30"/>
    <hyperlink ref="O35" r:id="rId31"/>
    <hyperlink ref="O36" r:id="rId32"/>
    <hyperlink ref="O37" r:id="rId33"/>
    <hyperlink ref="O38" r:id="rId34"/>
    <hyperlink ref="O39" r:id="rId35"/>
    <hyperlink ref="O40" r:id="rId36"/>
    <hyperlink ref="O41" r:id="rId37"/>
    <hyperlink ref="O43" r:id="rId38"/>
    <hyperlink ref="O44" r:id="rId39"/>
    <hyperlink ref="O45" r:id="rId40"/>
    <hyperlink ref="O46" r:id="rId41"/>
    <hyperlink ref="O47" r:id="rId42"/>
    <hyperlink ref="O48" r:id="rId43"/>
    <hyperlink ref="O49" r:id="rId44"/>
    <hyperlink ref="O50" r:id="rId45"/>
    <hyperlink ref="O51" r:id="rId46"/>
    <hyperlink ref="O52" r:id="rId47"/>
    <hyperlink ref="O53" r:id="rId48"/>
    <hyperlink ref="O54" r:id="rId49"/>
    <hyperlink ref="O55" r:id="rId50"/>
    <hyperlink ref="O56" r:id="rId51"/>
    <hyperlink ref="O57" r:id="rId52"/>
    <hyperlink ref="O58" r:id="rId53"/>
    <hyperlink ref="O59" r:id="rId54"/>
    <hyperlink ref="O60" r:id="rId55"/>
    <hyperlink ref="O61" r:id="rId56"/>
    <hyperlink ref="O62" r:id="rId57"/>
    <hyperlink ref="O63" r:id="rId58"/>
    <hyperlink ref="O64" r:id="rId59"/>
    <hyperlink ref="O65" r:id="rId60"/>
    <hyperlink ref="H66" r:id="rId61"/>
    <hyperlink ref="O66" r:id="rId62"/>
    <hyperlink ref="O67" r:id="rId63"/>
    <hyperlink ref="O68" r:id="rId64"/>
  </hyperlinks>
  <pageMargins left="0.7" right="0.7" top="0.75" bottom="0.75" header="0" footer="0"/>
  <pageSetup orientation="landscape"/>
  <tableParts count="1">
    <tablePart r:id="rId6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Journal</vt:lpstr>
      <vt:lpstr>Conference </vt:lpstr>
      <vt:lpstr>Book</vt:lpstr>
      <vt:lpstr>Book Chapter</vt:lpstr>
      <vt:lpstr>Patent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2026-03-16T10:37:25Z</dcterms:modified>
</cp:coreProperties>
</file>